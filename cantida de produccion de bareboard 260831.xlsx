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4d029eb4d0e448/Escritorio/MES/Control_inventario_SMD/"/>
    </mc:Choice>
  </mc:AlternateContent>
  <xr:revisionPtr revIDLastSave="19" documentId="8_{67B6A4D1-C598-45D1-8126-20ED26DB41E7}" xr6:coauthVersionLast="47" xr6:coauthVersionMax="47" xr10:uidLastSave="{00DE2C26-2290-49CF-BAE6-4E175215AEF2}"/>
  <bookViews>
    <workbookView minimized="1" xWindow="7095" yWindow="3690" windowWidth="28800" windowHeight="8535" xr2:uid="{8EE0B387-BC1E-4D17-92E8-9B31186BD0AD}"/>
  </bookViews>
  <sheets>
    <sheet name="양산수량" sheetId="1" r:id="rId1"/>
  </sheets>
  <definedNames>
    <definedName name="_____BN1" hidden="1">{"'MNT'!$AE$4:$AN$34"}</definedName>
    <definedName name="_____CZ1" hidden="1">{"'MNT'!$AE$4:$AN$34"}</definedName>
    <definedName name="_____ES1" hidden="1">{"'MNT'!$AE$4:$AN$34"}</definedName>
    <definedName name="_____HS1" hidden="1">{"'MNT'!$AE$4:$AN$34"}</definedName>
    <definedName name="_____IS1" hidden="1">{"'MNT'!$AE$4:$AN$34"}</definedName>
    <definedName name="___BN1" hidden="1">{"'MNT'!$AE$4:$AN$34"}</definedName>
    <definedName name="___CZ1" hidden="1">{"'MNT'!$AE$4:$AN$34"}</definedName>
    <definedName name="___ES1" hidden="1">{"'MNT'!$AE$4:$AN$34"}</definedName>
    <definedName name="___HS1" hidden="1">{"'MNT'!$AE$4:$AN$34"}</definedName>
    <definedName name="___IS1" hidden="1">{"'MNT'!$AE$4:$AN$34"}</definedName>
    <definedName name="_10CZ1_" hidden="1">{"'MNT'!$AE$4:$AN$34"}</definedName>
    <definedName name="_15ES1_" hidden="1">{"'MNT'!$AE$4:$AN$34"}</definedName>
    <definedName name="_16CZ1_" hidden="1">{"'MNT'!$AE$4:$AN$34"}</definedName>
    <definedName name="_1BN1_" hidden="1">{"'MNT'!$AE$4:$AN$34"}</definedName>
    <definedName name="_20HS1_" hidden="1">{"'MNT'!$AE$4:$AN$34"}</definedName>
    <definedName name="_24ES1_" hidden="1">{"'MNT'!$AE$4:$AN$34"}</definedName>
    <definedName name="_25IS1_" hidden="1">{"'MNT'!$AE$4:$AN$34"}</definedName>
    <definedName name="_2CZ1_" hidden="1">{"'MNT'!$AE$4:$AN$34"}</definedName>
    <definedName name="_32HS1_" hidden="1">{"'MNT'!$AE$4:$AN$34"}</definedName>
    <definedName name="_3ES1_" hidden="1">{"'MNT'!$AE$4:$AN$34"}</definedName>
    <definedName name="_40IS1_" hidden="1">{"'MNT'!$AE$4:$AN$34"}</definedName>
    <definedName name="_4HS1_" hidden="1">{"'MNT'!$AE$4:$AN$34"}</definedName>
    <definedName name="_5BN1_" hidden="1">{"'MNT'!$AE$4:$AN$34"}</definedName>
    <definedName name="_5IS1_" hidden="1">{"'MNT'!$AE$4:$AN$34"}</definedName>
    <definedName name="_8BN1_" hidden="1">{"'MNT'!$AE$4:$AN$34"}</definedName>
    <definedName name="_BN1" hidden="1">{"'MNT'!$AE$4:$AN$34"}</definedName>
    <definedName name="_CZ1" hidden="1">{"'MNT'!$AE$4:$AN$34"}</definedName>
    <definedName name="_ES1" hidden="1">{"'MNT'!$AE$4:$AN$34"}</definedName>
    <definedName name="_xlnm._FilterDatabase" localSheetId="0" hidden="1">양산수량!$C$8:$EH$550</definedName>
    <definedName name="_HS1" hidden="1">{"'MNT'!$AE$4:$AN$34"}</definedName>
    <definedName name="_IS1" hidden="1">{"'MNT'!$AE$4:$AN$34"}</definedName>
    <definedName name="_key" hidden="1">#REF!</definedName>
    <definedName name="_Key1" hidden="1">#REF!</definedName>
    <definedName name="_key23" hidden="1">#REF!</definedName>
    <definedName name="_Order1" hidden="1">255</definedName>
    <definedName name="_Order2" hidden="1">255</definedName>
    <definedName name="_Regression_Int" hidden="1">1</definedName>
    <definedName name="AU_Code">OFFSET(#REF!,1,0,COUNTA(#REF!)-1)</definedName>
    <definedName name="AU_Name">OFFSET(#REF!,1,0,COUNTA(#REF!)-1)</definedName>
    <definedName name="company_요약" hidden="1">{"'0808_월별 (2)'!$A$2:$T$28"}</definedName>
    <definedName name="dd" hidden="1">{#N/A,#N/A,FALSE,"DAOCM 2차 검토"}</definedName>
    <definedName name="ddfddddd" hidden="1">{#N/A,#N/A,FALSE,"DAOCM 2차 검토"}</definedName>
    <definedName name="Dept_Code">OFFSET(#REF!,1,0,COUNTA(#REF!)-1,1)</definedName>
    <definedName name="Dept_Code_List">OFFSET(#REF!,1,0,COUNTA(#REF!)-1)</definedName>
    <definedName name="Dept_Name">OFFSET(#REF!,1,0,COUNTA(#REF!)-1,1)</definedName>
    <definedName name="DirAlloc">#REF!</definedName>
    <definedName name="DomeOvs">#REF!</definedName>
    <definedName name="ee" hidden="1">{#N/A,#N/A,FALSE,"DAOCM 2차 검토"}</definedName>
    <definedName name="FOCUS_ROW">#REF!</definedName>
    <definedName name="GapAnalysis">#REF!</definedName>
    <definedName name="HTML_CodePage" hidden="1">949</definedName>
    <definedName name="HTML_Control" hidden="1">{"'0808_월별 (2)'!$A$2:$T$28"}</definedName>
    <definedName name="HTML_Description" hidden="1">""</definedName>
    <definedName name="HTML_Email" hidden="1">"white74@lge.com"</definedName>
    <definedName name="HTML_Header" hidden="1">""</definedName>
    <definedName name="HTML_LastUpdate" hidden="1">"00-09-01"</definedName>
    <definedName name="HTML_LineAfter" hidden="1">FALSE</definedName>
    <definedName name="HTML_LineBefore" hidden="1">FALSE</definedName>
    <definedName name="HTML_Name" hidden="1">"박성관"</definedName>
    <definedName name="HTML_OBDlg2" hidden="1">TRUE</definedName>
    <definedName name="HTML_OBDlg4" hidden="1">TRUE</definedName>
    <definedName name="HTML_OS" hidden="1">0</definedName>
    <definedName name="HTML_PathFile" hidden="1">"D:\환율\2001년 사업계획 환율.htm"</definedName>
    <definedName name="HTML_Title" hidden="1">"환율지침(2001년 사업계획)"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nvest_Major_Category_Code">OFFSET(#REF!,1,0,COUNTA(#REF!)-1,1)</definedName>
    <definedName name="Invest_Major_Category_Name">OFFSET(#REF!,1,0,COUNTA(#REF!)-1,1)</definedName>
    <definedName name="Invest_Minor_Category_Code">OFFSET(#REF!,1,0,COUNTA(#REF!)-1,1)</definedName>
    <definedName name="Invest_Minor_Category_Code_List">OFFSET(#REF!,1,0,COUNTA(#REF!)-1,1)</definedName>
    <definedName name="Invest_Minor_Category_Name">OFFSET(#REF!,1,0,COUNTA(#REF!)-1,1)</definedName>
    <definedName name="Investment_Name">OFFSET(#REF!,1,0,COUNTA(#REF!)-1,1)</definedName>
    <definedName name="Investment_Object">OFFSET(#REF!,1,0,COUNTA(#REF!)-1,1)</definedName>
    <definedName name="InvestmentType">#REF!</definedName>
    <definedName name="InvestObjective">#REF!</definedName>
    <definedName name="Major">#REF!</definedName>
    <definedName name="Major_Category_Code">OFFSET(#REF!,1,0,COUNTA(#REF!)-1,1)</definedName>
    <definedName name="Major_Category_Name">OFFSET(#REF!,1,0,COUNTA(#REF!)-1,1)</definedName>
    <definedName name="mb_inputLocation" hidden="1">#REF!</definedName>
    <definedName name="Minor_Category_Code">OFFSET(#REF!,1,0,COUNTA(#REF!)-1,1)</definedName>
    <definedName name="Minor_Category_Code_List">OFFSET(#REF!,1,0,COUNTA(#REF!)-1,1)</definedName>
    <definedName name="Minor_Category_Name">OFFSET(#REF!,1,0,COUNTA(#REF!)-1,1)</definedName>
    <definedName name="N_UNIT_OK">#REF!</definedName>
    <definedName name="N_YYYYMM">#REF!</definedName>
    <definedName name="OFC_CONSUM">#REF!</definedName>
    <definedName name="ProjectGroup">#REF!</definedName>
    <definedName name="RealEstate">#REF!</definedName>
    <definedName name="Reference">#REF!</definedName>
    <definedName name="Sector_Code">OFFSET(#REF!,1,0,COUNTA(#REF!)-1,1)</definedName>
    <definedName name="Sector_Code_List">OFFSET(#REF!,1,0,COUNTA(#REF!)-1)</definedName>
    <definedName name="Sector_Name">OFFSET(#REF!,1,0,COUNTA(#REF!)-1,1)</definedName>
    <definedName name="sks" hidden="1">{#N/A,#N/A,FALSE,"DAOCM 2차 검토"}</definedName>
    <definedName name="V_MONTH">#REF!</definedName>
    <definedName name="V_YEAR">#REF!</definedName>
    <definedName name="wrn.DACOM._.광전송장치._.투찰가._.검토." hidden="1">{#N/A,#N/A,FALSE,"DAOCM 2차 검토"}</definedName>
    <definedName name="zldjfldjkasjfkljal" hidden="1">{#N/A,#N/A,FALSE,"DAOCM 2차 검토"}</definedName>
    <definedName name="관리" hidden="1">{#N/A,#N/A,FALSE,"DAOCM 2차 검토"}</definedName>
    <definedName name="구분">#REF!</definedName>
    <definedName name="권혁성" hidden="1">{#N/A,#N/A,FALSE,"DAOCM 2차 검토"}</definedName>
    <definedName name="나라" hidden="1">{#N/A,#N/A,FALSE,"DAOCM 2차 검토"}</definedName>
    <definedName name="대여" hidden="1">{#N/A,#N/A,FALSE,"DAOCM 2차 검토"}</definedName>
    <definedName name="매출" hidden="1">{#N/A,#N/A,FALSE,"DAOCM 2차 검토"}</definedName>
    <definedName name="본사" hidden="1">{#N/A,#N/A,FALSE,"DAOCM 2차 검토"}</definedName>
    <definedName name="사업부">#REF!</definedName>
    <definedName name="수수료" hidden="1">{#N/A,#N/A,FALSE,"DAOCM 2차 검토"}</definedName>
    <definedName name="수입" hidden="1">{#N/A,#N/A,FALSE,"DAOCM 2차 검토"}</definedName>
    <definedName name="수출3" hidden="1">{#N/A,#N/A,FALSE,"DAOCM 2차 검토"}</definedName>
    <definedName name="ㅇㅇ" hidden="1">{#N/A,#N/A,FALSE,"DAOCM 2차 검토"}</definedName>
    <definedName name="원가" hidden="1">{#N/A,#N/A,FALSE,"DAOCM 2차 검토"}</definedName>
    <definedName name="이통" hidden="1">{#N/A,#N/A,FALSE,"DAOCM 2차 검토"}</definedName>
    <definedName name="전송영업1" hidden="1">{#N/A,#N/A,FALSE,"DAOCM 2차 검토"}</definedName>
    <definedName name="전송영업2" hidden="1">{#N/A,#N/A,FALSE,"DAOCM 2차 검토"}</definedName>
    <definedName name="정주" hidden="1">{#N/A,#N/A,FALSE,"DAOCM 2차 검토"}</definedName>
    <definedName name="차이분석">#REF!</definedName>
    <definedName name="협력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550" i="1" l="1"/>
  <c r="EH550" i="1"/>
  <c r="EG550" i="1"/>
  <c r="EF550" i="1"/>
  <c r="EE550" i="1"/>
  <c r="ED550" i="1"/>
  <c r="EC550" i="1"/>
  <c r="EB550" i="1"/>
  <c r="EA550" i="1"/>
  <c r="DZ550" i="1"/>
  <c r="F550" i="1"/>
  <c r="EI549" i="1"/>
  <c r="EH549" i="1"/>
  <c r="EG549" i="1"/>
  <c r="EF549" i="1"/>
  <c r="EE549" i="1"/>
  <c r="ED549" i="1"/>
  <c r="EC549" i="1"/>
  <c r="EB549" i="1"/>
  <c r="EA549" i="1"/>
  <c r="DZ549" i="1"/>
  <c r="F549" i="1"/>
  <c r="EI548" i="1"/>
  <c r="EH548" i="1"/>
  <c r="EG548" i="1"/>
  <c r="EF548" i="1"/>
  <c r="EE548" i="1"/>
  <c r="ED548" i="1"/>
  <c r="EC548" i="1"/>
  <c r="EB548" i="1"/>
  <c r="EA548" i="1"/>
  <c r="DZ548" i="1"/>
  <c r="F548" i="1"/>
  <c r="EI547" i="1"/>
  <c r="EH547" i="1"/>
  <c r="EG547" i="1"/>
  <c r="EF547" i="1"/>
  <c r="EE547" i="1"/>
  <c r="ED547" i="1"/>
  <c r="EC547" i="1"/>
  <c r="EB547" i="1"/>
  <c r="EA547" i="1"/>
  <c r="DZ547" i="1"/>
  <c r="F547" i="1"/>
  <c r="EI546" i="1"/>
  <c r="EH546" i="1"/>
  <c r="EG546" i="1"/>
  <c r="EF546" i="1"/>
  <c r="EE546" i="1"/>
  <c r="ED546" i="1"/>
  <c r="EC546" i="1"/>
  <c r="EB546" i="1"/>
  <c r="EA546" i="1"/>
  <c r="DZ546" i="1"/>
  <c r="F546" i="1"/>
  <c r="EI545" i="1"/>
  <c r="EH545" i="1"/>
  <c r="EG545" i="1"/>
  <c r="EF545" i="1"/>
  <c r="EE545" i="1"/>
  <c r="ED545" i="1"/>
  <c r="EC545" i="1"/>
  <c r="EB545" i="1"/>
  <c r="EA545" i="1"/>
  <c r="DZ545" i="1"/>
  <c r="F545" i="1"/>
  <c r="EI544" i="1"/>
  <c r="EH544" i="1"/>
  <c r="EG544" i="1"/>
  <c r="EF544" i="1"/>
  <c r="EE544" i="1"/>
  <c r="ED544" i="1"/>
  <c r="EC544" i="1"/>
  <c r="EB544" i="1"/>
  <c r="EA544" i="1"/>
  <c r="DZ544" i="1"/>
  <c r="F544" i="1"/>
  <c r="EI543" i="1"/>
  <c r="EH543" i="1"/>
  <c r="EG543" i="1"/>
  <c r="EF543" i="1"/>
  <c r="EE543" i="1"/>
  <c r="ED543" i="1"/>
  <c r="EC543" i="1"/>
  <c r="EB543" i="1"/>
  <c r="EA543" i="1"/>
  <c r="DZ543" i="1"/>
  <c r="F543" i="1"/>
  <c r="EI542" i="1"/>
  <c r="EH542" i="1"/>
  <c r="EG542" i="1"/>
  <c r="EF542" i="1"/>
  <c r="EE542" i="1"/>
  <c r="ED542" i="1"/>
  <c r="EB542" i="1"/>
  <c r="EA542" i="1"/>
  <c r="DZ542" i="1"/>
  <c r="BC542" i="1"/>
  <c r="EI541" i="1"/>
  <c r="EH541" i="1"/>
  <c r="EG541" i="1"/>
  <c r="EF541" i="1"/>
  <c r="EE541" i="1"/>
  <c r="ED541" i="1"/>
  <c r="EB541" i="1"/>
  <c r="EA541" i="1"/>
  <c r="DZ541" i="1"/>
  <c r="BC541" i="1"/>
  <c r="EC541" i="1" s="1"/>
  <c r="F541" i="1"/>
  <c r="EI540" i="1"/>
  <c r="EH540" i="1"/>
  <c r="EG540" i="1"/>
  <c r="EF540" i="1"/>
  <c r="EE540" i="1"/>
  <c r="ED540" i="1"/>
  <c r="EB540" i="1"/>
  <c r="EA540" i="1"/>
  <c r="DZ540" i="1"/>
  <c r="BC540" i="1"/>
  <c r="EC540" i="1" s="1"/>
  <c r="EI539" i="1"/>
  <c r="EH539" i="1"/>
  <c r="EG539" i="1"/>
  <c r="EF539" i="1"/>
  <c r="EE539" i="1"/>
  <c r="ED539" i="1"/>
  <c r="EB539" i="1"/>
  <c r="EA539" i="1"/>
  <c r="DZ539" i="1"/>
  <c r="BC539" i="1"/>
  <c r="EC539" i="1" s="1"/>
  <c r="F539" i="1"/>
  <c r="EI538" i="1"/>
  <c r="EH538" i="1"/>
  <c r="EG538" i="1"/>
  <c r="EF538" i="1"/>
  <c r="EE538" i="1"/>
  <c r="ED538" i="1"/>
  <c r="EC538" i="1"/>
  <c r="EB538" i="1"/>
  <c r="EA538" i="1"/>
  <c r="DZ538" i="1"/>
  <c r="F538" i="1"/>
  <c r="EI537" i="1"/>
  <c r="EH537" i="1"/>
  <c r="EG537" i="1"/>
  <c r="EF537" i="1"/>
  <c r="EE537" i="1"/>
  <c r="ED537" i="1"/>
  <c r="EC537" i="1"/>
  <c r="EB537" i="1"/>
  <c r="EA537" i="1"/>
  <c r="DZ537" i="1"/>
  <c r="F537" i="1"/>
  <c r="EI536" i="1"/>
  <c r="EH536" i="1"/>
  <c r="EG536" i="1"/>
  <c r="EF536" i="1"/>
  <c r="EE536" i="1"/>
  <c r="ED536" i="1"/>
  <c r="EB536" i="1"/>
  <c r="EA536" i="1"/>
  <c r="DZ536" i="1"/>
  <c r="BC536" i="1"/>
  <c r="F536" i="1" s="1"/>
  <c r="EI535" i="1"/>
  <c r="EH535" i="1"/>
  <c r="EG535" i="1"/>
  <c r="EF535" i="1"/>
  <c r="EE535" i="1"/>
  <c r="ED535" i="1"/>
  <c r="EC535" i="1"/>
  <c r="EB535" i="1"/>
  <c r="EA535" i="1"/>
  <c r="DZ535" i="1"/>
  <c r="F535" i="1"/>
  <c r="EI534" i="1"/>
  <c r="EH534" i="1"/>
  <c r="EG534" i="1"/>
  <c r="EF534" i="1"/>
  <c r="EE534" i="1"/>
  <c r="ED534" i="1"/>
  <c r="EC534" i="1"/>
  <c r="EB534" i="1"/>
  <c r="EA534" i="1"/>
  <c r="DZ534" i="1"/>
  <c r="F534" i="1"/>
  <c r="EI533" i="1"/>
  <c r="EH533" i="1"/>
  <c r="EG533" i="1"/>
  <c r="EF533" i="1"/>
  <c r="EE533" i="1"/>
  <c r="ED533" i="1"/>
  <c r="EC533" i="1"/>
  <c r="EB533" i="1"/>
  <c r="EA533" i="1"/>
  <c r="DZ533" i="1"/>
  <c r="F533" i="1"/>
  <c r="EI532" i="1"/>
  <c r="EH532" i="1"/>
  <c r="EG532" i="1"/>
  <c r="EF532" i="1"/>
  <c r="EE532" i="1"/>
  <c r="ED532" i="1"/>
  <c r="EC532" i="1"/>
  <c r="EB532" i="1"/>
  <c r="EA532" i="1"/>
  <c r="DZ532" i="1"/>
  <c r="F532" i="1"/>
  <c r="EI531" i="1"/>
  <c r="EH531" i="1"/>
  <c r="EG531" i="1"/>
  <c r="EF531" i="1"/>
  <c r="EE531" i="1"/>
  <c r="ED531" i="1"/>
  <c r="EC531" i="1"/>
  <c r="EB531" i="1"/>
  <c r="EA531" i="1"/>
  <c r="DZ531" i="1"/>
  <c r="F531" i="1"/>
  <c r="EI530" i="1"/>
  <c r="EH530" i="1"/>
  <c r="EG530" i="1"/>
  <c r="EF530" i="1"/>
  <c r="EE530" i="1"/>
  <c r="ED530" i="1"/>
  <c r="EC530" i="1"/>
  <c r="EB530" i="1"/>
  <c r="EA530" i="1"/>
  <c r="DZ530" i="1"/>
  <c r="F530" i="1"/>
  <c r="EI529" i="1"/>
  <c r="EH529" i="1"/>
  <c r="EG529" i="1"/>
  <c r="EF529" i="1"/>
  <c r="EE529" i="1"/>
  <c r="ED529" i="1"/>
  <c r="EC529" i="1"/>
  <c r="EB529" i="1"/>
  <c r="EA529" i="1"/>
  <c r="DZ529" i="1"/>
  <c r="F529" i="1"/>
  <c r="EI528" i="1"/>
  <c r="EH528" i="1"/>
  <c r="EG528" i="1"/>
  <c r="EF528" i="1"/>
  <c r="EE528" i="1"/>
  <c r="ED528" i="1"/>
  <c r="EC528" i="1"/>
  <c r="EB528" i="1"/>
  <c r="EA528" i="1"/>
  <c r="DZ528" i="1"/>
  <c r="F528" i="1"/>
  <c r="EI527" i="1"/>
  <c r="EH527" i="1"/>
  <c r="EG527" i="1"/>
  <c r="EF527" i="1"/>
  <c r="EE527" i="1"/>
  <c r="ED527" i="1"/>
  <c r="EC527" i="1"/>
  <c r="EB527" i="1"/>
  <c r="EA527" i="1"/>
  <c r="DZ527" i="1"/>
  <c r="F527" i="1"/>
  <c r="EI526" i="1"/>
  <c r="EH526" i="1"/>
  <c r="EG526" i="1"/>
  <c r="EF526" i="1"/>
  <c r="EE526" i="1"/>
  <c r="ED526" i="1"/>
  <c r="EC526" i="1"/>
  <c r="EB526" i="1"/>
  <c r="EA526" i="1"/>
  <c r="DZ526" i="1"/>
  <c r="F526" i="1"/>
  <c r="EI525" i="1"/>
  <c r="EH525" i="1"/>
  <c r="EG525" i="1"/>
  <c r="EF525" i="1"/>
  <c r="EE525" i="1"/>
  <c r="ED525" i="1"/>
  <c r="EC525" i="1"/>
  <c r="EB525" i="1"/>
  <c r="EA525" i="1"/>
  <c r="DZ525" i="1"/>
  <c r="F525" i="1"/>
  <c r="EI524" i="1"/>
  <c r="F524" i="1"/>
  <c r="EI523" i="1"/>
  <c r="F523" i="1"/>
  <c r="EI522" i="1"/>
  <c r="F522" i="1"/>
  <c r="EI521" i="1"/>
  <c r="F521" i="1"/>
  <c r="EI520" i="1"/>
  <c r="F520" i="1"/>
  <c r="EI519" i="1"/>
  <c r="F519" i="1"/>
  <c r="EI518" i="1"/>
  <c r="F518" i="1"/>
  <c r="EI517" i="1"/>
  <c r="F517" i="1"/>
  <c r="EI516" i="1"/>
  <c r="F516" i="1"/>
  <c r="EI515" i="1"/>
  <c r="F515" i="1"/>
  <c r="EI514" i="1"/>
  <c r="F514" i="1"/>
  <c r="EI513" i="1"/>
  <c r="F513" i="1"/>
  <c r="EI512" i="1"/>
  <c r="F512" i="1"/>
  <c r="EI511" i="1"/>
  <c r="F511" i="1"/>
  <c r="EI510" i="1"/>
  <c r="F510" i="1"/>
  <c r="EI509" i="1"/>
  <c r="EH509" i="1"/>
  <c r="EG509" i="1"/>
  <c r="EF509" i="1"/>
  <c r="EE509" i="1"/>
  <c r="ED509" i="1"/>
  <c r="EC509" i="1"/>
  <c r="EB509" i="1"/>
  <c r="EA509" i="1"/>
  <c r="DZ509" i="1"/>
  <c r="F509" i="1"/>
  <c r="EI508" i="1"/>
  <c r="EH508" i="1"/>
  <c r="EG508" i="1"/>
  <c r="EF508" i="1"/>
  <c r="EE508" i="1"/>
  <c r="ED508" i="1"/>
  <c r="EC508" i="1"/>
  <c r="EB508" i="1"/>
  <c r="EA508" i="1"/>
  <c r="DZ508" i="1"/>
  <c r="F508" i="1"/>
  <c r="EI507" i="1"/>
  <c r="EH507" i="1"/>
  <c r="EG507" i="1"/>
  <c r="EF507" i="1"/>
  <c r="EE507" i="1"/>
  <c r="ED507" i="1"/>
  <c r="EC507" i="1"/>
  <c r="EB507" i="1"/>
  <c r="EA507" i="1"/>
  <c r="DZ507" i="1"/>
  <c r="F507" i="1"/>
  <c r="EI506" i="1"/>
  <c r="EH506" i="1"/>
  <c r="EG506" i="1"/>
  <c r="EF506" i="1"/>
  <c r="EE506" i="1"/>
  <c r="ED506" i="1"/>
  <c r="EC506" i="1"/>
  <c r="EB506" i="1"/>
  <c r="EA506" i="1"/>
  <c r="DZ506" i="1"/>
  <c r="F506" i="1"/>
  <c r="EI505" i="1"/>
  <c r="EH505" i="1"/>
  <c r="EG505" i="1"/>
  <c r="EF505" i="1"/>
  <c r="EE505" i="1"/>
  <c r="ED505" i="1"/>
  <c r="EC505" i="1"/>
  <c r="EB505" i="1"/>
  <c r="EA505" i="1"/>
  <c r="DZ505" i="1"/>
  <c r="F505" i="1"/>
  <c r="EI504" i="1"/>
  <c r="EH504" i="1"/>
  <c r="EG504" i="1"/>
  <c r="EF504" i="1"/>
  <c r="EE504" i="1"/>
  <c r="ED504" i="1"/>
  <c r="EC504" i="1"/>
  <c r="EB504" i="1"/>
  <c r="EA504" i="1"/>
  <c r="DZ504" i="1"/>
  <c r="F504" i="1"/>
  <c r="EI503" i="1"/>
  <c r="EH503" i="1"/>
  <c r="EG503" i="1"/>
  <c r="EF503" i="1"/>
  <c r="EE503" i="1"/>
  <c r="ED503" i="1"/>
  <c r="EC503" i="1"/>
  <c r="EB503" i="1"/>
  <c r="EA503" i="1"/>
  <c r="DZ503" i="1"/>
  <c r="F503" i="1"/>
  <c r="EI502" i="1"/>
  <c r="EH502" i="1"/>
  <c r="EG502" i="1"/>
  <c r="EF502" i="1"/>
  <c r="EE502" i="1"/>
  <c r="ED502" i="1"/>
  <c r="EC502" i="1"/>
  <c r="EB502" i="1"/>
  <c r="EA502" i="1"/>
  <c r="DZ502" i="1"/>
  <c r="F502" i="1"/>
  <c r="EI501" i="1"/>
  <c r="EH501" i="1"/>
  <c r="EG501" i="1"/>
  <c r="EF501" i="1"/>
  <c r="EE501" i="1"/>
  <c r="ED501" i="1"/>
  <c r="EC501" i="1"/>
  <c r="EB501" i="1"/>
  <c r="EA501" i="1"/>
  <c r="DZ501" i="1"/>
  <c r="F501" i="1"/>
  <c r="EI500" i="1"/>
  <c r="EH500" i="1"/>
  <c r="EG500" i="1"/>
  <c r="EF500" i="1"/>
  <c r="EE500" i="1"/>
  <c r="ED500" i="1"/>
  <c r="EC500" i="1"/>
  <c r="EB500" i="1"/>
  <c r="EA500" i="1"/>
  <c r="DZ500" i="1"/>
  <c r="F500" i="1"/>
  <c r="EI499" i="1"/>
  <c r="EH499" i="1"/>
  <c r="EG499" i="1"/>
  <c r="EF499" i="1"/>
  <c r="EE499" i="1"/>
  <c r="ED499" i="1"/>
  <c r="EC499" i="1"/>
  <c r="EB499" i="1"/>
  <c r="EA499" i="1"/>
  <c r="DZ499" i="1"/>
  <c r="F499" i="1"/>
  <c r="EI498" i="1"/>
  <c r="EH498" i="1"/>
  <c r="F498" i="1"/>
  <c r="EI497" i="1"/>
  <c r="EH497" i="1"/>
  <c r="F497" i="1"/>
  <c r="EI496" i="1"/>
  <c r="EH496" i="1"/>
  <c r="F496" i="1"/>
  <c r="EI495" i="1"/>
  <c r="EH495" i="1"/>
  <c r="EG495" i="1"/>
  <c r="EF495" i="1"/>
  <c r="EE495" i="1"/>
  <c r="ED495" i="1"/>
  <c r="EC495" i="1"/>
  <c r="EB495" i="1"/>
  <c r="EA495" i="1"/>
  <c r="DZ495" i="1"/>
  <c r="F495" i="1"/>
  <c r="EI494" i="1"/>
  <c r="EH494" i="1"/>
  <c r="EG494" i="1"/>
  <c r="EF494" i="1"/>
  <c r="EE494" i="1"/>
  <c r="ED494" i="1"/>
  <c r="EC494" i="1"/>
  <c r="EB494" i="1"/>
  <c r="EA494" i="1"/>
  <c r="DZ494" i="1"/>
  <c r="F494" i="1"/>
  <c r="EI493" i="1"/>
  <c r="EH493" i="1"/>
  <c r="EG493" i="1"/>
  <c r="EF493" i="1"/>
  <c r="EE493" i="1"/>
  <c r="ED493" i="1"/>
  <c r="EC493" i="1"/>
  <c r="EB493" i="1"/>
  <c r="EA493" i="1"/>
  <c r="DZ493" i="1"/>
  <c r="F493" i="1"/>
  <c r="EI492" i="1"/>
  <c r="EH492" i="1"/>
  <c r="EG492" i="1"/>
  <c r="EF492" i="1"/>
  <c r="EE492" i="1"/>
  <c r="ED492" i="1"/>
  <c r="EC492" i="1"/>
  <c r="EB492" i="1"/>
  <c r="EA492" i="1"/>
  <c r="DZ492" i="1"/>
  <c r="F492" i="1"/>
  <c r="EI491" i="1"/>
  <c r="EH491" i="1"/>
  <c r="EG491" i="1"/>
  <c r="EF491" i="1"/>
  <c r="EE491" i="1"/>
  <c r="ED491" i="1"/>
  <c r="EC491" i="1"/>
  <c r="EB491" i="1"/>
  <c r="EA491" i="1"/>
  <c r="DZ491" i="1"/>
  <c r="F491" i="1"/>
  <c r="EI490" i="1"/>
  <c r="EH490" i="1"/>
  <c r="EG490" i="1"/>
  <c r="EF490" i="1"/>
  <c r="EE490" i="1"/>
  <c r="ED490" i="1"/>
  <c r="EC490" i="1"/>
  <c r="EB490" i="1"/>
  <c r="EA490" i="1"/>
  <c r="DZ490" i="1"/>
  <c r="F490" i="1"/>
  <c r="EI489" i="1"/>
  <c r="EH489" i="1"/>
  <c r="EG489" i="1"/>
  <c r="EF489" i="1"/>
  <c r="EE489" i="1"/>
  <c r="ED489" i="1"/>
  <c r="EC489" i="1"/>
  <c r="EB489" i="1"/>
  <c r="EA489" i="1"/>
  <c r="DZ489" i="1"/>
  <c r="F489" i="1"/>
  <c r="EI488" i="1"/>
  <c r="F488" i="1"/>
  <c r="EI487" i="1"/>
  <c r="EH487" i="1"/>
  <c r="EG487" i="1"/>
  <c r="EF487" i="1"/>
  <c r="EE487" i="1"/>
  <c r="ED487" i="1"/>
  <c r="EC487" i="1"/>
  <c r="EB487" i="1"/>
  <c r="EA487" i="1"/>
  <c r="DZ487" i="1"/>
  <c r="F487" i="1"/>
  <c r="EI486" i="1"/>
  <c r="EH486" i="1"/>
  <c r="EG486" i="1"/>
  <c r="EF486" i="1"/>
  <c r="EE486" i="1"/>
  <c r="ED486" i="1"/>
  <c r="EC486" i="1"/>
  <c r="EB486" i="1"/>
  <c r="EA486" i="1"/>
  <c r="DZ486" i="1"/>
  <c r="F486" i="1"/>
  <c r="EI485" i="1"/>
  <c r="EH485" i="1"/>
  <c r="EG485" i="1"/>
  <c r="EF485" i="1"/>
  <c r="EE485" i="1"/>
  <c r="ED485" i="1"/>
  <c r="EC485" i="1"/>
  <c r="EB485" i="1"/>
  <c r="EA485" i="1"/>
  <c r="DZ485" i="1"/>
  <c r="F485" i="1"/>
  <c r="EI484" i="1"/>
  <c r="EH484" i="1"/>
  <c r="EG484" i="1"/>
  <c r="EF484" i="1"/>
  <c r="EE484" i="1"/>
  <c r="ED484" i="1"/>
  <c r="EC484" i="1"/>
  <c r="EB484" i="1"/>
  <c r="EA484" i="1"/>
  <c r="DZ484" i="1"/>
  <c r="F484" i="1"/>
  <c r="EI483" i="1"/>
  <c r="EH483" i="1"/>
  <c r="EG483" i="1"/>
  <c r="EF483" i="1"/>
  <c r="EE483" i="1"/>
  <c r="ED483" i="1"/>
  <c r="EC483" i="1"/>
  <c r="EB483" i="1"/>
  <c r="EA483" i="1"/>
  <c r="DZ483" i="1"/>
  <c r="F483" i="1"/>
  <c r="EI482" i="1"/>
  <c r="EH482" i="1"/>
  <c r="EG482" i="1"/>
  <c r="EF482" i="1"/>
  <c r="EE482" i="1"/>
  <c r="ED482" i="1"/>
  <c r="EC482" i="1"/>
  <c r="EB482" i="1"/>
  <c r="EA482" i="1"/>
  <c r="DZ482" i="1"/>
  <c r="F482" i="1"/>
  <c r="EI481" i="1"/>
  <c r="EH481" i="1"/>
  <c r="EG481" i="1"/>
  <c r="EF481" i="1"/>
  <c r="EE481" i="1"/>
  <c r="ED481" i="1"/>
  <c r="EC481" i="1"/>
  <c r="EB481" i="1"/>
  <c r="EA481" i="1"/>
  <c r="DZ481" i="1"/>
  <c r="F481" i="1"/>
  <c r="EI480" i="1"/>
  <c r="F480" i="1"/>
  <c r="EI479" i="1"/>
  <c r="EH479" i="1"/>
  <c r="EG479" i="1"/>
  <c r="EF479" i="1"/>
  <c r="EE479" i="1"/>
  <c r="ED479" i="1"/>
  <c r="EC479" i="1"/>
  <c r="EB479" i="1"/>
  <c r="EA479" i="1"/>
  <c r="DZ479" i="1"/>
  <c r="F479" i="1"/>
  <c r="EI478" i="1"/>
  <c r="F478" i="1"/>
  <c r="EI477" i="1"/>
  <c r="EH477" i="1"/>
  <c r="EG477" i="1"/>
  <c r="EF477" i="1"/>
  <c r="EE477" i="1"/>
  <c r="ED477" i="1"/>
  <c r="EC477" i="1"/>
  <c r="EB477" i="1"/>
  <c r="EA477" i="1"/>
  <c r="DZ477" i="1"/>
  <c r="F477" i="1"/>
  <c r="EI476" i="1"/>
  <c r="F476" i="1"/>
  <c r="EI475" i="1"/>
  <c r="EH475" i="1"/>
  <c r="F475" i="1"/>
  <c r="EI474" i="1"/>
  <c r="EH474" i="1"/>
  <c r="F474" i="1"/>
  <c r="EI473" i="1"/>
  <c r="EH473" i="1"/>
  <c r="F473" i="1"/>
  <c r="EI472" i="1"/>
  <c r="EH472" i="1"/>
  <c r="F472" i="1"/>
  <c r="EI471" i="1"/>
  <c r="F471" i="1"/>
  <c r="EI470" i="1"/>
  <c r="EH470" i="1"/>
  <c r="EG470" i="1"/>
  <c r="EF470" i="1"/>
  <c r="EE470" i="1"/>
  <c r="ED470" i="1"/>
  <c r="EC470" i="1"/>
  <c r="EB470" i="1"/>
  <c r="EA470" i="1"/>
  <c r="DZ470" i="1"/>
  <c r="F470" i="1"/>
  <c r="EI469" i="1"/>
  <c r="EH469" i="1"/>
  <c r="EG469" i="1"/>
  <c r="EF469" i="1"/>
  <c r="EE469" i="1"/>
  <c r="ED469" i="1"/>
  <c r="EC469" i="1"/>
  <c r="EB469" i="1"/>
  <c r="EA469" i="1"/>
  <c r="DZ469" i="1"/>
  <c r="F469" i="1"/>
  <c r="EI468" i="1"/>
  <c r="EH468" i="1"/>
  <c r="EG468" i="1"/>
  <c r="EF468" i="1"/>
  <c r="EE468" i="1"/>
  <c r="ED468" i="1"/>
  <c r="EC468" i="1"/>
  <c r="EB468" i="1"/>
  <c r="EA468" i="1"/>
  <c r="DZ468" i="1"/>
  <c r="F468" i="1"/>
  <c r="EI467" i="1"/>
  <c r="EH467" i="1"/>
  <c r="EG467" i="1"/>
  <c r="EF467" i="1"/>
  <c r="EE467" i="1"/>
  <c r="ED467" i="1"/>
  <c r="EC467" i="1"/>
  <c r="EB467" i="1"/>
  <c r="EA467" i="1"/>
  <c r="DZ467" i="1"/>
  <c r="F467" i="1"/>
  <c r="EI466" i="1"/>
  <c r="EH466" i="1"/>
  <c r="EG466" i="1"/>
  <c r="EF466" i="1"/>
  <c r="EE466" i="1"/>
  <c r="ED466" i="1"/>
  <c r="EC466" i="1"/>
  <c r="EB466" i="1"/>
  <c r="EA466" i="1"/>
  <c r="DZ466" i="1"/>
  <c r="F466" i="1"/>
  <c r="EI465" i="1"/>
  <c r="EH465" i="1"/>
  <c r="EG465" i="1"/>
  <c r="EF465" i="1"/>
  <c r="EE465" i="1"/>
  <c r="ED465" i="1"/>
  <c r="EC465" i="1"/>
  <c r="EB465" i="1"/>
  <c r="EA465" i="1"/>
  <c r="DZ465" i="1"/>
  <c r="F465" i="1"/>
  <c r="EI464" i="1"/>
  <c r="EH464" i="1"/>
  <c r="EG464" i="1"/>
  <c r="EF464" i="1"/>
  <c r="EE464" i="1"/>
  <c r="ED464" i="1"/>
  <c r="EC464" i="1"/>
  <c r="EB464" i="1"/>
  <c r="EA464" i="1"/>
  <c r="DZ464" i="1"/>
  <c r="F464" i="1"/>
  <c r="EI463" i="1"/>
  <c r="EH463" i="1"/>
  <c r="EG463" i="1"/>
  <c r="EF463" i="1"/>
  <c r="EE463" i="1"/>
  <c r="ED463" i="1"/>
  <c r="EC463" i="1"/>
  <c r="EB463" i="1"/>
  <c r="EA463" i="1"/>
  <c r="DZ463" i="1"/>
  <c r="F463" i="1"/>
  <c r="EI462" i="1"/>
  <c r="EH462" i="1"/>
  <c r="EG462" i="1"/>
  <c r="EF462" i="1"/>
  <c r="EE462" i="1"/>
  <c r="ED462" i="1"/>
  <c r="EC462" i="1"/>
  <c r="EB462" i="1"/>
  <c r="EA462" i="1"/>
  <c r="DZ462" i="1"/>
  <c r="F462" i="1"/>
  <c r="EI461" i="1"/>
  <c r="EH461" i="1"/>
  <c r="EG461" i="1"/>
  <c r="EF461" i="1"/>
  <c r="EE461" i="1"/>
  <c r="ED461" i="1"/>
  <c r="EC461" i="1"/>
  <c r="EB461" i="1"/>
  <c r="EA461" i="1"/>
  <c r="DZ461" i="1"/>
  <c r="F461" i="1"/>
  <c r="EI460" i="1"/>
  <c r="EH460" i="1"/>
  <c r="EG460" i="1"/>
  <c r="EF460" i="1"/>
  <c r="EE460" i="1"/>
  <c r="ED460" i="1"/>
  <c r="EC460" i="1"/>
  <c r="EB460" i="1"/>
  <c r="EA460" i="1"/>
  <c r="DZ460" i="1"/>
  <c r="F460" i="1"/>
  <c r="EI459" i="1"/>
  <c r="EH459" i="1"/>
  <c r="EG459" i="1"/>
  <c r="EF459" i="1"/>
  <c r="EE459" i="1"/>
  <c r="ED459" i="1"/>
  <c r="EC459" i="1"/>
  <c r="EB459" i="1"/>
  <c r="EA459" i="1"/>
  <c r="DZ459" i="1"/>
  <c r="F459" i="1"/>
  <c r="EI458" i="1"/>
  <c r="EH458" i="1"/>
  <c r="EG458" i="1"/>
  <c r="EF458" i="1"/>
  <c r="EE458" i="1"/>
  <c r="ED458" i="1"/>
  <c r="EC458" i="1"/>
  <c r="EB458" i="1"/>
  <c r="EA458" i="1"/>
  <c r="DZ458" i="1"/>
  <c r="F458" i="1"/>
  <c r="EI457" i="1"/>
  <c r="EH457" i="1"/>
  <c r="EG457" i="1"/>
  <c r="EF457" i="1"/>
  <c r="EE457" i="1"/>
  <c r="ED457" i="1"/>
  <c r="EC457" i="1"/>
  <c r="EB457" i="1"/>
  <c r="EA457" i="1"/>
  <c r="DZ457" i="1"/>
  <c r="F457" i="1"/>
  <c r="EI456" i="1"/>
  <c r="EH456" i="1"/>
  <c r="EG456" i="1"/>
  <c r="EF456" i="1"/>
  <c r="EE456" i="1"/>
  <c r="ED456" i="1"/>
  <c r="EC456" i="1"/>
  <c r="EB456" i="1"/>
  <c r="EA456" i="1"/>
  <c r="DZ456" i="1"/>
  <c r="F456" i="1"/>
  <c r="EI455" i="1"/>
  <c r="EH455" i="1"/>
  <c r="EG455" i="1"/>
  <c r="EF455" i="1"/>
  <c r="EE455" i="1"/>
  <c r="ED455" i="1"/>
  <c r="EC455" i="1"/>
  <c r="EB455" i="1"/>
  <c r="EA455" i="1"/>
  <c r="DZ455" i="1"/>
  <c r="F455" i="1"/>
  <c r="EI454" i="1"/>
  <c r="EH454" i="1"/>
  <c r="EG454" i="1"/>
  <c r="EF454" i="1"/>
  <c r="EE454" i="1"/>
  <c r="ED454" i="1"/>
  <c r="EC454" i="1"/>
  <c r="EB454" i="1"/>
  <c r="EA454" i="1"/>
  <c r="DZ454" i="1"/>
  <c r="F454" i="1"/>
  <c r="EI453" i="1"/>
  <c r="EH453" i="1"/>
  <c r="EG453" i="1"/>
  <c r="EF453" i="1"/>
  <c r="EE453" i="1"/>
  <c r="ED453" i="1"/>
  <c r="EC453" i="1"/>
  <c r="EB453" i="1"/>
  <c r="EA453" i="1"/>
  <c r="DZ453" i="1"/>
  <c r="F453" i="1"/>
  <c r="EI452" i="1"/>
  <c r="EH452" i="1"/>
  <c r="EG452" i="1"/>
  <c r="EF452" i="1"/>
  <c r="EE452" i="1"/>
  <c r="ED452" i="1"/>
  <c r="EC452" i="1"/>
  <c r="EB452" i="1"/>
  <c r="EA452" i="1"/>
  <c r="DZ452" i="1"/>
  <c r="F452" i="1"/>
  <c r="EI451" i="1"/>
  <c r="EH451" i="1"/>
  <c r="EG451" i="1"/>
  <c r="EF451" i="1"/>
  <c r="EE451" i="1"/>
  <c r="ED451" i="1"/>
  <c r="EC451" i="1"/>
  <c r="EB451" i="1"/>
  <c r="EA451" i="1"/>
  <c r="DZ451" i="1"/>
  <c r="F451" i="1"/>
  <c r="EI450" i="1"/>
  <c r="EH450" i="1"/>
  <c r="EG450" i="1"/>
  <c r="EF450" i="1"/>
  <c r="EE450" i="1"/>
  <c r="ED450" i="1"/>
  <c r="EC450" i="1"/>
  <c r="EB450" i="1"/>
  <c r="EA450" i="1"/>
  <c r="DZ450" i="1"/>
  <c r="F450" i="1"/>
  <c r="EI449" i="1"/>
  <c r="EH449" i="1"/>
  <c r="EG449" i="1"/>
  <c r="EF449" i="1"/>
  <c r="EE449" i="1"/>
  <c r="ED449" i="1"/>
  <c r="EC449" i="1"/>
  <c r="EB449" i="1"/>
  <c r="EA449" i="1"/>
  <c r="DZ449" i="1"/>
  <c r="F449" i="1"/>
  <c r="EI448" i="1"/>
  <c r="EH448" i="1"/>
  <c r="EG448" i="1"/>
  <c r="EF448" i="1"/>
  <c r="EE448" i="1"/>
  <c r="ED448" i="1"/>
  <c r="EC448" i="1"/>
  <c r="EB448" i="1"/>
  <c r="EA448" i="1"/>
  <c r="DZ448" i="1"/>
  <c r="F448" i="1"/>
  <c r="EI447" i="1"/>
  <c r="EH447" i="1"/>
  <c r="EG447" i="1"/>
  <c r="EF447" i="1"/>
  <c r="EE447" i="1"/>
  <c r="ED447" i="1"/>
  <c r="EC447" i="1"/>
  <c r="EB447" i="1"/>
  <c r="EA447" i="1"/>
  <c r="DZ447" i="1"/>
  <c r="F447" i="1"/>
  <c r="EI446" i="1"/>
  <c r="EH446" i="1"/>
  <c r="EG446" i="1"/>
  <c r="EF446" i="1"/>
  <c r="EE446" i="1"/>
  <c r="ED446" i="1"/>
  <c r="EC446" i="1"/>
  <c r="EB446" i="1"/>
  <c r="EA446" i="1"/>
  <c r="DZ446" i="1"/>
  <c r="F446" i="1"/>
  <c r="EI445" i="1"/>
  <c r="EH445" i="1"/>
  <c r="EG445" i="1"/>
  <c r="EF445" i="1"/>
  <c r="EE445" i="1"/>
  <c r="ED445" i="1"/>
  <c r="EC445" i="1"/>
  <c r="EB445" i="1"/>
  <c r="EA445" i="1"/>
  <c r="DZ445" i="1"/>
  <c r="F445" i="1"/>
  <c r="EI444" i="1"/>
  <c r="EH444" i="1"/>
  <c r="EG444" i="1"/>
  <c r="EF444" i="1"/>
  <c r="EE444" i="1"/>
  <c r="ED444" i="1"/>
  <c r="EC444" i="1"/>
  <c r="EB444" i="1"/>
  <c r="EA444" i="1"/>
  <c r="DZ444" i="1"/>
  <c r="F444" i="1"/>
  <c r="EI443" i="1"/>
  <c r="EH443" i="1"/>
  <c r="EG443" i="1"/>
  <c r="EF443" i="1"/>
  <c r="EE443" i="1"/>
  <c r="ED443" i="1"/>
  <c r="EC443" i="1"/>
  <c r="EB443" i="1"/>
  <c r="EA443" i="1"/>
  <c r="DZ443" i="1"/>
  <c r="F443" i="1"/>
  <c r="EI442" i="1"/>
  <c r="EH442" i="1"/>
  <c r="EG442" i="1"/>
  <c r="EF442" i="1"/>
  <c r="EE442" i="1"/>
  <c r="ED442" i="1"/>
  <c r="EC442" i="1"/>
  <c r="EB442" i="1"/>
  <c r="EA442" i="1"/>
  <c r="DZ442" i="1"/>
  <c r="F442" i="1"/>
  <c r="F441" i="1"/>
  <c r="F440" i="1"/>
  <c r="F439" i="1"/>
  <c r="F438" i="1"/>
  <c r="F437" i="1"/>
  <c r="EI436" i="1"/>
  <c r="F436" i="1"/>
  <c r="EI435" i="1"/>
  <c r="F435" i="1"/>
  <c r="EI434" i="1"/>
  <c r="F434" i="1"/>
  <c r="EI433" i="1"/>
  <c r="F433" i="1"/>
  <c r="EI432" i="1"/>
  <c r="EH432" i="1"/>
  <c r="F432" i="1"/>
  <c r="EI431" i="1"/>
  <c r="EH431" i="1"/>
  <c r="F431" i="1"/>
  <c r="EI430" i="1"/>
  <c r="EH430" i="1"/>
  <c r="F430" i="1"/>
  <c r="EI429" i="1"/>
  <c r="EH429" i="1"/>
  <c r="F429" i="1"/>
  <c r="EI428" i="1"/>
  <c r="EH428" i="1"/>
  <c r="F428" i="1"/>
  <c r="EI427" i="1"/>
  <c r="EH427" i="1"/>
  <c r="F427" i="1"/>
  <c r="EI426" i="1"/>
  <c r="EH426" i="1"/>
  <c r="F426" i="1"/>
  <c r="EI425" i="1"/>
  <c r="EH425" i="1"/>
  <c r="F425" i="1"/>
  <c r="EI424" i="1"/>
  <c r="EH424" i="1"/>
  <c r="F424" i="1"/>
  <c r="EI423" i="1"/>
  <c r="EH423" i="1"/>
  <c r="F423" i="1"/>
  <c r="EI422" i="1"/>
  <c r="EH422" i="1"/>
  <c r="F422" i="1"/>
  <c r="F421" i="1"/>
  <c r="F420" i="1"/>
  <c r="F419" i="1"/>
  <c r="EI418" i="1"/>
  <c r="F418" i="1"/>
  <c r="EI417" i="1"/>
  <c r="F417" i="1"/>
  <c r="EI416" i="1"/>
  <c r="EH416" i="1"/>
  <c r="F416" i="1"/>
  <c r="EI415" i="1"/>
  <c r="EH415" i="1"/>
  <c r="F415" i="1"/>
  <c r="EI414" i="1"/>
  <c r="EH414" i="1"/>
  <c r="F414" i="1"/>
  <c r="EI413" i="1"/>
  <c r="EH413" i="1"/>
  <c r="F413" i="1"/>
  <c r="EI412" i="1"/>
  <c r="EH412" i="1"/>
  <c r="F412" i="1"/>
  <c r="EI411" i="1"/>
  <c r="EH411" i="1"/>
  <c r="F411" i="1"/>
  <c r="EI410" i="1"/>
  <c r="EH410" i="1"/>
  <c r="F410" i="1"/>
  <c r="EI409" i="1"/>
  <c r="EH409" i="1"/>
  <c r="F409" i="1"/>
  <c r="EI408" i="1"/>
  <c r="EH408" i="1"/>
  <c r="F408" i="1"/>
  <c r="EI407" i="1"/>
  <c r="EH407" i="1"/>
  <c r="F407" i="1"/>
  <c r="EI406" i="1"/>
  <c r="EH406" i="1"/>
  <c r="F406" i="1"/>
  <c r="EI405" i="1"/>
  <c r="EH405" i="1"/>
  <c r="F405" i="1"/>
  <c r="EI404" i="1"/>
  <c r="EH404" i="1"/>
  <c r="F404" i="1"/>
  <c r="EI403" i="1"/>
  <c r="EH403" i="1"/>
  <c r="F403" i="1"/>
  <c r="EI402" i="1"/>
  <c r="EH402" i="1"/>
  <c r="EG402" i="1"/>
  <c r="EF402" i="1"/>
  <c r="EE402" i="1"/>
  <c r="ED402" i="1"/>
  <c r="EC402" i="1"/>
  <c r="EB402" i="1"/>
  <c r="EA402" i="1"/>
  <c r="DZ402" i="1"/>
  <c r="F402" i="1"/>
  <c r="EI401" i="1"/>
  <c r="EH401" i="1"/>
  <c r="EG401" i="1"/>
  <c r="EF401" i="1"/>
  <c r="EE401" i="1"/>
  <c r="ED401" i="1"/>
  <c r="EC401" i="1"/>
  <c r="EB401" i="1"/>
  <c r="EA401" i="1"/>
  <c r="DZ401" i="1"/>
  <c r="F401" i="1"/>
  <c r="EI400" i="1"/>
  <c r="EH400" i="1"/>
  <c r="EG400" i="1"/>
  <c r="EF400" i="1"/>
  <c r="EE400" i="1"/>
  <c r="ED400" i="1"/>
  <c r="EC400" i="1"/>
  <c r="EB400" i="1"/>
  <c r="EA400" i="1"/>
  <c r="DZ400" i="1"/>
  <c r="F400" i="1"/>
  <c r="EI399" i="1"/>
  <c r="EH399" i="1"/>
  <c r="EG399" i="1"/>
  <c r="EF399" i="1"/>
  <c r="EE399" i="1"/>
  <c r="ED399" i="1"/>
  <c r="EC399" i="1"/>
  <c r="EB399" i="1"/>
  <c r="EA399" i="1"/>
  <c r="DZ399" i="1"/>
  <c r="F399" i="1"/>
  <c r="EI398" i="1"/>
  <c r="EH398" i="1"/>
  <c r="EG398" i="1"/>
  <c r="EF398" i="1"/>
  <c r="EE398" i="1"/>
  <c r="ED398" i="1"/>
  <c r="EC398" i="1"/>
  <c r="EB398" i="1"/>
  <c r="EA398" i="1"/>
  <c r="DZ398" i="1"/>
  <c r="F398" i="1"/>
  <c r="EI397" i="1"/>
  <c r="EH397" i="1"/>
  <c r="EG397" i="1"/>
  <c r="EF397" i="1"/>
  <c r="EE397" i="1"/>
  <c r="ED397" i="1"/>
  <c r="EC397" i="1"/>
  <c r="EB397" i="1"/>
  <c r="EA397" i="1"/>
  <c r="DZ397" i="1"/>
  <c r="F397" i="1"/>
  <c r="EI396" i="1"/>
  <c r="EH396" i="1"/>
  <c r="EG396" i="1"/>
  <c r="EF396" i="1"/>
  <c r="EE396" i="1"/>
  <c r="ED396" i="1"/>
  <c r="EC396" i="1"/>
  <c r="EB396" i="1"/>
  <c r="EA396" i="1"/>
  <c r="DZ396" i="1"/>
  <c r="F396" i="1"/>
  <c r="EI395" i="1"/>
  <c r="EH395" i="1"/>
  <c r="EG395" i="1"/>
  <c r="EF395" i="1"/>
  <c r="EE395" i="1"/>
  <c r="ED395" i="1"/>
  <c r="EC395" i="1"/>
  <c r="EB395" i="1"/>
  <c r="EA395" i="1"/>
  <c r="DZ395" i="1"/>
  <c r="F395" i="1"/>
  <c r="EI394" i="1"/>
  <c r="EH394" i="1"/>
  <c r="EG394" i="1"/>
  <c r="EF394" i="1"/>
  <c r="EE394" i="1"/>
  <c r="ED394" i="1"/>
  <c r="EC394" i="1"/>
  <c r="EB394" i="1"/>
  <c r="EA394" i="1"/>
  <c r="DZ394" i="1"/>
  <c r="F394" i="1"/>
  <c r="EI393" i="1"/>
  <c r="EH393" i="1"/>
  <c r="EG393" i="1"/>
  <c r="EF393" i="1"/>
  <c r="EE393" i="1"/>
  <c r="ED393" i="1"/>
  <c r="EC393" i="1"/>
  <c r="EB393" i="1"/>
  <c r="EA393" i="1"/>
  <c r="DZ393" i="1"/>
  <c r="F393" i="1"/>
  <c r="EI392" i="1"/>
  <c r="EH392" i="1"/>
  <c r="EG392" i="1"/>
  <c r="EF392" i="1"/>
  <c r="EE392" i="1"/>
  <c r="ED392" i="1"/>
  <c r="EC392" i="1"/>
  <c r="EB392" i="1"/>
  <c r="EA392" i="1"/>
  <c r="DZ392" i="1"/>
  <c r="F392" i="1"/>
  <c r="EI391" i="1"/>
  <c r="EH391" i="1"/>
  <c r="EG391" i="1"/>
  <c r="EF391" i="1"/>
  <c r="EE391" i="1"/>
  <c r="ED391" i="1"/>
  <c r="EC391" i="1"/>
  <c r="EB391" i="1"/>
  <c r="EA391" i="1"/>
  <c r="DZ391" i="1"/>
  <c r="F391" i="1"/>
  <c r="EI390" i="1"/>
  <c r="EH390" i="1"/>
  <c r="EG390" i="1"/>
  <c r="EF390" i="1"/>
  <c r="EE390" i="1"/>
  <c r="ED390" i="1"/>
  <c r="EC390" i="1"/>
  <c r="EB390" i="1"/>
  <c r="EA390" i="1"/>
  <c r="DZ390" i="1"/>
  <c r="F390" i="1"/>
  <c r="EI389" i="1"/>
  <c r="EH389" i="1"/>
  <c r="EG389" i="1"/>
  <c r="EF389" i="1"/>
  <c r="EE389" i="1"/>
  <c r="ED389" i="1"/>
  <c r="EC389" i="1"/>
  <c r="EB389" i="1"/>
  <c r="EA389" i="1"/>
  <c r="DZ389" i="1"/>
  <c r="F389" i="1"/>
  <c r="EI388" i="1"/>
  <c r="EH388" i="1"/>
  <c r="EG388" i="1"/>
  <c r="EF388" i="1"/>
  <c r="EE388" i="1"/>
  <c r="ED388" i="1"/>
  <c r="EC388" i="1"/>
  <c r="EB388" i="1"/>
  <c r="EA388" i="1"/>
  <c r="DZ388" i="1"/>
  <c r="F388" i="1"/>
  <c r="EI387" i="1"/>
  <c r="EH387" i="1"/>
  <c r="EG387" i="1"/>
  <c r="EF387" i="1"/>
  <c r="EE387" i="1"/>
  <c r="ED387" i="1"/>
  <c r="EC387" i="1"/>
  <c r="EB387" i="1"/>
  <c r="EA387" i="1"/>
  <c r="DZ387" i="1"/>
  <c r="F387" i="1"/>
  <c r="EI386" i="1"/>
  <c r="EH386" i="1"/>
  <c r="EG386" i="1"/>
  <c r="EF386" i="1"/>
  <c r="EE386" i="1"/>
  <c r="ED386" i="1"/>
  <c r="EC386" i="1"/>
  <c r="EB386" i="1"/>
  <c r="EA386" i="1"/>
  <c r="DZ386" i="1"/>
  <c r="F386" i="1"/>
  <c r="EI385" i="1"/>
  <c r="EH385" i="1"/>
  <c r="EG385" i="1"/>
  <c r="EF385" i="1"/>
  <c r="EE385" i="1"/>
  <c r="ED385" i="1"/>
  <c r="EC385" i="1"/>
  <c r="EB385" i="1"/>
  <c r="EA385" i="1"/>
  <c r="DZ385" i="1"/>
  <c r="F385" i="1"/>
  <c r="EI384" i="1"/>
  <c r="EH384" i="1"/>
  <c r="EG384" i="1"/>
  <c r="EF384" i="1"/>
  <c r="EE384" i="1"/>
  <c r="ED384" i="1"/>
  <c r="EC384" i="1"/>
  <c r="EB384" i="1"/>
  <c r="EA384" i="1"/>
  <c r="DZ384" i="1"/>
  <c r="F384" i="1"/>
  <c r="EI383" i="1"/>
  <c r="EH383" i="1"/>
  <c r="EG383" i="1"/>
  <c r="EF383" i="1"/>
  <c r="EE383" i="1"/>
  <c r="ED383" i="1"/>
  <c r="EC383" i="1"/>
  <c r="EB383" i="1"/>
  <c r="EA383" i="1"/>
  <c r="DZ383" i="1"/>
  <c r="F383" i="1"/>
  <c r="EI382" i="1"/>
  <c r="EH382" i="1"/>
  <c r="EG382" i="1"/>
  <c r="EF382" i="1"/>
  <c r="EE382" i="1"/>
  <c r="ED382" i="1"/>
  <c r="EC382" i="1"/>
  <c r="EB382" i="1"/>
  <c r="EA382" i="1"/>
  <c r="DZ382" i="1"/>
  <c r="F382" i="1"/>
  <c r="EI381" i="1"/>
  <c r="EH381" i="1"/>
  <c r="EG381" i="1"/>
  <c r="EF381" i="1"/>
  <c r="EE381" i="1"/>
  <c r="ED381" i="1"/>
  <c r="EC381" i="1"/>
  <c r="EB381" i="1"/>
  <c r="EA381" i="1"/>
  <c r="DZ381" i="1"/>
  <c r="F381" i="1"/>
  <c r="EI380" i="1"/>
  <c r="EH380" i="1"/>
  <c r="EG380" i="1"/>
  <c r="EF380" i="1"/>
  <c r="EE380" i="1"/>
  <c r="ED380" i="1"/>
  <c r="EC380" i="1"/>
  <c r="EB380" i="1"/>
  <c r="EA380" i="1"/>
  <c r="DZ380" i="1"/>
  <c r="F380" i="1"/>
  <c r="EI379" i="1"/>
  <c r="EH379" i="1"/>
  <c r="EG379" i="1"/>
  <c r="EF379" i="1"/>
  <c r="EE379" i="1"/>
  <c r="ED379" i="1"/>
  <c r="EC379" i="1"/>
  <c r="EB379" i="1"/>
  <c r="EA379" i="1"/>
  <c r="DZ379" i="1"/>
  <c r="F379" i="1"/>
  <c r="EI378" i="1"/>
  <c r="EH378" i="1"/>
  <c r="EG378" i="1"/>
  <c r="EF378" i="1"/>
  <c r="EE378" i="1"/>
  <c r="ED378" i="1"/>
  <c r="EC378" i="1"/>
  <c r="EB378" i="1"/>
  <c r="EA378" i="1"/>
  <c r="DZ378" i="1"/>
  <c r="F378" i="1"/>
  <c r="EI377" i="1"/>
  <c r="EH377" i="1"/>
  <c r="EG377" i="1"/>
  <c r="EF377" i="1"/>
  <c r="EE377" i="1"/>
  <c r="ED377" i="1"/>
  <c r="EC377" i="1"/>
  <c r="EB377" i="1"/>
  <c r="EA377" i="1"/>
  <c r="DZ377" i="1"/>
  <c r="F377" i="1"/>
  <c r="EI376" i="1"/>
  <c r="EH376" i="1"/>
  <c r="EG376" i="1"/>
  <c r="EF376" i="1"/>
  <c r="EE376" i="1"/>
  <c r="ED376" i="1"/>
  <c r="EC376" i="1"/>
  <c r="EB376" i="1"/>
  <c r="EA376" i="1"/>
  <c r="DZ376" i="1"/>
  <c r="F376" i="1"/>
  <c r="EI375" i="1"/>
  <c r="EH375" i="1"/>
  <c r="EG375" i="1"/>
  <c r="EF375" i="1"/>
  <c r="EE375" i="1"/>
  <c r="ED375" i="1"/>
  <c r="EC375" i="1"/>
  <c r="EB375" i="1"/>
  <c r="EA375" i="1"/>
  <c r="DZ375" i="1"/>
  <c r="F375" i="1"/>
  <c r="EI374" i="1"/>
  <c r="EH374" i="1"/>
  <c r="EG374" i="1"/>
  <c r="EF374" i="1"/>
  <c r="EE374" i="1"/>
  <c r="ED374" i="1"/>
  <c r="EC374" i="1"/>
  <c r="EB374" i="1"/>
  <c r="EA374" i="1"/>
  <c r="DZ374" i="1"/>
  <c r="F374" i="1"/>
  <c r="EI373" i="1"/>
  <c r="EH373" i="1"/>
  <c r="EG373" i="1"/>
  <c r="EF373" i="1"/>
  <c r="EE373" i="1"/>
  <c r="ED373" i="1"/>
  <c r="EC373" i="1"/>
  <c r="EB373" i="1"/>
  <c r="EA373" i="1"/>
  <c r="DZ373" i="1"/>
  <c r="F373" i="1"/>
  <c r="EI372" i="1"/>
  <c r="EH372" i="1"/>
  <c r="EG372" i="1"/>
  <c r="EF372" i="1"/>
  <c r="EE372" i="1"/>
  <c r="ED372" i="1"/>
  <c r="EC372" i="1"/>
  <c r="EB372" i="1"/>
  <c r="EA372" i="1"/>
  <c r="DZ372" i="1"/>
  <c r="F372" i="1"/>
  <c r="EI371" i="1"/>
  <c r="EH371" i="1"/>
  <c r="EG371" i="1"/>
  <c r="EF371" i="1"/>
  <c r="EE371" i="1"/>
  <c r="ED371" i="1"/>
  <c r="EC371" i="1"/>
  <c r="EB371" i="1"/>
  <c r="EA371" i="1"/>
  <c r="DZ371" i="1"/>
  <c r="F371" i="1"/>
  <c r="EI370" i="1"/>
  <c r="EH370" i="1"/>
  <c r="EG370" i="1"/>
  <c r="EF370" i="1"/>
  <c r="EE370" i="1"/>
  <c r="ED370" i="1"/>
  <c r="EC370" i="1"/>
  <c r="EB370" i="1"/>
  <c r="EA370" i="1"/>
  <c r="DZ370" i="1"/>
  <c r="F370" i="1"/>
  <c r="EI369" i="1"/>
  <c r="EH369" i="1"/>
  <c r="EG369" i="1"/>
  <c r="EF369" i="1"/>
  <c r="EE369" i="1"/>
  <c r="ED369" i="1"/>
  <c r="EC369" i="1"/>
  <c r="EB369" i="1"/>
  <c r="EA369" i="1"/>
  <c r="DZ369" i="1"/>
  <c r="F369" i="1"/>
  <c r="EI368" i="1"/>
  <c r="EH368" i="1"/>
  <c r="EG368" i="1"/>
  <c r="EF368" i="1"/>
  <c r="EE368" i="1"/>
  <c r="ED368" i="1"/>
  <c r="EC368" i="1"/>
  <c r="EB368" i="1"/>
  <c r="EA368" i="1"/>
  <c r="DZ368" i="1"/>
  <c r="F368" i="1"/>
  <c r="EI367" i="1"/>
  <c r="EH367" i="1"/>
  <c r="EG367" i="1"/>
  <c r="EF367" i="1"/>
  <c r="EE367" i="1"/>
  <c r="ED367" i="1"/>
  <c r="EC367" i="1"/>
  <c r="EB367" i="1"/>
  <c r="EA367" i="1"/>
  <c r="DZ367" i="1"/>
  <c r="F367" i="1"/>
  <c r="EI366" i="1"/>
  <c r="EH366" i="1"/>
  <c r="EG366" i="1"/>
  <c r="EF366" i="1"/>
  <c r="EE366" i="1"/>
  <c r="ED366" i="1"/>
  <c r="EC366" i="1"/>
  <c r="EB366" i="1"/>
  <c r="EA366" i="1"/>
  <c r="DZ366" i="1"/>
  <c r="F366" i="1"/>
  <c r="EI365" i="1"/>
  <c r="EH365" i="1"/>
  <c r="EG365" i="1"/>
  <c r="EF365" i="1"/>
  <c r="EE365" i="1"/>
  <c r="ED365" i="1"/>
  <c r="EC365" i="1"/>
  <c r="EB365" i="1"/>
  <c r="EA365" i="1"/>
  <c r="DZ365" i="1"/>
  <c r="F365" i="1"/>
  <c r="EI364" i="1"/>
  <c r="EH364" i="1"/>
  <c r="EG364" i="1"/>
  <c r="EF364" i="1"/>
  <c r="EE364" i="1"/>
  <c r="ED364" i="1"/>
  <c r="EC364" i="1"/>
  <c r="EB364" i="1"/>
  <c r="EA364" i="1"/>
  <c r="DZ364" i="1"/>
  <c r="F364" i="1"/>
  <c r="EI363" i="1"/>
  <c r="EH363" i="1"/>
  <c r="EG363" i="1"/>
  <c r="EF363" i="1"/>
  <c r="EE363" i="1"/>
  <c r="ED363" i="1"/>
  <c r="EC363" i="1"/>
  <c r="EB363" i="1"/>
  <c r="EA363" i="1"/>
  <c r="DZ363" i="1"/>
  <c r="F363" i="1"/>
  <c r="EI362" i="1"/>
  <c r="EH362" i="1"/>
  <c r="EG362" i="1"/>
  <c r="EF362" i="1"/>
  <c r="EE362" i="1"/>
  <c r="ED362" i="1"/>
  <c r="EC362" i="1"/>
  <c r="EB362" i="1"/>
  <c r="EA362" i="1"/>
  <c r="DZ362" i="1"/>
  <c r="F362" i="1"/>
  <c r="EI361" i="1"/>
  <c r="EH361" i="1"/>
  <c r="EG361" i="1"/>
  <c r="EF361" i="1"/>
  <c r="EE361" i="1"/>
  <c r="ED361" i="1"/>
  <c r="EC361" i="1"/>
  <c r="EB361" i="1"/>
  <c r="EA361" i="1"/>
  <c r="DZ361" i="1"/>
  <c r="F361" i="1"/>
  <c r="EI360" i="1"/>
  <c r="EH360" i="1"/>
  <c r="EG360" i="1"/>
  <c r="EF360" i="1"/>
  <c r="EE360" i="1"/>
  <c r="ED360" i="1"/>
  <c r="EC360" i="1"/>
  <c r="EB360" i="1"/>
  <c r="EA360" i="1"/>
  <c r="DZ360" i="1"/>
  <c r="F360" i="1"/>
  <c r="EI359" i="1"/>
  <c r="EH359" i="1"/>
  <c r="EG359" i="1"/>
  <c r="EF359" i="1"/>
  <c r="EE359" i="1"/>
  <c r="ED359" i="1"/>
  <c r="EC359" i="1"/>
  <c r="EB359" i="1"/>
  <c r="EA359" i="1"/>
  <c r="DZ359" i="1"/>
  <c r="F359" i="1"/>
  <c r="EI358" i="1"/>
  <c r="EH358" i="1"/>
  <c r="EG358" i="1"/>
  <c r="EF358" i="1"/>
  <c r="EE358" i="1"/>
  <c r="ED358" i="1"/>
  <c r="EC358" i="1"/>
  <c r="EB358" i="1"/>
  <c r="EA358" i="1"/>
  <c r="DZ358" i="1"/>
  <c r="F358" i="1"/>
  <c r="EI357" i="1"/>
  <c r="EH357" i="1"/>
  <c r="EG357" i="1"/>
  <c r="EF357" i="1"/>
  <c r="EE357" i="1"/>
  <c r="ED357" i="1"/>
  <c r="EC357" i="1"/>
  <c r="EB357" i="1"/>
  <c r="EA357" i="1"/>
  <c r="DZ357" i="1"/>
  <c r="F357" i="1"/>
  <c r="EI356" i="1"/>
  <c r="EH356" i="1"/>
  <c r="EG356" i="1"/>
  <c r="EF356" i="1"/>
  <c r="EE356" i="1"/>
  <c r="ED356" i="1"/>
  <c r="EC356" i="1"/>
  <c r="EB356" i="1"/>
  <c r="EA356" i="1"/>
  <c r="DZ356" i="1"/>
  <c r="F356" i="1"/>
  <c r="EI355" i="1"/>
  <c r="EH355" i="1"/>
  <c r="EG355" i="1"/>
  <c r="EF355" i="1"/>
  <c r="EE355" i="1"/>
  <c r="ED355" i="1"/>
  <c r="EC355" i="1"/>
  <c r="EB355" i="1"/>
  <c r="EA355" i="1"/>
  <c r="DZ355" i="1"/>
  <c r="F355" i="1"/>
  <c r="EI354" i="1"/>
  <c r="EH354" i="1"/>
  <c r="EG354" i="1"/>
  <c r="EF354" i="1"/>
  <c r="EE354" i="1"/>
  <c r="ED354" i="1"/>
  <c r="EC354" i="1"/>
  <c r="EB354" i="1"/>
  <c r="EA354" i="1"/>
  <c r="DZ354" i="1"/>
  <c r="F354" i="1"/>
  <c r="EI353" i="1"/>
  <c r="EH353" i="1"/>
  <c r="EG353" i="1"/>
  <c r="EF353" i="1"/>
  <c r="EE353" i="1"/>
  <c r="ED353" i="1"/>
  <c r="EC353" i="1"/>
  <c r="EB353" i="1"/>
  <c r="EA353" i="1"/>
  <c r="DZ353" i="1"/>
  <c r="F353" i="1"/>
  <c r="EI352" i="1"/>
  <c r="EH352" i="1"/>
  <c r="EG352" i="1"/>
  <c r="EF352" i="1"/>
  <c r="EE352" i="1"/>
  <c r="ED352" i="1"/>
  <c r="EC352" i="1"/>
  <c r="EB352" i="1"/>
  <c r="EA352" i="1"/>
  <c r="DZ352" i="1"/>
  <c r="F352" i="1"/>
  <c r="EI351" i="1"/>
  <c r="EH351" i="1"/>
  <c r="EG351" i="1"/>
  <c r="EF351" i="1"/>
  <c r="EE351" i="1"/>
  <c r="ED351" i="1"/>
  <c r="EC351" i="1"/>
  <c r="EB351" i="1"/>
  <c r="EA351" i="1"/>
  <c r="DZ351" i="1"/>
  <c r="F351" i="1"/>
  <c r="EI350" i="1"/>
  <c r="EH350" i="1"/>
  <c r="EG350" i="1"/>
  <c r="EF350" i="1"/>
  <c r="EE350" i="1"/>
  <c r="ED350" i="1"/>
  <c r="EC350" i="1"/>
  <c r="EB350" i="1"/>
  <c r="EA350" i="1"/>
  <c r="DZ350" i="1"/>
  <c r="F350" i="1"/>
  <c r="EI349" i="1"/>
  <c r="EH349" i="1"/>
  <c r="EG349" i="1"/>
  <c r="EF349" i="1"/>
  <c r="EE349" i="1"/>
  <c r="ED349" i="1"/>
  <c r="EC349" i="1"/>
  <c r="EB349" i="1"/>
  <c r="EA349" i="1"/>
  <c r="DZ349" i="1"/>
  <c r="F349" i="1"/>
  <c r="EI348" i="1"/>
  <c r="EH348" i="1"/>
  <c r="EG348" i="1"/>
  <c r="EF348" i="1"/>
  <c r="EE348" i="1"/>
  <c r="ED348" i="1"/>
  <c r="EC348" i="1"/>
  <c r="EB348" i="1"/>
  <c r="EA348" i="1"/>
  <c r="DZ348" i="1"/>
  <c r="F348" i="1"/>
  <c r="EI347" i="1"/>
  <c r="EH347" i="1"/>
  <c r="EG347" i="1"/>
  <c r="EF347" i="1"/>
  <c r="EE347" i="1"/>
  <c r="ED347" i="1"/>
  <c r="EC347" i="1"/>
  <c r="EB347" i="1"/>
  <c r="EA347" i="1"/>
  <c r="DZ347" i="1"/>
  <c r="F347" i="1"/>
  <c r="EI346" i="1"/>
  <c r="EH346" i="1"/>
  <c r="EG346" i="1"/>
  <c r="EF346" i="1"/>
  <c r="EE346" i="1"/>
  <c r="ED346" i="1"/>
  <c r="EC346" i="1"/>
  <c r="EB346" i="1"/>
  <c r="EA346" i="1"/>
  <c r="DZ346" i="1"/>
  <c r="F346" i="1"/>
  <c r="EI345" i="1"/>
  <c r="EH345" i="1"/>
  <c r="EG345" i="1"/>
  <c r="EF345" i="1"/>
  <c r="EE345" i="1"/>
  <c r="ED345" i="1"/>
  <c r="EC345" i="1"/>
  <c r="EB345" i="1"/>
  <c r="EA345" i="1"/>
  <c r="DZ345" i="1"/>
  <c r="F345" i="1"/>
  <c r="EI344" i="1"/>
  <c r="EH344" i="1"/>
  <c r="EG344" i="1"/>
  <c r="EF344" i="1"/>
  <c r="EE344" i="1"/>
  <c r="ED344" i="1"/>
  <c r="EC344" i="1"/>
  <c r="EB344" i="1"/>
  <c r="EA344" i="1"/>
  <c r="DZ344" i="1"/>
  <c r="F344" i="1"/>
  <c r="EI343" i="1"/>
  <c r="EH343" i="1"/>
  <c r="EG343" i="1"/>
  <c r="EF343" i="1"/>
  <c r="EE343" i="1"/>
  <c r="ED343" i="1"/>
  <c r="EC343" i="1"/>
  <c r="EB343" i="1"/>
  <c r="EA343" i="1"/>
  <c r="DZ343" i="1"/>
  <c r="F343" i="1"/>
  <c r="EI342" i="1"/>
  <c r="EH342" i="1"/>
  <c r="EG342" i="1"/>
  <c r="EF342" i="1"/>
  <c r="EE342" i="1"/>
  <c r="ED342" i="1"/>
  <c r="EC342" i="1"/>
  <c r="EB342" i="1"/>
  <c r="EA342" i="1"/>
  <c r="DZ342" i="1"/>
  <c r="F342" i="1"/>
  <c r="EI341" i="1"/>
  <c r="EH341" i="1"/>
  <c r="EG341" i="1"/>
  <c r="EF341" i="1"/>
  <c r="EE341" i="1"/>
  <c r="ED341" i="1"/>
  <c r="EC341" i="1"/>
  <c r="EB341" i="1"/>
  <c r="EA341" i="1"/>
  <c r="DZ341" i="1"/>
  <c r="F341" i="1"/>
  <c r="EI340" i="1"/>
  <c r="EH340" i="1"/>
  <c r="EG340" i="1"/>
  <c r="EF340" i="1"/>
  <c r="EE340" i="1"/>
  <c r="ED340" i="1"/>
  <c r="EC340" i="1"/>
  <c r="EB340" i="1"/>
  <c r="EA340" i="1"/>
  <c r="DZ340" i="1"/>
  <c r="F340" i="1"/>
  <c r="EI339" i="1"/>
  <c r="EH339" i="1"/>
  <c r="EG339" i="1"/>
  <c r="EF339" i="1"/>
  <c r="EE339" i="1"/>
  <c r="ED339" i="1"/>
  <c r="EC339" i="1"/>
  <c r="EB339" i="1"/>
  <c r="EA339" i="1"/>
  <c r="DZ339" i="1"/>
  <c r="F339" i="1"/>
  <c r="EI338" i="1"/>
  <c r="EH338" i="1"/>
  <c r="EG338" i="1"/>
  <c r="EF338" i="1"/>
  <c r="EE338" i="1"/>
  <c r="ED338" i="1"/>
  <c r="EC338" i="1"/>
  <c r="EB338" i="1"/>
  <c r="EA338" i="1"/>
  <c r="DZ338" i="1"/>
  <c r="F338" i="1"/>
  <c r="EI337" i="1"/>
  <c r="EH337" i="1"/>
  <c r="EG337" i="1"/>
  <c r="EF337" i="1"/>
  <c r="EE337" i="1"/>
  <c r="ED337" i="1"/>
  <c r="EC337" i="1"/>
  <c r="EB337" i="1"/>
  <c r="EA337" i="1"/>
  <c r="DZ337" i="1"/>
  <c r="F337" i="1"/>
  <c r="EI336" i="1"/>
  <c r="EH336" i="1"/>
  <c r="EG336" i="1"/>
  <c r="EF336" i="1"/>
  <c r="EE336" i="1"/>
  <c r="ED336" i="1"/>
  <c r="EC336" i="1"/>
  <c r="EB336" i="1"/>
  <c r="EA336" i="1"/>
  <c r="DZ336" i="1"/>
  <c r="F336" i="1"/>
  <c r="EI335" i="1"/>
  <c r="EH335" i="1"/>
  <c r="EG335" i="1"/>
  <c r="EF335" i="1"/>
  <c r="EE335" i="1"/>
  <c r="ED335" i="1"/>
  <c r="EC335" i="1"/>
  <c r="EB335" i="1"/>
  <c r="EA335" i="1"/>
  <c r="DZ335" i="1"/>
  <c r="F335" i="1"/>
  <c r="EI334" i="1"/>
  <c r="EH334" i="1"/>
  <c r="EG334" i="1"/>
  <c r="EF334" i="1"/>
  <c r="EE334" i="1"/>
  <c r="ED334" i="1"/>
  <c r="EC334" i="1"/>
  <c r="EB334" i="1"/>
  <c r="EA334" i="1"/>
  <c r="DZ334" i="1"/>
  <c r="F334" i="1"/>
  <c r="EI333" i="1"/>
  <c r="EH333" i="1"/>
  <c r="EG333" i="1"/>
  <c r="EF333" i="1"/>
  <c r="EE333" i="1"/>
  <c r="ED333" i="1"/>
  <c r="EC333" i="1"/>
  <c r="EB333" i="1"/>
  <c r="EA333" i="1"/>
  <c r="DZ333" i="1"/>
  <c r="F333" i="1"/>
  <c r="EI332" i="1"/>
  <c r="EH332" i="1"/>
  <c r="EG332" i="1"/>
  <c r="EF332" i="1"/>
  <c r="EE332" i="1"/>
  <c r="ED332" i="1"/>
  <c r="EC332" i="1"/>
  <c r="EB332" i="1"/>
  <c r="EA332" i="1"/>
  <c r="DZ332" i="1"/>
  <c r="F332" i="1"/>
  <c r="EI331" i="1"/>
  <c r="EH331" i="1"/>
  <c r="EG331" i="1"/>
  <c r="EF331" i="1"/>
  <c r="EE331" i="1"/>
  <c r="ED331" i="1"/>
  <c r="EC331" i="1"/>
  <c r="EB331" i="1"/>
  <c r="EA331" i="1"/>
  <c r="DZ331" i="1"/>
  <c r="F331" i="1"/>
  <c r="EI330" i="1"/>
  <c r="EH330" i="1"/>
  <c r="EG330" i="1"/>
  <c r="EF330" i="1"/>
  <c r="EE330" i="1"/>
  <c r="ED330" i="1"/>
  <c r="EC330" i="1"/>
  <c r="EB330" i="1"/>
  <c r="EA330" i="1"/>
  <c r="DZ330" i="1"/>
  <c r="F330" i="1"/>
  <c r="EI329" i="1"/>
  <c r="EH329" i="1"/>
  <c r="EG329" i="1"/>
  <c r="EF329" i="1"/>
  <c r="EE329" i="1"/>
  <c r="ED329" i="1"/>
  <c r="EC329" i="1"/>
  <c r="EB329" i="1"/>
  <c r="EA329" i="1"/>
  <c r="DZ329" i="1"/>
  <c r="F329" i="1"/>
  <c r="EI328" i="1"/>
  <c r="EH328" i="1"/>
  <c r="EG328" i="1"/>
  <c r="EF328" i="1"/>
  <c r="EE328" i="1"/>
  <c r="ED328" i="1"/>
  <c r="EC328" i="1"/>
  <c r="EB328" i="1"/>
  <c r="EA328" i="1"/>
  <c r="DZ328" i="1"/>
  <c r="F328" i="1"/>
  <c r="EI327" i="1"/>
  <c r="EH327" i="1"/>
  <c r="EG327" i="1"/>
  <c r="EF327" i="1"/>
  <c r="EE327" i="1"/>
  <c r="ED327" i="1"/>
  <c r="EC327" i="1"/>
  <c r="EB327" i="1"/>
  <c r="EA327" i="1"/>
  <c r="DZ327" i="1"/>
  <c r="F327" i="1"/>
  <c r="EI326" i="1"/>
  <c r="EH326" i="1"/>
  <c r="EG326" i="1"/>
  <c r="EF326" i="1"/>
  <c r="EE326" i="1"/>
  <c r="ED326" i="1"/>
  <c r="EC326" i="1"/>
  <c r="EB326" i="1"/>
  <c r="EA326" i="1"/>
  <c r="DZ326" i="1"/>
  <c r="F326" i="1"/>
  <c r="EI325" i="1"/>
  <c r="EH325" i="1"/>
  <c r="EG325" i="1"/>
  <c r="EF325" i="1"/>
  <c r="EE325" i="1"/>
  <c r="ED325" i="1"/>
  <c r="EC325" i="1"/>
  <c r="EB325" i="1"/>
  <c r="EA325" i="1"/>
  <c r="DZ325" i="1"/>
  <c r="F325" i="1"/>
  <c r="EI324" i="1"/>
  <c r="EH324" i="1"/>
  <c r="EG324" i="1"/>
  <c r="EF324" i="1"/>
  <c r="EE324" i="1"/>
  <c r="ED324" i="1"/>
  <c r="EC324" i="1"/>
  <c r="EB324" i="1"/>
  <c r="EA324" i="1"/>
  <c r="DZ324" i="1"/>
  <c r="F324" i="1"/>
  <c r="EI323" i="1"/>
  <c r="EH323" i="1"/>
  <c r="EG323" i="1"/>
  <c r="EF323" i="1"/>
  <c r="EE323" i="1"/>
  <c r="ED323" i="1"/>
  <c r="EC323" i="1"/>
  <c r="EB323" i="1"/>
  <c r="EA323" i="1"/>
  <c r="DZ323" i="1"/>
  <c r="F323" i="1"/>
  <c r="EI322" i="1"/>
  <c r="EH322" i="1"/>
  <c r="EG322" i="1"/>
  <c r="EF322" i="1"/>
  <c r="EE322" i="1"/>
  <c r="ED322" i="1"/>
  <c r="EC322" i="1"/>
  <c r="EB322" i="1"/>
  <c r="EA322" i="1"/>
  <c r="DZ322" i="1"/>
  <c r="F322" i="1"/>
  <c r="EI321" i="1"/>
  <c r="EH321" i="1"/>
  <c r="EG321" i="1"/>
  <c r="EF321" i="1"/>
  <c r="EE321" i="1"/>
  <c r="ED321" i="1"/>
  <c r="EC321" i="1"/>
  <c r="EB321" i="1"/>
  <c r="EA321" i="1"/>
  <c r="DZ321" i="1"/>
  <c r="F321" i="1"/>
  <c r="EI320" i="1"/>
  <c r="EH320" i="1"/>
  <c r="EG320" i="1"/>
  <c r="EF320" i="1"/>
  <c r="EE320" i="1"/>
  <c r="ED320" i="1"/>
  <c r="EC320" i="1"/>
  <c r="EB320" i="1"/>
  <c r="EA320" i="1"/>
  <c r="DZ320" i="1"/>
  <c r="F320" i="1"/>
  <c r="EI319" i="1"/>
  <c r="EH319" i="1"/>
  <c r="EG319" i="1"/>
  <c r="EF319" i="1"/>
  <c r="EE319" i="1"/>
  <c r="ED319" i="1"/>
  <c r="EC319" i="1"/>
  <c r="EB319" i="1"/>
  <c r="EA319" i="1"/>
  <c r="DZ319" i="1"/>
  <c r="F319" i="1"/>
  <c r="EI318" i="1"/>
  <c r="EH318" i="1"/>
  <c r="EG318" i="1"/>
  <c r="EF318" i="1"/>
  <c r="EE318" i="1"/>
  <c r="ED318" i="1"/>
  <c r="EC318" i="1"/>
  <c r="EB318" i="1"/>
  <c r="EA318" i="1"/>
  <c r="DZ318" i="1"/>
  <c r="F318" i="1"/>
  <c r="EI317" i="1"/>
  <c r="EH317" i="1"/>
  <c r="EG317" i="1"/>
  <c r="EF317" i="1"/>
  <c r="EE317" i="1"/>
  <c r="ED317" i="1"/>
  <c r="EC317" i="1"/>
  <c r="EB317" i="1"/>
  <c r="EA317" i="1"/>
  <c r="DZ317" i="1"/>
  <c r="F317" i="1"/>
  <c r="EI316" i="1"/>
  <c r="EH316" i="1"/>
  <c r="EG316" i="1"/>
  <c r="EF316" i="1"/>
  <c r="EE316" i="1"/>
  <c r="ED316" i="1"/>
  <c r="EC316" i="1"/>
  <c r="EB316" i="1"/>
  <c r="EA316" i="1"/>
  <c r="DZ316" i="1"/>
  <c r="F316" i="1"/>
  <c r="EI315" i="1"/>
  <c r="EH315" i="1"/>
  <c r="EG315" i="1"/>
  <c r="EF315" i="1"/>
  <c r="EE315" i="1"/>
  <c r="ED315" i="1"/>
  <c r="EC315" i="1"/>
  <c r="EB315" i="1"/>
  <c r="EA315" i="1"/>
  <c r="DZ315" i="1"/>
  <c r="F315" i="1"/>
  <c r="EI314" i="1"/>
  <c r="EH314" i="1"/>
  <c r="EG314" i="1"/>
  <c r="EF314" i="1"/>
  <c r="EE314" i="1"/>
  <c r="ED314" i="1"/>
  <c r="EC314" i="1"/>
  <c r="EB314" i="1"/>
  <c r="EA314" i="1"/>
  <c r="DZ314" i="1"/>
  <c r="F314" i="1"/>
  <c r="EI313" i="1"/>
  <c r="EH313" i="1"/>
  <c r="EG313" i="1"/>
  <c r="EF313" i="1"/>
  <c r="EE313" i="1"/>
  <c r="ED313" i="1"/>
  <c r="EC313" i="1"/>
  <c r="EB313" i="1"/>
  <c r="EA313" i="1"/>
  <c r="DZ313" i="1"/>
  <c r="F313" i="1"/>
  <c r="EI312" i="1"/>
  <c r="EH312" i="1"/>
  <c r="EG312" i="1"/>
  <c r="EF312" i="1"/>
  <c r="EE312" i="1"/>
  <c r="ED312" i="1"/>
  <c r="EC312" i="1"/>
  <c r="EB312" i="1"/>
  <c r="EA312" i="1"/>
  <c r="DZ312" i="1"/>
  <c r="F312" i="1"/>
  <c r="EI311" i="1"/>
  <c r="EH311" i="1"/>
  <c r="EG311" i="1"/>
  <c r="EF311" i="1"/>
  <c r="EE311" i="1"/>
  <c r="ED311" i="1"/>
  <c r="EC311" i="1"/>
  <c r="EB311" i="1"/>
  <c r="EA311" i="1"/>
  <c r="DZ311" i="1"/>
  <c r="F311" i="1"/>
  <c r="EI310" i="1"/>
  <c r="EH310" i="1"/>
  <c r="EG310" i="1"/>
  <c r="EF310" i="1"/>
  <c r="EE310" i="1"/>
  <c r="ED310" i="1"/>
  <c r="EC310" i="1"/>
  <c r="EB310" i="1"/>
  <c r="EA310" i="1"/>
  <c r="DZ310" i="1"/>
  <c r="F310" i="1"/>
  <c r="EI309" i="1"/>
  <c r="EH309" i="1"/>
  <c r="EG309" i="1"/>
  <c r="EF309" i="1"/>
  <c r="EE309" i="1"/>
  <c r="ED309" i="1"/>
  <c r="EC309" i="1"/>
  <c r="EB309" i="1"/>
  <c r="EA309" i="1"/>
  <c r="DZ309" i="1"/>
  <c r="F309" i="1"/>
  <c r="EI308" i="1"/>
  <c r="EH308" i="1"/>
  <c r="EG308" i="1"/>
  <c r="EF308" i="1"/>
  <c r="EE308" i="1"/>
  <c r="ED308" i="1"/>
  <c r="EC308" i="1"/>
  <c r="EB308" i="1"/>
  <c r="EA308" i="1"/>
  <c r="DZ308" i="1"/>
  <c r="F308" i="1"/>
  <c r="EI307" i="1"/>
  <c r="EH307" i="1"/>
  <c r="EG307" i="1"/>
  <c r="EF307" i="1"/>
  <c r="EE307" i="1"/>
  <c r="ED307" i="1"/>
  <c r="EC307" i="1"/>
  <c r="EB307" i="1"/>
  <c r="EA307" i="1"/>
  <c r="DZ307" i="1"/>
  <c r="F307" i="1"/>
  <c r="EI306" i="1"/>
  <c r="EH306" i="1"/>
  <c r="EG306" i="1"/>
  <c r="EF306" i="1"/>
  <c r="EE306" i="1"/>
  <c r="ED306" i="1"/>
  <c r="EC306" i="1"/>
  <c r="EB306" i="1"/>
  <c r="EA306" i="1"/>
  <c r="DZ306" i="1"/>
  <c r="F306" i="1"/>
  <c r="EI305" i="1"/>
  <c r="EH305" i="1"/>
  <c r="EG305" i="1"/>
  <c r="EF305" i="1"/>
  <c r="EE305" i="1"/>
  <c r="ED305" i="1"/>
  <c r="EC305" i="1"/>
  <c r="EB305" i="1"/>
  <c r="EA305" i="1"/>
  <c r="DZ305" i="1"/>
  <c r="F305" i="1"/>
  <c r="EI304" i="1"/>
  <c r="EH304" i="1"/>
  <c r="EG304" i="1"/>
  <c r="EF304" i="1"/>
  <c r="EE304" i="1"/>
  <c r="ED304" i="1"/>
  <c r="EC304" i="1"/>
  <c r="EB304" i="1"/>
  <c r="EA304" i="1"/>
  <c r="DZ304" i="1"/>
  <c r="F304" i="1"/>
  <c r="EI303" i="1"/>
  <c r="EH303" i="1"/>
  <c r="EG303" i="1"/>
  <c r="EF303" i="1"/>
  <c r="EE303" i="1"/>
  <c r="ED303" i="1"/>
  <c r="EC303" i="1"/>
  <c r="EB303" i="1"/>
  <c r="EA303" i="1"/>
  <c r="DZ303" i="1"/>
  <c r="F303" i="1"/>
  <c r="EI302" i="1"/>
  <c r="EH302" i="1"/>
  <c r="EG302" i="1"/>
  <c r="EF302" i="1"/>
  <c r="EE302" i="1"/>
  <c r="ED302" i="1"/>
  <c r="EC302" i="1"/>
  <c r="EB302" i="1"/>
  <c r="EA302" i="1"/>
  <c r="DZ302" i="1"/>
  <c r="F302" i="1"/>
  <c r="EI301" i="1"/>
  <c r="EH301" i="1"/>
  <c r="EG301" i="1"/>
  <c r="EF301" i="1"/>
  <c r="EE301" i="1"/>
  <c r="ED301" i="1"/>
  <c r="EC301" i="1"/>
  <c r="EB301" i="1"/>
  <c r="EA301" i="1"/>
  <c r="DZ301" i="1"/>
  <c r="F301" i="1"/>
  <c r="EI300" i="1"/>
  <c r="EH300" i="1"/>
  <c r="EG300" i="1"/>
  <c r="EF300" i="1"/>
  <c r="EE300" i="1"/>
  <c r="ED300" i="1"/>
  <c r="EC300" i="1"/>
  <c r="EB300" i="1"/>
  <c r="EA300" i="1"/>
  <c r="DZ300" i="1"/>
  <c r="F300" i="1"/>
  <c r="EI299" i="1"/>
  <c r="EH299" i="1"/>
  <c r="EG299" i="1"/>
  <c r="EF299" i="1"/>
  <c r="EE299" i="1"/>
  <c r="ED299" i="1"/>
  <c r="EC299" i="1"/>
  <c r="EB299" i="1"/>
  <c r="EA299" i="1"/>
  <c r="DZ299" i="1"/>
  <c r="F299" i="1"/>
  <c r="EI298" i="1"/>
  <c r="EH298" i="1"/>
  <c r="EG298" i="1"/>
  <c r="EF298" i="1"/>
  <c r="EE298" i="1"/>
  <c r="ED298" i="1"/>
  <c r="EC298" i="1"/>
  <c r="EB298" i="1"/>
  <c r="EA298" i="1"/>
  <c r="DZ298" i="1"/>
  <c r="F298" i="1"/>
  <c r="EI297" i="1"/>
  <c r="EH297" i="1"/>
  <c r="EG297" i="1"/>
  <c r="EF297" i="1"/>
  <c r="EE297" i="1"/>
  <c r="ED297" i="1"/>
  <c r="EC297" i="1"/>
  <c r="EB297" i="1"/>
  <c r="EA297" i="1"/>
  <c r="DZ297" i="1"/>
  <c r="F297" i="1"/>
  <c r="EI296" i="1"/>
  <c r="EH296" i="1"/>
  <c r="EG296" i="1"/>
  <c r="EF296" i="1"/>
  <c r="EE296" i="1"/>
  <c r="ED296" i="1"/>
  <c r="EC296" i="1"/>
  <c r="EB296" i="1"/>
  <c r="EA296" i="1"/>
  <c r="DZ296" i="1"/>
  <c r="F296" i="1"/>
  <c r="EI295" i="1"/>
  <c r="EH295" i="1"/>
  <c r="EG295" i="1"/>
  <c r="EF295" i="1"/>
  <c r="EE295" i="1"/>
  <c r="ED295" i="1"/>
  <c r="EB295" i="1"/>
  <c r="EA295" i="1"/>
  <c r="DZ295" i="1"/>
  <c r="BC295" i="1"/>
  <c r="F295" i="1" s="1"/>
  <c r="EI294" i="1"/>
  <c r="EH294" i="1"/>
  <c r="EG294" i="1"/>
  <c r="EF294" i="1"/>
  <c r="EE294" i="1"/>
  <c r="ED294" i="1"/>
  <c r="EC294" i="1"/>
  <c r="EB294" i="1"/>
  <c r="EA294" i="1"/>
  <c r="DZ294" i="1"/>
  <c r="F294" i="1"/>
  <c r="EI293" i="1"/>
  <c r="EH293" i="1"/>
  <c r="EG293" i="1"/>
  <c r="EF293" i="1"/>
  <c r="EE293" i="1"/>
  <c r="ED293" i="1"/>
  <c r="EC293" i="1"/>
  <c r="EB293" i="1"/>
  <c r="EA293" i="1"/>
  <c r="DZ293" i="1"/>
  <c r="F293" i="1"/>
  <c r="EI292" i="1"/>
  <c r="EH292" i="1"/>
  <c r="EG292" i="1"/>
  <c r="EF292" i="1"/>
  <c r="EE292" i="1"/>
  <c r="ED292" i="1"/>
  <c r="EC292" i="1"/>
  <c r="EB292" i="1"/>
  <c r="EA292" i="1"/>
  <c r="DZ292" i="1"/>
  <c r="F292" i="1"/>
  <c r="EI291" i="1"/>
  <c r="EH291" i="1"/>
  <c r="EG291" i="1"/>
  <c r="EF291" i="1"/>
  <c r="EE291" i="1"/>
  <c r="ED291" i="1"/>
  <c r="EC291" i="1"/>
  <c r="EB291" i="1"/>
  <c r="EA291" i="1"/>
  <c r="DZ291" i="1"/>
  <c r="F291" i="1"/>
  <c r="EI290" i="1"/>
  <c r="EH290" i="1"/>
  <c r="EG290" i="1"/>
  <c r="EF290" i="1"/>
  <c r="EE290" i="1"/>
  <c r="ED290" i="1"/>
  <c r="EC290" i="1"/>
  <c r="EB290" i="1"/>
  <c r="EA290" i="1"/>
  <c r="DZ290" i="1"/>
  <c r="F290" i="1"/>
  <c r="EI289" i="1"/>
  <c r="EH289" i="1"/>
  <c r="EG289" i="1"/>
  <c r="EF289" i="1"/>
  <c r="EE289" i="1"/>
  <c r="ED289" i="1"/>
  <c r="EC289" i="1"/>
  <c r="EB289" i="1"/>
  <c r="EA289" i="1"/>
  <c r="DZ289" i="1"/>
  <c r="F289" i="1"/>
  <c r="EI288" i="1"/>
  <c r="EH288" i="1"/>
  <c r="EG288" i="1"/>
  <c r="EF288" i="1"/>
  <c r="EE288" i="1"/>
  <c r="ED288" i="1"/>
  <c r="EC288" i="1"/>
  <c r="EB288" i="1"/>
  <c r="EA288" i="1"/>
  <c r="DZ288" i="1"/>
  <c r="F288" i="1"/>
  <c r="EI287" i="1"/>
  <c r="EH287" i="1"/>
  <c r="EG287" i="1"/>
  <c r="EF287" i="1"/>
  <c r="EE287" i="1"/>
  <c r="ED287" i="1"/>
  <c r="EC287" i="1"/>
  <c r="EB287" i="1"/>
  <c r="EA287" i="1"/>
  <c r="DZ287" i="1"/>
  <c r="F287" i="1"/>
  <c r="EI286" i="1"/>
  <c r="EH286" i="1"/>
  <c r="EG286" i="1"/>
  <c r="EF286" i="1"/>
  <c r="EE286" i="1"/>
  <c r="ED286" i="1"/>
  <c r="EC286" i="1"/>
  <c r="EB286" i="1"/>
  <c r="EA286" i="1"/>
  <c r="DZ286" i="1"/>
  <c r="F286" i="1"/>
  <c r="EI285" i="1"/>
  <c r="EH285" i="1"/>
  <c r="EG285" i="1"/>
  <c r="EF285" i="1"/>
  <c r="EE285" i="1"/>
  <c r="ED285" i="1"/>
  <c r="EC285" i="1"/>
  <c r="EB285" i="1"/>
  <c r="EA285" i="1"/>
  <c r="DZ285" i="1"/>
  <c r="F285" i="1"/>
  <c r="EI284" i="1"/>
  <c r="EH284" i="1"/>
  <c r="EG284" i="1"/>
  <c r="EF284" i="1"/>
  <c r="EE284" i="1"/>
  <c r="ED284" i="1"/>
  <c r="EC284" i="1"/>
  <c r="EB284" i="1"/>
  <c r="EA284" i="1"/>
  <c r="DZ284" i="1"/>
  <c r="F284" i="1"/>
  <c r="EI283" i="1"/>
  <c r="EH283" i="1"/>
  <c r="EG283" i="1"/>
  <c r="EF283" i="1"/>
  <c r="EE283" i="1"/>
  <c r="ED283" i="1"/>
  <c r="EC283" i="1"/>
  <c r="EB283" i="1"/>
  <c r="EA283" i="1"/>
  <c r="DZ283" i="1"/>
  <c r="F283" i="1"/>
  <c r="EI282" i="1"/>
  <c r="EH282" i="1"/>
  <c r="EG282" i="1"/>
  <c r="EF282" i="1"/>
  <c r="EE282" i="1"/>
  <c r="ED282" i="1"/>
  <c r="EC282" i="1"/>
  <c r="EB282" i="1"/>
  <c r="EA282" i="1"/>
  <c r="DZ282" i="1"/>
  <c r="F282" i="1"/>
  <c r="EI281" i="1"/>
  <c r="EH281" i="1"/>
  <c r="EG281" i="1"/>
  <c r="EF281" i="1"/>
  <c r="EE281" i="1"/>
  <c r="ED281" i="1"/>
  <c r="EC281" i="1"/>
  <c r="EB281" i="1"/>
  <c r="EA281" i="1"/>
  <c r="DZ281" i="1"/>
  <c r="F281" i="1"/>
  <c r="EI280" i="1"/>
  <c r="EH280" i="1"/>
  <c r="EG280" i="1"/>
  <c r="EF280" i="1"/>
  <c r="EE280" i="1"/>
  <c r="ED280" i="1"/>
  <c r="EC280" i="1"/>
  <c r="EB280" i="1"/>
  <c r="EA280" i="1"/>
  <c r="DZ280" i="1"/>
  <c r="F280" i="1"/>
  <c r="EI279" i="1"/>
  <c r="EH279" i="1"/>
  <c r="EG279" i="1"/>
  <c r="EF279" i="1"/>
  <c r="EE279" i="1"/>
  <c r="ED279" i="1"/>
  <c r="EC279" i="1"/>
  <c r="EB279" i="1"/>
  <c r="EA279" i="1"/>
  <c r="DZ279" i="1"/>
  <c r="F279" i="1"/>
  <c r="EI278" i="1"/>
  <c r="EH278" i="1"/>
  <c r="EG278" i="1"/>
  <c r="EF278" i="1"/>
  <c r="EE278" i="1"/>
  <c r="ED278" i="1"/>
  <c r="EC278" i="1"/>
  <c r="EB278" i="1"/>
  <c r="EA278" i="1"/>
  <c r="DZ278" i="1"/>
  <c r="F278" i="1"/>
  <c r="EI277" i="1"/>
  <c r="EH277" i="1"/>
  <c r="EG277" i="1"/>
  <c r="EF277" i="1"/>
  <c r="EE277" i="1"/>
  <c r="ED277" i="1"/>
  <c r="EC277" i="1"/>
  <c r="EB277" i="1"/>
  <c r="EA277" i="1"/>
  <c r="DZ277" i="1"/>
  <c r="F277" i="1"/>
  <c r="EI276" i="1"/>
  <c r="EH276" i="1"/>
  <c r="EG276" i="1"/>
  <c r="EF276" i="1"/>
  <c r="EE276" i="1"/>
  <c r="ED276" i="1"/>
  <c r="EC276" i="1"/>
  <c r="EB276" i="1"/>
  <c r="EA276" i="1"/>
  <c r="DZ276" i="1"/>
  <c r="F276" i="1"/>
  <c r="EI275" i="1"/>
  <c r="EH275" i="1"/>
  <c r="EG275" i="1"/>
  <c r="EF275" i="1"/>
  <c r="EE275" i="1"/>
  <c r="ED275" i="1"/>
  <c r="EC275" i="1"/>
  <c r="EB275" i="1"/>
  <c r="EA275" i="1"/>
  <c r="DZ275" i="1"/>
  <c r="F275" i="1"/>
  <c r="EI274" i="1"/>
  <c r="EH274" i="1"/>
  <c r="EG274" i="1"/>
  <c r="EF274" i="1"/>
  <c r="EE274" i="1"/>
  <c r="ED274" i="1"/>
  <c r="EC274" i="1"/>
  <c r="EB274" i="1"/>
  <c r="EA274" i="1"/>
  <c r="DZ274" i="1"/>
  <c r="F274" i="1"/>
  <c r="EI273" i="1"/>
  <c r="EH273" i="1"/>
  <c r="EG273" i="1"/>
  <c r="EF273" i="1"/>
  <c r="EE273" i="1"/>
  <c r="ED273" i="1"/>
  <c r="EC273" i="1"/>
  <c r="EB273" i="1"/>
  <c r="EA273" i="1"/>
  <c r="DZ273" i="1"/>
  <c r="F273" i="1"/>
  <c r="EI272" i="1"/>
  <c r="EH272" i="1"/>
  <c r="EG272" i="1"/>
  <c r="EF272" i="1"/>
  <c r="EE272" i="1"/>
  <c r="ED272" i="1"/>
  <c r="EC272" i="1"/>
  <c r="EB272" i="1"/>
  <c r="EA272" i="1"/>
  <c r="DZ272" i="1"/>
  <c r="F272" i="1"/>
  <c r="EI271" i="1"/>
  <c r="EH271" i="1"/>
  <c r="EG271" i="1"/>
  <c r="EF271" i="1"/>
  <c r="EE271" i="1"/>
  <c r="ED271" i="1"/>
  <c r="EC271" i="1"/>
  <c r="EB271" i="1"/>
  <c r="EA271" i="1"/>
  <c r="DZ271" i="1"/>
  <c r="F271" i="1"/>
  <c r="EI270" i="1"/>
  <c r="EH270" i="1"/>
  <c r="EG270" i="1"/>
  <c r="EF270" i="1"/>
  <c r="EE270" i="1"/>
  <c r="ED270" i="1"/>
  <c r="EC270" i="1"/>
  <c r="EB270" i="1"/>
  <c r="EA270" i="1"/>
  <c r="DZ270" i="1"/>
  <c r="F270" i="1"/>
  <c r="EI269" i="1"/>
  <c r="EH269" i="1"/>
  <c r="EG269" i="1"/>
  <c r="EF269" i="1"/>
  <c r="EE269" i="1"/>
  <c r="ED269" i="1"/>
  <c r="EC269" i="1"/>
  <c r="EB269" i="1"/>
  <c r="EA269" i="1"/>
  <c r="DZ269" i="1"/>
  <c r="F269" i="1"/>
  <c r="EI268" i="1"/>
  <c r="EH268" i="1"/>
  <c r="EG268" i="1"/>
  <c r="EF268" i="1"/>
  <c r="EE268" i="1"/>
  <c r="ED268" i="1"/>
  <c r="EC268" i="1"/>
  <c r="EB268" i="1"/>
  <c r="EA268" i="1"/>
  <c r="DZ268" i="1"/>
  <c r="F268" i="1"/>
  <c r="EI267" i="1"/>
  <c r="EH267" i="1"/>
  <c r="EG267" i="1"/>
  <c r="EF267" i="1"/>
  <c r="EE267" i="1"/>
  <c r="ED267" i="1"/>
  <c r="EC267" i="1"/>
  <c r="EB267" i="1"/>
  <c r="EA267" i="1"/>
  <c r="DZ267" i="1"/>
  <c r="F267" i="1"/>
  <c r="EI266" i="1"/>
  <c r="EH266" i="1"/>
  <c r="EG266" i="1"/>
  <c r="EF266" i="1"/>
  <c r="EE266" i="1"/>
  <c r="ED266" i="1"/>
  <c r="EC266" i="1"/>
  <c r="EB266" i="1"/>
  <c r="EA266" i="1"/>
  <c r="DZ266" i="1"/>
  <c r="F266" i="1"/>
  <c r="EI265" i="1"/>
  <c r="EH265" i="1"/>
  <c r="EG265" i="1"/>
  <c r="EF265" i="1"/>
  <c r="EE265" i="1"/>
  <c r="ED265" i="1"/>
  <c r="EC265" i="1"/>
  <c r="EB265" i="1"/>
  <c r="EA265" i="1"/>
  <c r="DZ265" i="1"/>
  <c r="F265" i="1"/>
  <c r="EI264" i="1"/>
  <c r="EH264" i="1"/>
  <c r="EG264" i="1"/>
  <c r="EF264" i="1"/>
  <c r="EE264" i="1"/>
  <c r="ED264" i="1"/>
  <c r="EC264" i="1"/>
  <c r="EB264" i="1"/>
  <c r="EA264" i="1"/>
  <c r="DZ264" i="1"/>
  <c r="F264" i="1"/>
  <c r="EI263" i="1"/>
  <c r="EH263" i="1"/>
  <c r="EG263" i="1"/>
  <c r="EF263" i="1"/>
  <c r="EE263" i="1"/>
  <c r="ED263" i="1"/>
  <c r="EC263" i="1"/>
  <c r="EB263" i="1"/>
  <c r="EA263" i="1"/>
  <c r="DZ263" i="1"/>
  <c r="F263" i="1"/>
  <c r="EI262" i="1"/>
  <c r="EH262" i="1"/>
  <c r="EG262" i="1"/>
  <c r="EF262" i="1"/>
  <c r="EE262" i="1"/>
  <c r="ED262" i="1"/>
  <c r="EC262" i="1"/>
  <c r="EB262" i="1"/>
  <c r="EA262" i="1"/>
  <c r="DZ262" i="1"/>
  <c r="F262" i="1"/>
  <c r="EI261" i="1"/>
  <c r="EH261" i="1"/>
  <c r="EG261" i="1"/>
  <c r="EF261" i="1"/>
  <c r="EE261" i="1"/>
  <c r="ED261" i="1"/>
  <c r="EC261" i="1"/>
  <c r="EB261" i="1"/>
  <c r="EA261" i="1"/>
  <c r="DZ261" i="1"/>
  <c r="F261" i="1"/>
  <c r="EI260" i="1"/>
  <c r="EH260" i="1"/>
  <c r="EG260" i="1"/>
  <c r="EF260" i="1"/>
  <c r="EE260" i="1"/>
  <c r="ED260" i="1"/>
  <c r="EC260" i="1"/>
  <c r="EB260" i="1"/>
  <c r="EA260" i="1"/>
  <c r="DZ260" i="1"/>
  <c r="F260" i="1"/>
  <c r="EI259" i="1"/>
  <c r="EH259" i="1"/>
  <c r="EG259" i="1"/>
  <c r="EF259" i="1"/>
  <c r="EE259" i="1"/>
  <c r="ED259" i="1"/>
  <c r="EC259" i="1"/>
  <c r="EB259" i="1"/>
  <c r="EA259" i="1"/>
  <c r="DZ259" i="1"/>
  <c r="F259" i="1"/>
  <c r="EI258" i="1"/>
  <c r="EH258" i="1"/>
  <c r="EG258" i="1"/>
  <c r="EF258" i="1"/>
  <c r="EE258" i="1"/>
  <c r="ED258" i="1"/>
  <c r="EC258" i="1"/>
  <c r="EB258" i="1"/>
  <c r="EA258" i="1"/>
  <c r="DZ258" i="1"/>
  <c r="F258" i="1"/>
  <c r="EI257" i="1"/>
  <c r="EH257" i="1"/>
  <c r="EG257" i="1"/>
  <c r="EF257" i="1"/>
  <c r="EE257" i="1"/>
  <c r="ED257" i="1"/>
  <c r="EC257" i="1"/>
  <c r="EB257" i="1"/>
  <c r="EA257" i="1"/>
  <c r="DZ257" i="1"/>
  <c r="F257" i="1"/>
  <c r="EI256" i="1"/>
  <c r="EH256" i="1"/>
  <c r="EG256" i="1"/>
  <c r="EF256" i="1"/>
  <c r="EE256" i="1"/>
  <c r="ED256" i="1"/>
  <c r="EC256" i="1"/>
  <c r="EB256" i="1"/>
  <c r="EA256" i="1"/>
  <c r="DZ256" i="1"/>
  <c r="F256" i="1"/>
  <c r="EI255" i="1"/>
  <c r="EH255" i="1"/>
  <c r="EG255" i="1"/>
  <c r="EF255" i="1"/>
  <c r="EE255" i="1"/>
  <c r="ED255" i="1"/>
  <c r="EC255" i="1"/>
  <c r="EB255" i="1"/>
  <c r="EA255" i="1"/>
  <c r="DZ255" i="1"/>
  <c r="F255" i="1"/>
  <c r="EI254" i="1"/>
  <c r="EH254" i="1"/>
  <c r="EG254" i="1"/>
  <c r="EF254" i="1"/>
  <c r="EE254" i="1"/>
  <c r="ED254" i="1"/>
  <c r="EC254" i="1"/>
  <c r="EB254" i="1"/>
  <c r="EA254" i="1"/>
  <c r="DZ254" i="1"/>
  <c r="F254" i="1"/>
  <c r="EI253" i="1"/>
  <c r="EH253" i="1"/>
  <c r="EG253" i="1"/>
  <c r="EF253" i="1"/>
  <c r="EE253" i="1"/>
  <c r="ED253" i="1"/>
  <c r="EC253" i="1"/>
  <c r="EB253" i="1"/>
  <c r="EA253" i="1"/>
  <c r="DZ253" i="1"/>
  <c r="F253" i="1"/>
  <c r="EI252" i="1"/>
  <c r="EH252" i="1"/>
  <c r="EG252" i="1"/>
  <c r="EF252" i="1"/>
  <c r="EE252" i="1"/>
  <c r="ED252" i="1"/>
  <c r="EC252" i="1"/>
  <c r="EB252" i="1"/>
  <c r="EA252" i="1"/>
  <c r="DZ252" i="1"/>
  <c r="F252" i="1"/>
  <c r="EI251" i="1"/>
  <c r="EH251" i="1"/>
  <c r="EG251" i="1"/>
  <c r="EF251" i="1"/>
  <c r="EE251" i="1"/>
  <c r="ED251" i="1"/>
  <c r="EC251" i="1"/>
  <c r="EB251" i="1"/>
  <c r="EA251" i="1"/>
  <c r="DZ251" i="1"/>
  <c r="F251" i="1"/>
  <c r="EI250" i="1"/>
  <c r="EH250" i="1"/>
  <c r="EG250" i="1"/>
  <c r="EF250" i="1"/>
  <c r="EE250" i="1"/>
  <c r="ED250" i="1"/>
  <c r="EC250" i="1"/>
  <c r="EB250" i="1"/>
  <c r="EA250" i="1"/>
  <c r="DZ250" i="1"/>
  <c r="F250" i="1"/>
  <c r="EI249" i="1"/>
  <c r="EH249" i="1"/>
  <c r="EG249" i="1"/>
  <c r="EF249" i="1"/>
  <c r="EE249" i="1"/>
  <c r="ED249" i="1"/>
  <c r="EC249" i="1"/>
  <c r="EB249" i="1"/>
  <c r="EA249" i="1"/>
  <c r="DZ249" i="1"/>
  <c r="F249" i="1"/>
  <c r="EI248" i="1"/>
  <c r="EH248" i="1"/>
  <c r="EG248" i="1"/>
  <c r="EF248" i="1"/>
  <c r="EE248" i="1"/>
  <c r="ED248" i="1"/>
  <c r="EC248" i="1"/>
  <c r="EB248" i="1"/>
  <c r="EA248" i="1"/>
  <c r="DZ248" i="1"/>
  <c r="F248" i="1"/>
  <c r="EI247" i="1"/>
  <c r="EH247" i="1"/>
  <c r="EG247" i="1"/>
  <c r="EF247" i="1"/>
  <c r="EE247" i="1"/>
  <c r="ED247" i="1"/>
  <c r="EC247" i="1"/>
  <c r="EB247" i="1"/>
  <c r="EA247" i="1"/>
  <c r="DZ247" i="1"/>
  <c r="F247" i="1"/>
  <c r="EI246" i="1"/>
  <c r="EH246" i="1"/>
  <c r="EG246" i="1"/>
  <c r="EF246" i="1"/>
  <c r="EE246" i="1"/>
  <c r="ED246" i="1"/>
  <c r="EC246" i="1"/>
  <c r="EB246" i="1"/>
  <c r="EA246" i="1"/>
  <c r="DZ246" i="1"/>
  <c r="F246" i="1"/>
  <c r="EI245" i="1"/>
  <c r="EH245" i="1"/>
  <c r="EG245" i="1"/>
  <c r="EF245" i="1"/>
  <c r="EE245" i="1"/>
  <c r="ED245" i="1"/>
  <c r="EC245" i="1"/>
  <c r="EB245" i="1"/>
  <c r="EA245" i="1"/>
  <c r="DZ245" i="1"/>
  <c r="F245" i="1"/>
  <c r="EI244" i="1"/>
  <c r="EH244" i="1"/>
  <c r="EG244" i="1"/>
  <c r="EF244" i="1"/>
  <c r="EE244" i="1"/>
  <c r="ED244" i="1"/>
  <c r="EC244" i="1"/>
  <c r="EB244" i="1"/>
  <c r="EA244" i="1"/>
  <c r="DZ244" i="1"/>
  <c r="F244" i="1"/>
  <c r="EI243" i="1"/>
  <c r="EH243" i="1"/>
  <c r="EG243" i="1"/>
  <c r="EF243" i="1"/>
  <c r="EE243" i="1"/>
  <c r="ED243" i="1"/>
  <c r="EC243" i="1"/>
  <c r="EB243" i="1"/>
  <c r="EA243" i="1"/>
  <c r="DZ243" i="1"/>
  <c r="F243" i="1"/>
  <c r="EI242" i="1"/>
  <c r="EH242" i="1"/>
  <c r="EG242" i="1"/>
  <c r="EF242" i="1"/>
  <c r="EE242" i="1"/>
  <c r="ED242" i="1"/>
  <c r="EC242" i="1"/>
  <c r="EB242" i="1"/>
  <c r="EA242" i="1"/>
  <c r="DZ242" i="1"/>
  <c r="F242" i="1"/>
  <c r="EI241" i="1"/>
  <c r="EH241" i="1"/>
  <c r="EG241" i="1"/>
  <c r="EF241" i="1"/>
  <c r="EE241" i="1"/>
  <c r="ED241" i="1"/>
  <c r="EC241" i="1"/>
  <c r="EB241" i="1"/>
  <c r="EA241" i="1"/>
  <c r="DZ241" i="1"/>
  <c r="F241" i="1"/>
  <c r="EI240" i="1"/>
  <c r="EH240" i="1"/>
  <c r="EG240" i="1"/>
  <c r="EF240" i="1"/>
  <c r="EE240" i="1"/>
  <c r="ED240" i="1"/>
  <c r="EC240" i="1"/>
  <c r="EB240" i="1"/>
  <c r="EA240" i="1"/>
  <c r="DZ240" i="1"/>
  <c r="F240" i="1"/>
  <c r="EI239" i="1"/>
  <c r="EH239" i="1"/>
  <c r="EG239" i="1"/>
  <c r="EF239" i="1"/>
  <c r="EE239" i="1"/>
  <c r="ED239" i="1"/>
  <c r="EC239" i="1"/>
  <c r="EB239" i="1"/>
  <c r="EA239" i="1"/>
  <c r="DZ239" i="1"/>
  <c r="F239" i="1"/>
  <c r="EI238" i="1"/>
  <c r="EH238" i="1"/>
  <c r="EG238" i="1"/>
  <c r="EF238" i="1"/>
  <c r="EE238" i="1"/>
  <c r="ED238" i="1"/>
  <c r="EC238" i="1"/>
  <c r="EB238" i="1"/>
  <c r="EA238" i="1"/>
  <c r="DZ238" i="1"/>
  <c r="F238" i="1"/>
  <c r="EI237" i="1"/>
  <c r="EH237" i="1"/>
  <c r="EG237" i="1"/>
  <c r="EF237" i="1"/>
  <c r="EE237" i="1"/>
  <c r="ED237" i="1"/>
  <c r="EC237" i="1"/>
  <c r="EB237" i="1"/>
  <c r="EA237" i="1"/>
  <c r="DZ237" i="1"/>
  <c r="F237" i="1"/>
  <c r="EI236" i="1"/>
  <c r="EH236" i="1"/>
  <c r="EG236" i="1"/>
  <c r="EF236" i="1"/>
  <c r="EE236" i="1"/>
  <c r="ED236" i="1"/>
  <c r="EC236" i="1"/>
  <c r="EB236" i="1"/>
  <c r="EA236" i="1"/>
  <c r="DZ236" i="1"/>
  <c r="F236" i="1"/>
  <c r="EI235" i="1"/>
  <c r="EH235" i="1"/>
  <c r="EG235" i="1"/>
  <c r="EF235" i="1"/>
  <c r="EE235" i="1"/>
  <c r="ED235" i="1"/>
  <c r="EC235" i="1"/>
  <c r="EB235" i="1"/>
  <c r="EA235" i="1"/>
  <c r="DZ235" i="1"/>
  <c r="F235" i="1"/>
  <c r="EI234" i="1"/>
  <c r="EH234" i="1"/>
  <c r="EG234" i="1"/>
  <c r="EF234" i="1"/>
  <c r="EE234" i="1"/>
  <c r="ED234" i="1"/>
  <c r="EC234" i="1"/>
  <c r="EB234" i="1"/>
  <c r="EA234" i="1"/>
  <c r="DZ234" i="1"/>
  <c r="F234" i="1"/>
  <c r="EI233" i="1"/>
  <c r="EH233" i="1"/>
  <c r="EG233" i="1"/>
  <c r="EF233" i="1"/>
  <c r="EE233" i="1"/>
  <c r="ED233" i="1"/>
  <c r="EC233" i="1"/>
  <c r="EB233" i="1"/>
  <c r="EA233" i="1"/>
  <c r="DZ233" i="1"/>
  <c r="F233" i="1"/>
  <c r="EI232" i="1"/>
  <c r="EH232" i="1"/>
  <c r="EG232" i="1"/>
  <c r="EF232" i="1"/>
  <c r="EE232" i="1"/>
  <c r="ED232" i="1"/>
  <c r="EC232" i="1"/>
  <c r="EB232" i="1"/>
  <c r="EA232" i="1"/>
  <c r="DZ232" i="1"/>
  <c r="F232" i="1"/>
  <c r="EI231" i="1"/>
  <c r="EH231" i="1"/>
  <c r="EG231" i="1"/>
  <c r="EF231" i="1"/>
  <c r="EE231" i="1"/>
  <c r="ED231" i="1"/>
  <c r="EC231" i="1"/>
  <c r="EB231" i="1"/>
  <c r="EA231" i="1"/>
  <c r="DZ231" i="1"/>
  <c r="F231" i="1"/>
  <c r="EI230" i="1"/>
  <c r="EH230" i="1"/>
  <c r="EG230" i="1"/>
  <c r="EF230" i="1"/>
  <c r="EE230" i="1"/>
  <c r="ED230" i="1"/>
  <c r="EC230" i="1"/>
  <c r="EB230" i="1"/>
  <c r="EA230" i="1"/>
  <c r="DZ230" i="1"/>
  <c r="F230" i="1"/>
  <c r="EI229" i="1"/>
  <c r="EH229" i="1"/>
  <c r="EG229" i="1"/>
  <c r="EF229" i="1"/>
  <c r="EE229" i="1"/>
  <c r="ED229" i="1"/>
  <c r="EC229" i="1"/>
  <c r="EB229" i="1"/>
  <c r="EA229" i="1"/>
  <c r="DZ229" i="1"/>
  <c r="F229" i="1"/>
  <c r="EI228" i="1"/>
  <c r="EH228" i="1"/>
  <c r="EG228" i="1"/>
  <c r="EF228" i="1"/>
  <c r="EE228" i="1"/>
  <c r="ED228" i="1"/>
  <c r="EC228" i="1"/>
  <c r="EB228" i="1"/>
  <c r="EA228" i="1"/>
  <c r="DZ228" i="1"/>
  <c r="F228" i="1"/>
  <c r="EI227" i="1"/>
  <c r="EH227" i="1"/>
  <c r="EG227" i="1"/>
  <c r="EF227" i="1"/>
  <c r="EE227" i="1"/>
  <c r="ED227" i="1"/>
  <c r="EC227" i="1"/>
  <c r="EB227" i="1"/>
  <c r="EA227" i="1"/>
  <c r="DZ227" i="1"/>
  <c r="F227" i="1"/>
  <c r="EI226" i="1"/>
  <c r="EH226" i="1"/>
  <c r="EG226" i="1"/>
  <c r="EF226" i="1"/>
  <c r="EE226" i="1"/>
  <c r="ED226" i="1"/>
  <c r="EC226" i="1"/>
  <c r="EB226" i="1"/>
  <c r="EA226" i="1"/>
  <c r="DZ226" i="1"/>
  <c r="F226" i="1"/>
  <c r="EI225" i="1"/>
  <c r="EH225" i="1"/>
  <c r="EG225" i="1"/>
  <c r="EF225" i="1"/>
  <c r="EE225" i="1"/>
  <c r="ED225" i="1"/>
  <c r="EC225" i="1"/>
  <c r="EB225" i="1"/>
  <c r="EA225" i="1"/>
  <c r="DZ225" i="1"/>
  <c r="F225" i="1"/>
  <c r="EI224" i="1"/>
  <c r="EH224" i="1"/>
  <c r="EG224" i="1"/>
  <c r="EF224" i="1"/>
  <c r="EE224" i="1"/>
  <c r="ED224" i="1"/>
  <c r="EC224" i="1"/>
  <c r="EB224" i="1"/>
  <c r="EA224" i="1"/>
  <c r="DZ224" i="1"/>
  <c r="F224" i="1"/>
  <c r="EI223" i="1"/>
  <c r="EH223" i="1"/>
  <c r="EG223" i="1"/>
  <c r="EF223" i="1"/>
  <c r="EE223" i="1"/>
  <c r="ED223" i="1"/>
  <c r="EC223" i="1"/>
  <c r="EB223" i="1"/>
  <c r="EA223" i="1"/>
  <c r="DZ223" i="1"/>
  <c r="F223" i="1"/>
  <c r="EI222" i="1"/>
  <c r="EH222" i="1"/>
  <c r="EG222" i="1"/>
  <c r="EF222" i="1"/>
  <c r="EE222" i="1"/>
  <c r="ED222" i="1"/>
  <c r="EC222" i="1"/>
  <c r="EB222" i="1"/>
  <c r="EA222" i="1"/>
  <c r="DZ222" i="1"/>
  <c r="F222" i="1"/>
  <c r="EI221" i="1"/>
  <c r="EH221" i="1"/>
  <c r="EG221" i="1"/>
  <c r="EF221" i="1"/>
  <c r="EE221" i="1"/>
  <c r="ED221" i="1"/>
  <c r="EC221" i="1"/>
  <c r="EB221" i="1"/>
  <c r="EA221" i="1"/>
  <c r="DZ221" i="1"/>
  <c r="F221" i="1"/>
  <c r="EI220" i="1"/>
  <c r="EH220" i="1"/>
  <c r="EG220" i="1"/>
  <c r="EF220" i="1"/>
  <c r="EE220" i="1"/>
  <c r="ED220" i="1"/>
  <c r="EC220" i="1"/>
  <c r="EB220" i="1"/>
  <c r="EA220" i="1"/>
  <c r="DZ220" i="1"/>
  <c r="F220" i="1"/>
  <c r="EI219" i="1"/>
  <c r="EH219" i="1"/>
  <c r="EG219" i="1"/>
  <c r="EF219" i="1"/>
  <c r="EE219" i="1"/>
  <c r="ED219" i="1"/>
  <c r="EC219" i="1"/>
  <c r="EB219" i="1"/>
  <c r="EA219" i="1"/>
  <c r="DZ219" i="1"/>
  <c r="F219" i="1"/>
  <c r="EI218" i="1"/>
  <c r="EH218" i="1"/>
  <c r="EG218" i="1"/>
  <c r="EF218" i="1"/>
  <c r="EE218" i="1"/>
  <c r="ED218" i="1"/>
  <c r="EC218" i="1"/>
  <c r="EB218" i="1"/>
  <c r="EA218" i="1"/>
  <c r="DZ218" i="1"/>
  <c r="F218" i="1"/>
  <c r="EI217" i="1"/>
  <c r="EH217" i="1"/>
  <c r="EG217" i="1"/>
  <c r="EF217" i="1"/>
  <c r="EE217" i="1"/>
  <c r="ED217" i="1"/>
  <c r="EC217" i="1"/>
  <c r="EB217" i="1"/>
  <c r="EA217" i="1"/>
  <c r="DZ217" i="1"/>
  <c r="F217" i="1"/>
  <c r="EI216" i="1"/>
  <c r="EH216" i="1"/>
  <c r="EG216" i="1"/>
  <c r="EF216" i="1"/>
  <c r="EE216" i="1"/>
  <c r="ED216" i="1"/>
  <c r="EC216" i="1"/>
  <c r="EB216" i="1"/>
  <c r="EA216" i="1"/>
  <c r="DZ216" i="1"/>
  <c r="F216" i="1"/>
  <c r="EI215" i="1"/>
  <c r="EH215" i="1"/>
  <c r="EG215" i="1"/>
  <c r="EF215" i="1"/>
  <c r="EE215" i="1"/>
  <c r="ED215" i="1"/>
  <c r="EC215" i="1"/>
  <c r="EB215" i="1"/>
  <c r="EA215" i="1"/>
  <c r="DZ215" i="1"/>
  <c r="F215" i="1"/>
  <c r="EI214" i="1"/>
  <c r="EH214" i="1"/>
  <c r="EG214" i="1"/>
  <c r="EF214" i="1"/>
  <c r="EE214" i="1"/>
  <c r="ED214" i="1"/>
  <c r="EC214" i="1"/>
  <c r="EB214" i="1"/>
  <c r="EA214" i="1"/>
  <c r="DZ214" i="1"/>
  <c r="F214" i="1"/>
  <c r="EI213" i="1"/>
  <c r="EH213" i="1"/>
  <c r="EG213" i="1"/>
  <c r="EF213" i="1"/>
  <c r="EE213" i="1"/>
  <c r="ED213" i="1"/>
  <c r="EC213" i="1"/>
  <c r="EB213" i="1"/>
  <c r="EA213" i="1"/>
  <c r="DZ213" i="1"/>
  <c r="F213" i="1"/>
  <c r="EI212" i="1"/>
  <c r="EH212" i="1"/>
  <c r="EG212" i="1"/>
  <c r="EF212" i="1"/>
  <c r="EE212" i="1"/>
  <c r="ED212" i="1"/>
  <c r="EC212" i="1"/>
  <c r="EB212" i="1"/>
  <c r="EA212" i="1"/>
  <c r="DZ212" i="1"/>
  <c r="F212" i="1"/>
  <c r="EI211" i="1"/>
  <c r="EH211" i="1"/>
  <c r="EG211" i="1"/>
  <c r="EF211" i="1"/>
  <c r="EE211" i="1"/>
  <c r="ED211" i="1"/>
  <c r="EC211" i="1"/>
  <c r="EB211" i="1"/>
  <c r="EA211" i="1"/>
  <c r="DZ211" i="1"/>
  <c r="F211" i="1"/>
  <c r="EI210" i="1"/>
  <c r="EH210" i="1"/>
  <c r="EG210" i="1"/>
  <c r="EF210" i="1"/>
  <c r="EE210" i="1"/>
  <c r="ED210" i="1"/>
  <c r="EC210" i="1"/>
  <c r="EB210" i="1"/>
  <c r="EA210" i="1"/>
  <c r="DZ210" i="1"/>
  <c r="F210" i="1"/>
  <c r="EI209" i="1"/>
  <c r="EH209" i="1"/>
  <c r="EG209" i="1"/>
  <c r="EF209" i="1"/>
  <c r="EE209" i="1"/>
  <c r="ED209" i="1"/>
  <c r="EC209" i="1"/>
  <c r="EB209" i="1"/>
  <c r="EA209" i="1"/>
  <c r="DZ209" i="1"/>
  <c r="F209" i="1"/>
  <c r="EI208" i="1"/>
  <c r="EH208" i="1"/>
  <c r="EG208" i="1"/>
  <c r="EF208" i="1"/>
  <c r="EE208" i="1"/>
  <c r="ED208" i="1"/>
  <c r="EC208" i="1"/>
  <c r="EB208" i="1"/>
  <c r="EA208" i="1"/>
  <c r="DZ208" i="1"/>
  <c r="F208" i="1"/>
  <c r="EI207" i="1"/>
  <c r="EH207" i="1"/>
  <c r="EG207" i="1"/>
  <c r="EF207" i="1"/>
  <c r="EE207" i="1"/>
  <c r="ED207" i="1"/>
  <c r="EC207" i="1"/>
  <c r="EB207" i="1"/>
  <c r="EA207" i="1"/>
  <c r="DZ207" i="1"/>
  <c r="F207" i="1"/>
  <c r="EI206" i="1"/>
  <c r="EH206" i="1"/>
  <c r="EG206" i="1"/>
  <c r="EF206" i="1"/>
  <c r="EE206" i="1"/>
  <c r="ED206" i="1"/>
  <c r="EC206" i="1"/>
  <c r="EB206" i="1"/>
  <c r="EA206" i="1"/>
  <c r="DZ206" i="1"/>
  <c r="F206" i="1"/>
  <c r="EI205" i="1"/>
  <c r="EH205" i="1"/>
  <c r="EG205" i="1"/>
  <c r="EF205" i="1"/>
  <c r="EE205" i="1"/>
  <c r="ED205" i="1"/>
  <c r="EC205" i="1"/>
  <c r="EB205" i="1"/>
  <c r="EA205" i="1"/>
  <c r="DZ205" i="1"/>
  <c r="F205" i="1"/>
  <c r="EI204" i="1"/>
  <c r="EH204" i="1"/>
  <c r="EG204" i="1"/>
  <c r="EF204" i="1"/>
  <c r="EE204" i="1"/>
  <c r="ED204" i="1"/>
  <c r="EC204" i="1"/>
  <c r="EB204" i="1"/>
  <c r="EA204" i="1"/>
  <c r="DZ204" i="1"/>
  <c r="F204" i="1"/>
  <c r="EI203" i="1"/>
  <c r="EH203" i="1"/>
  <c r="EG203" i="1"/>
  <c r="EF203" i="1"/>
  <c r="EE203" i="1"/>
  <c r="ED203" i="1"/>
  <c r="EC203" i="1"/>
  <c r="EB203" i="1"/>
  <c r="EA203" i="1"/>
  <c r="DZ203" i="1"/>
  <c r="F203" i="1"/>
  <c r="EI202" i="1"/>
  <c r="EH202" i="1"/>
  <c r="EG202" i="1"/>
  <c r="EF202" i="1"/>
  <c r="EE202" i="1"/>
  <c r="ED202" i="1"/>
  <c r="EC202" i="1"/>
  <c r="EB202" i="1"/>
  <c r="EA202" i="1"/>
  <c r="DZ202" i="1"/>
  <c r="F202" i="1"/>
  <c r="EI201" i="1"/>
  <c r="EH201" i="1"/>
  <c r="EG201" i="1"/>
  <c r="EF201" i="1"/>
  <c r="EE201" i="1"/>
  <c r="ED201" i="1"/>
  <c r="EC201" i="1"/>
  <c r="EB201" i="1"/>
  <c r="EA201" i="1"/>
  <c r="DZ201" i="1"/>
  <c r="F201" i="1"/>
  <c r="EI200" i="1"/>
  <c r="EH200" i="1"/>
  <c r="EG200" i="1"/>
  <c r="EF200" i="1"/>
  <c r="EE200" i="1"/>
  <c r="ED200" i="1"/>
  <c r="EC200" i="1"/>
  <c r="EB200" i="1"/>
  <c r="EA200" i="1"/>
  <c r="DZ200" i="1"/>
  <c r="F200" i="1"/>
  <c r="EI199" i="1"/>
  <c r="EH199" i="1"/>
  <c r="F199" i="1"/>
  <c r="EI198" i="1"/>
  <c r="EH198" i="1"/>
  <c r="F198" i="1"/>
  <c r="EI197" i="1"/>
  <c r="EH197" i="1"/>
  <c r="F197" i="1"/>
  <c r="EI196" i="1"/>
  <c r="EH196" i="1"/>
  <c r="EG196" i="1"/>
  <c r="EF196" i="1"/>
  <c r="EE196" i="1"/>
  <c r="ED196" i="1"/>
  <c r="EC196" i="1"/>
  <c r="EB196" i="1"/>
  <c r="EA196" i="1"/>
  <c r="DZ196" i="1"/>
  <c r="F196" i="1"/>
  <c r="EI195" i="1"/>
  <c r="EH195" i="1"/>
  <c r="EG195" i="1"/>
  <c r="EF195" i="1"/>
  <c r="EE195" i="1"/>
  <c r="ED195" i="1"/>
  <c r="EC195" i="1"/>
  <c r="EB195" i="1"/>
  <c r="EA195" i="1"/>
  <c r="DZ195" i="1"/>
  <c r="F195" i="1"/>
  <c r="EI194" i="1"/>
  <c r="EH194" i="1"/>
  <c r="EG194" i="1"/>
  <c r="EF194" i="1"/>
  <c r="EE194" i="1"/>
  <c r="ED194" i="1"/>
  <c r="EC194" i="1"/>
  <c r="EB194" i="1"/>
  <c r="EA194" i="1"/>
  <c r="DZ194" i="1"/>
  <c r="F194" i="1"/>
  <c r="EI193" i="1"/>
  <c r="EH193" i="1"/>
  <c r="EG193" i="1"/>
  <c r="EF193" i="1"/>
  <c r="EE193" i="1"/>
  <c r="ED193" i="1"/>
  <c r="EC193" i="1"/>
  <c r="EB193" i="1"/>
  <c r="EA193" i="1"/>
  <c r="DZ193" i="1"/>
  <c r="F193" i="1"/>
  <c r="EI192" i="1"/>
  <c r="EH192" i="1"/>
  <c r="EG192" i="1"/>
  <c r="EF192" i="1"/>
  <c r="EE192" i="1"/>
  <c r="ED192" i="1"/>
  <c r="EC192" i="1"/>
  <c r="EB192" i="1"/>
  <c r="EA192" i="1"/>
  <c r="DZ192" i="1"/>
  <c r="F192" i="1"/>
  <c r="EI191" i="1"/>
  <c r="EH191" i="1"/>
  <c r="EG191" i="1"/>
  <c r="EF191" i="1"/>
  <c r="EE191" i="1"/>
  <c r="ED191" i="1"/>
  <c r="EC191" i="1"/>
  <c r="EB191" i="1"/>
  <c r="EA191" i="1"/>
  <c r="DZ191" i="1"/>
  <c r="F191" i="1"/>
  <c r="EI190" i="1"/>
  <c r="EH190" i="1"/>
  <c r="EG190" i="1"/>
  <c r="EF190" i="1"/>
  <c r="EE190" i="1"/>
  <c r="ED190" i="1"/>
  <c r="EC190" i="1"/>
  <c r="EB190" i="1"/>
  <c r="EA190" i="1"/>
  <c r="DZ190" i="1"/>
  <c r="F190" i="1"/>
  <c r="EI189" i="1"/>
  <c r="EH189" i="1"/>
  <c r="EG189" i="1"/>
  <c r="EF189" i="1"/>
  <c r="EE189" i="1"/>
  <c r="ED189" i="1"/>
  <c r="EC189" i="1"/>
  <c r="EB189" i="1"/>
  <c r="EA189" i="1"/>
  <c r="DZ189" i="1"/>
  <c r="F189" i="1"/>
  <c r="EI188" i="1"/>
  <c r="EH188" i="1"/>
  <c r="EG188" i="1"/>
  <c r="EF188" i="1"/>
  <c r="EE188" i="1"/>
  <c r="ED188" i="1"/>
  <c r="EC188" i="1"/>
  <c r="EB188" i="1"/>
  <c r="EA188" i="1"/>
  <c r="DZ188" i="1"/>
  <c r="F188" i="1"/>
  <c r="EI187" i="1"/>
  <c r="EH187" i="1"/>
  <c r="EG187" i="1"/>
  <c r="EF187" i="1"/>
  <c r="EE187" i="1"/>
  <c r="ED187" i="1"/>
  <c r="EC187" i="1"/>
  <c r="EB187" i="1"/>
  <c r="EA187" i="1"/>
  <c r="DZ187" i="1"/>
  <c r="F187" i="1"/>
  <c r="EI186" i="1"/>
  <c r="EH186" i="1"/>
  <c r="EG186" i="1"/>
  <c r="EF186" i="1"/>
  <c r="EE186" i="1"/>
  <c r="ED186" i="1"/>
  <c r="EC186" i="1"/>
  <c r="EB186" i="1"/>
  <c r="EA186" i="1"/>
  <c r="DZ186" i="1"/>
  <c r="F186" i="1"/>
  <c r="EI185" i="1"/>
  <c r="EH185" i="1"/>
  <c r="EG185" i="1"/>
  <c r="EF185" i="1"/>
  <c r="EE185" i="1"/>
  <c r="ED185" i="1"/>
  <c r="EC185" i="1"/>
  <c r="EB185" i="1"/>
  <c r="EA185" i="1"/>
  <c r="DZ185" i="1"/>
  <c r="F185" i="1"/>
  <c r="EI184" i="1"/>
  <c r="EH184" i="1"/>
  <c r="EG184" i="1"/>
  <c r="EF184" i="1"/>
  <c r="EE184" i="1"/>
  <c r="ED184" i="1"/>
  <c r="EC184" i="1"/>
  <c r="EB184" i="1"/>
  <c r="EA184" i="1"/>
  <c r="DZ184" i="1"/>
  <c r="F184" i="1"/>
  <c r="EI183" i="1"/>
  <c r="EH183" i="1"/>
  <c r="EG183" i="1"/>
  <c r="EF183" i="1"/>
  <c r="EE183" i="1"/>
  <c r="ED183" i="1"/>
  <c r="EC183" i="1"/>
  <c r="EB183" i="1"/>
  <c r="EA183" i="1"/>
  <c r="DZ183" i="1"/>
  <c r="F183" i="1"/>
  <c r="EI182" i="1"/>
  <c r="EH182" i="1"/>
  <c r="EG182" i="1"/>
  <c r="EF182" i="1"/>
  <c r="EE182" i="1"/>
  <c r="ED182" i="1"/>
  <c r="EC182" i="1"/>
  <c r="EB182" i="1"/>
  <c r="EA182" i="1"/>
  <c r="DZ182" i="1"/>
  <c r="F182" i="1"/>
  <c r="EI181" i="1"/>
  <c r="EH181" i="1"/>
  <c r="EG181" i="1"/>
  <c r="EF181" i="1"/>
  <c r="EE181" i="1"/>
  <c r="ED181" i="1"/>
  <c r="EC181" i="1"/>
  <c r="EB181" i="1"/>
  <c r="EA181" i="1"/>
  <c r="DZ181" i="1"/>
  <c r="F181" i="1"/>
  <c r="EI180" i="1"/>
  <c r="F180" i="1"/>
  <c r="EI179" i="1"/>
  <c r="F179" i="1"/>
  <c r="EI178" i="1"/>
  <c r="EH178" i="1"/>
  <c r="EG178" i="1"/>
  <c r="EF178" i="1"/>
  <c r="EE178" i="1"/>
  <c r="ED178" i="1"/>
  <c r="EC178" i="1"/>
  <c r="EB178" i="1"/>
  <c r="EA178" i="1"/>
  <c r="DZ178" i="1"/>
  <c r="F178" i="1"/>
  <c r="EI177" i="1"/>
  <c r="EH177" i="1"/>
  <c r="EG177" i="1"/>
  <c r="EF177" i="1"/>
  <c r="EE177" i="1"/>
  <c r="ED177" i="1"/>
  <c r="EC177" i="1"/>
  <c r="EB177" i="1"/>
  <c r="EA177" i="1"/>
  <c r="DZ177" i="1"/>
  <c r="F177" i="1"/>
  <c r="EI176" i="1"/>
  <c r="EH176" i="1"/>
  <c r="EG176" i="1"/>
  <c r="EF176" i="1"/>
  <c r="EE176" i="1"/>
  <c r="ED176" i="1"/>
  <c r="EC176" i="1"/>
  <c r="EB176" i="1"/>
  <c r="EA176" i="1"/>
  <c r="DZ176" i="1"/>
  <c r="F176" i="1"/>
  <c r="EI175" i="1"/>
  <c r="EH175" i="1"/>
  <c r="EG175" i="1"/>
  <c r="EF175" i="1"/>
  <c r="EE175" i="1"/>
  <c r="ED175" i="1"/>
  <c r="EC175" i="1"/>
  <c r="EB175" i="1"/>
  <c r="EA175" i="1"/>
  <c r="DZ175" i="1"/>
  <c r="F175" i="1"/>
  <c r="EI174" i="1"/>
  <c r="EH174" i="1"/>
  <c r="EG174" i="1"/>
  <c r="EF174" i="1"/>
  <c r="EE174" i="1"/>
  <c r="ED174" i="1"/>
  <c r="EC174" i="1"/>
  <c r="EB174" i="1"/>
  <c r="EA174" i="1"/>
  <c r="DZ174" i="1"/>
  <c r="F174" i="1"/>
  <c r="EI173" i="1"/>
  <c r="EH173" i="1"/>
  <c r="EG173" i="1"/>
  <c r="EF173" i="1"/>
  <c r="EE173" i="1"/>
  <c r="ED173" i="1"/>
  <c r="EC173" i="1"/>
  <c r="EB173" i="1"/>
  <c r="EA173" i="1"/>
  <c r="DZ173" i="1"/>
  <c r="F173" i="1"/>
  <c r="EI172" i="1"/>
  <c r="EH172" i="1"/>
  <c r="EG172" i="1"/>
  <c r="EF172" i="1"/>
  <c r="EE172" i="1"/>
  <c r="ED172" i="1"/>
  <c r="EC172" i="1"/>
  <c r="EB172" i="1"/>
  <c r="EA172" i="1"/>
  <c r="DZ172" i="1"/>
  <c r="F172" i="1"/>
  <c r="EI171" i="1"/>
  <c r="EH171" i="1"/>
  <c r="F171" i="1"/>
  <c r="EI170" i="1"/>
  <c r="EH170" i="1"/>
  <c r="F170" i="1"/>
  <c r="EI169" i="1"/>
  <c r="EH169" i="1"/>
  <c r="F169" i="1"/>
  <c r="EI168" i="1"/>
  <c r="EH168" i="1"/>
  <c r="F168" i="1"/>
  <c r="EI167" i="1"/>
  <c r="EH167" i="1"/>
  <c r="EG167" i="1"/>
  <c r="EF167" i="1"/>
  <c r="EE167" i="1"/>
  <c r="ED167" i="1"/>
  <c r="EC167" i="1"/>
  <c r="EB167" i="1"/>
  <c r="EA167" i="1"/>
  <c r="DZ167" i="1"/>
  <c r="F167" i="1"/>
  <c r="EI166" i="1"/>
  <c r="EH166" i="1"/>
  <c r="EG166" i="1"/>
  <c r="EF166" i="1"/>
  <c r="EE166" i="1"/>
  <c r="ED166" i="1"/>
  <c r="EC166" i="1"/>
  <c r="EB166" i="1"/>
  <c r="EA166" i="1"/>
  <c r="DZ166" i="1"/>
  <c r="F166" i="1"/>
  <c r="EI165" i="1"/>
  <c r="EH165" i="1"/>
  <c r="EG165" i="1"/>
  <c r="EF165" i="1"/>
  <c r="EE165" i="1"/>
  <c r="ED165" i="1"/>
  <c r="EC165" i="1"/>
  <c r="EB165" i="1"/>
  <c r="EA165" i="1"/>
  <c r="DZ165" i="1"/>
  <c r="F165" i="1"/>
  <c r="EI164" i="1"/>
  <c r="EH164" i="1"/>
  <c r="EG164" i="1"/>
  <c r="EF164" i="1"/>
  <c r="EE164" i="1"/>
  <c r="ED164" i="1"/>
  <c r="EC164" i="1"/>
  <c r="EB164" i="1"/>
  <c r="EA164" i="1"/>
  <c r="DZ164" i="1"/>
  <c r="F164" i="1"/>
  <c r="EI163" i="1"/>
  <c r="EH163" i="1"/>
  <c r="EG163" i="1"/>
  <c r="EF163" i="1"/>
  <c r="EE163" i="1"/>
  <c r="ED163" i="1"/>
  <c r="EC163" i="1"/>
  <c r="EB163" i="1"/>
  <c r="EA163" i="1"/>
  <c r="DZ163" i="1"/>
  <c r="F163" i="1"/>
  <c r="EI162" i="1"/>
  <c r="EH162" i="1"/>
  <c r="EG162" i="1"/>
  <c r="EF162" i="1"/>
  <c r="EE162" i="1"/>
  <c r="ED162" i="1"/>
  <c r="EC162" i="1"/>
  <c r="EB162" i="1"/>
  <c r="EA162" i="1"/>
  <c r="DZ162" i="1"/>
  <c r="F162" i="1"/>
  <c r="EI161" i="1"/>
  <c r="EH161" i="1"/>
  <c r="EG161" i="1"/>
  <c r="EF161" i="1"/>
  <c r="EE161" i="1"/>
  <c r="ED161" i="1"/>
  <c r="EC161" i="1"/>
  <c r="EB161" i="1"/>
  <c r="EA161" i="1"/>
  <c r="DZ161" i="1"/>
  <c r="F161" i="1"/>
  <c r="EI160" i="1"/>
  <c r="EH160" i="1"/>
  <c r="EG160" i="1"/>
  <c r="EF160" i="1"/>
  <c r="EE160" i="1"/>
  <c r="ED160" i="1"/>
  <c r="EC160" i="1"/>
  <c r="EB160" i="1"/>
  <c r="EA160" i="1"/>
  <c r="DZ160" i="1"/>
  <c r="F160" i="1"/>
  <c r="EI159" i="1"/>
  <c r="EH159" i="1"/>
  <c r="F159" i="1"/>
  <c r="EI158" i="1"/>
  <c r="EH158" i="1"/>
  <c r="F158" i="1"/>
  <c r="EI157" i="1"/>
  <c r="EH157" i="1"/>
  <c r="F157" i="1"/>
  <c r="EI156" i="1"/>
  <c r="EH156" i="1"/>
  <c r="F156" i="1"/>
  <c r="EI155" i="1"/>
  <c r="EH155" i="1"/>
  <c r="EG155" i="1"/>
  <c r="EF155" i="1"/>
  <c r="EE155" i="1"/>
  <c r="ED155" i="1"/>
  <c r="EC155" i="1"/>
  <c r="EB155" i="1"/>
  <c r="EA155" i="1"/>
  <c r="DZ155" i="1"/>
  <c r="F155" i="1"/>
  <c r="EI154" i="1"/>
  <c r="EH154" i="1"/>
  <c r="EG154" i="1"/>
  <c r="EF154" i="1"/>
  <c r="EE154" i="1"/>
  <c r="ED154" i="1"/>
  <c r="EC154" i="1"/>
  <c r="EB154" i="1"/>
  <c r="EA154" i="1"/>
  <c r="DZ154" i="1"/>
  <c r="F154" i="1"/>
  <c r="EI153" i="1"/>
  <c r="EH153" i="1"/>
  <c r="EG153" i="1"/>
  <c r="EF153" i="1"/>
  <c r="EE153" i="1"/>
  <c r="ED153" i="1"/>
  <c r="EC153" i="1"/>
  <c r="EB153" i="1"/>
  <c r="EA153" i="1"/>
  <c r="DZ153" i="1"/>
  <c r="F153" i="1"/>
  <c r="EI152" i="1"/>
  <c r="EH152" i="1"/>
  <c r="EG152" i="1"/>
  <c r="EF152" i="1"/>
  <c r="EE152" i="1"/>
  <c r="ED152" i="1"/>
  <c r="EC152" i="1"/>
  <c r="EB152" i="1"/>
  <c r="EA152" i="1"/>
  <c r="DZ152" i="1"/>
  <c r="F152" i="1"/>
  <c r="EI151" i="1"/>
  <c r="EH151" i="1"/>
  <c r="EG151" i="1"/>
  <c r="EF151" i="1"/>
  <c r="EE151" i="1"/>
  <c r="ED151" i="1"/>
  <c r="EC151" i="1"/>
  <c r="EB151" i="1"/>
  <c r="EA151" i="1"/>
  <c r="DZ151" i="1"/>
  <c r="F151" i="1"/>
  <c r="EI150" i="1"/>
  <c r="EH150" i="1"/>
  <c r="EG150" i="1"/>
  <c r="EF150" i="1"/>
  <c r="EE150" i="1"/>
  <c r="ED150" i="1"/>
  <c r="EC150" i="1"/>
  <c r="EB150" i="1"/>
  <c r="EA150" i="1"/>
  <c r="DZ150" i="1"/>
  <c r="F150" i="1"/>
  <c r="EI149" i="1"/>
  <c r="EH149" i="1"/>
  <c r="EG149" i="1"/>
  <c r="EF149" i="1"/>
  <c r="EE149" i="1"/>
  <c r="ED149" i="1"/>
  <c r="EC149" i="1"/>
  <c r="EB149" i="1"/>
  <c r="EA149" i="1"/>
  <c r="DZ149" i="1"/>
  <c r="F149" i="1"/>
  <c r="EI148" i="1"/>
  <c r="EH148" i="1"/>
  <c r="EG148" i="1"/>
  <c r="EF148" i="1"/>
  <c r="EE148" i="1"/>
  <c r="ED148" i="1"/>
  <c r="EC148" i="1"/>
  <c r="EB148" i="1"/>
  <c r="EA148" i="1"/>
  <c r="DZ148" i="1"/>
  <c r="F148" i="1"/>
  <c r="EI147" i="1"/>
  <c r="EH147" i="1"/>
  <c r="EG147" i="1"/>
  <c r="EF147" i="1"/>
  <c r="EE147" i="1"/>
  <c r="ED147" i="1"/>
  <c r="EC147" i="1"/>
  <c r="EB147" i="1"/>
  <c r="EA147" i="1"/>
  <c r="DZ147" i="1"/>
  <c r="F147" i="1"/>
  <c r="EI146" i="1"/>
  <c r="EH146" i="1"/>
  <c r="EG146" i="1"/>
  <c r="EF146" i="1"/>
  <c r="EE146" i="1"/>
  <c r="ED146" i="1"/>
  <c r="EC146" i="1"/>
  <c r="EB146" i="1"/>
  <c r="EA146" i="1"/>
  <c r="DZ146" i="1"/>
  <c r="F146" i="1"/>
  <c r="EI145" i="1"/>
  <c r="EH145" i="1"/>
  <c r="EG145" i="1"/>
  <c r="EF145" i="1"/>
  <c r="EE145" i="1"/>
  <c r="ED145" i="1"/>
  <c r="EC145" i="1"/>
  <c r="EB145" i="1"/>
  <c r="EA145" i="1"/>
  <c r="DZ145" i="1"/>
  <c r="F145" i="1"/>
  <c r="EI144" i="1"/>
  <c r="EH144" i="1"/>
  <c r="EG144" i="1"/>
  <c r="EF144" i="1"/>
  <c r="EE144" i="1"/>
  <c r="ED144" i="1"/>
  <c r="EC144" i="1"/>
  <c r="EB144" i="1"/>
  <c r="EA144" i="1"/>
  <c r="DZ144" i="1"/>
  <c r="F144" i="1"/>
  <c r="EI143" i="1"/>
  <c r="EH143" i="1"/>
  <c r="EG143" i="1"/>
  <c r="EF143" i="1"/>
  <c r="EE143" i="1"/>
  <c r="ED143" i="1"/>
  <c r="EC143" i="1"/>
  <c r="EB143" i="1"/>
  <c r="EA143" i="1"/>
  <c r="DZ143" i="1"/>
  <c r="F143" i="1"/>
  <c r="EI142" i="1"/>
  <c r="EH142" i="1"/>
  <c r="EG142" i="1"/>
  <c r="EF142" i="1"/>
  <c r="EE142" i="1"/>
  <c r="ED142" i="1"/>
  <c r="EC142" i="1"/>
  <c r="EB142" i="1"/>
  <c r="EA142" i="1"/>
  <c r="DZ142" i="1"/>
  <c r="F142" i="1"/>
  <c r="EI141" i="1"/>
  <c r="EH141" i="1"/>
  <c r="EG141" i="1"/>
  <c r="EF141" i="1"/>
  <c r="EE141" i="1"/>
  <c r="ED141" i="1"/>
  <c r="EC141" i="1"/>
  <c r="EB141" i="1"/>
  <c r="EA141" i="1"/>
  <c r="DZ141" i="1"/>
  <c r="F141" i="1"/>
  <c r="EI140" i="1"/>
  <c r="EH140" i="1"/>
  <c r="EG140" i="1"/>
  <c r="EF140" i="1"/>
  <c r="EE140" i="1"/>
  <c r="ED140" i="1"/>
  <c r="EC140" i="1"/>
  <c r="EB140" i="1"/>
  <c r="EA140" i="1"/>
  <c r="DZ140" i="1"/>
  <c r="F140" i="1"/>
  <c r="EI139" i="1"/>
  <c r="EH139" i="1"/>
  <c r="F139" i="1"/>
  <c r="EI138" i="1"/>
  <c r="F138" i="1"/>
  <c r="EI137" i="1"/>
  <c r="EH137" i="1"/>
  <c r="F137" i="1"/>
  <c r="EI136" i="1"/>
  <c r="EH136" i="1"/>
  <c r="EG136" i="1"/>
  <c r="EF136" i="1"/>
  <c r="EE136" i="1"/>
  <c r="ED136" i="1"/>
  <c r="EC136" i="1"/>
  <c r="EB136" i="1"/>
  <c r="EA136" i="1"/>
  <c r="DZ136" i="1"/>
  <c r="F136" i="1"/>
  <c r="EI135" i="1"/>
  <c r="EH135" i="1"/>
  <c r="EG135" i="1"/>
  <c r="EF135" i="1"/>
  <c r="EE135" i="1"/>
  <c r="ED135" i="1"/>
  <c r="EC135" i="1"/>
  <c r="EB135" i="1"/>
  <c r="EA135" i="1"/>
  <c r="DZ135" i="1"/>
  <c r="F135" i="1"/>
  <c r="EI134" i="1"/>
  <c r="EH134" i="1"/>
  <c r="EG134" i="1"/>
  <c r="EF134" i="1"/>
  <c r="EE134" i="1"/>
  <c r="ED134" i="1"/>
  <c r="EC134" i="1"/>
  <c r="EB134" i="1"/>
  <c r="EA134" i="1"/>
  <c r="DZ134" i="1"/>
  <c r="F134" i="1"/>
  <c r="EI133" i="1"/>
  <c r="EH133" i="1"/>
  <c r="EG133" i="1"/>
  <c r="EF133" i="1"/>
  <c r="EE133" i="1"/>
  <c r="ED133" i="1"/>
  <c r="EC133" i="1"/>
  <c r="EB133" i="1"/>
  <c r="EA133" i="1"/>
  <c r="DZ133" i="1"/>
  <c r="F133" i="1"/>
  <c r="EI132" i="1"/>
  <c r="EH132" i="1"/>
  <c r="EG132" i="1"/>
  <c r="EF132" i="1"/>
  <c r="EE132" i="1"/>
  <c r="ED132" i="1"/>
  <c r="EC132" i="1"/>
  <c r="EB132" i="1"/>
  <c r="EA132" i="1"/>
  <c r="DZ132" i="1"/>
  <c r="F132" i="1"/>
  <c r="EI131" i="1"/>
  <c r="EH131" i="1"/>
  <c r="EG131" i="1"/>
  <c r="EF131" i="1"/>
  <c r="EE131" i="1"/>
  <c r="ED131" i="1"/>
  <c r="EC131" i="1"/>
  <c r="EB131" i="1"/>
  <c r="EA131" i="1"/>
  <c r="DZ131" i="1"/>
  <c r="F131" i="1"/>
  <c r="EI130" i="1"/>
  <c r="EH130" i="1"/>
  <c r="EG130" i="1"/>
  <c r="EF130" i="1"/>
  <c r="EE130" i="1"/>
  <c r="ED130" i="1"/>
  <c r="EC130" i="1"/>
  <c r="EB130" i="1"/>
  <c r="EA130" i="1"/>
  <c r="DZ130" i="1"/>
  <c r="F130" i="1"/>
  <c r="EI129" i="1"/>
  <c r="EH129" i="1"/>
  <c r="EG129" i="1"/>
  <c r="EF129" i="1"/>
  <c r="EE129" i="1"/>
  <c r="ED129" i="1"/>
  <c r="EC129" i="1"/>
  <c r="EB129" i="1"/>
  <c r="EA129" i="1"/>
  <c r="DZ129" i="1"/>
  <c r="F129" i="1"/>
  <c r="EI128" i="1"/>
  <c r="EH128" i="1"/>
  <c r="EG128" i="1"/>
  <c r="EF128" i="1"/>
  <c r="EE128" i="1"/>
  <c r="ED128" i="1"/>
  <c r="EC128" i="1"/>
  <c r="EB128" i="1"/>
  <c r="EA128" i="1"/>
  <c r="DZ128" i="1"/>
  <c r="F128" i="1"/>
  <c r="EI127" i="1"/>
  <c r="EH127" i="1"/>
  <c r="EG127" i="1"/>
  <c r="EF127" i="1"/>
  <c r="EE127" i="1"/>
  <c r="ED127" i="1"/>
  <c r="EC127" i="1"/>
  <c r="EB127" i="1"/>
  <c r="EA127" i="1"/>
  <c r="DZ127" i="1"/>
  <c r="F127" i="1"/>
  <c r="EI126" i="1"/>
  <c r="EH126" i="1"/>
  <c r="EG126" i="1"/>
  <c r="EF126" i="1"/>
  <c r="EE126" i="1"/>
  <c r="ED126" i="1"/>
  <c r="EC126" i="1"/>
  <c r="EB126" i="1"/>
  <c r="EA126" i="1"/>
  <c r="DZ126" i="1"/>
  <c r="F126" i="1"/>
  <c r="EI125" i="1"/>
  <c r="EH125" i="1"/>
  <c r="EG125" i="1"/>
  <c r="EF125" i="1"/>
  <c r="EE125" i="1"/>
  <c r="ED125" i="1"/>
  <c r="EC125" i="1"/>
  <c r="EB125" i="1"/>
  <c r="EA125" i="1"/>
  <c r="DZ125" i="1"/>
  <c r="F125" i="1"/>
  <c r="EI124" i="1"/>
  <c r="EH124" i="1"/>
  <c r="EG124" i="1"/>
  <c r="EF124" i="1"/>
  <c r="EE124" i="1"/>
  <c r="ED124" i="1"/>
  <c r="EC124" i="1"/>
  <c r="EB124" i="1"/>
  <c r="EA124" i="1"/>
  <c r="DZ124" i="1"/>
  <c r="F124" i="1"/>
  <c r="EI123" i="1"/>
  <c r="EH123" i="1"/>
  <c r="EG123" i="1"/>
  <c r="EF123" i="1"/>
  <c r="EE123" i="1"/>
  <c r="ED123" i="1"/>
  <c r="EC123" i="1"/>
  <c r="EB123" i="1"/>
  <c r="EA123" i="1"/>
  <c r="DZ123" i="1"/>
  <c r="F123" i="1"/>
  <c r="EI122" i="1"/>
  <c r="EH122" i="1"/>
  <c r="EG122" i="1"/>
  <c r="EF122" i="1"/>
  <c r="EE122" i="1"/>
  <c r="ED122" i="1"/>
  <c r="EC122" i="1"/>
  <c r="EB122" i="1"/>
  <c r="EA122" i="1"/>
  <c r="DZ122" i="1"/>
  <c r="F122" i="1"/>
  <c r="EI121" i="1"/>
  <c r="EH121" i="1"/>
  <c r="EG121" i="1"/>
  <c r="EF121" i="1"/>
  <c r="EE121" i="1"/>
  <c r="ED121" i="1"/>
  <c r="EC121" i="1"/>
  <c r="EB121" i="1"/>
  <c r="EA121" i="1"/>
  <c r="DZ121" i="1"/>
  <c r="F121" i="1"/>
  <c r="EI120" i="1"/>
  <c r="EH120" i="1"/>
  <c r="EG120" i="1"/>
  <c r="EF120" i="1"/>
  <c r="EE120" i="1"/>
  <c r="ED120" i="1"/>
  <c r="EC120" i="1"/>
  <c r="EB120" i="1"/>
  <c r="EA120" i="1"/>
  <c r="DZ120" i="1"/>
  <c r="F120" i="1"/>
  <c r="EI119" i="1"/>
  <c r="F119" i="1"/>
  <c r="EI118" i="1"/>
  <c r="EH118" i="1"/>
  <c r="EG118" i="1"/>
  <c r="EF118" i="1"/>
  <c r="EE118" i="1"/>
  <c r="ED118" i="1"/>
  <c r="EC118" i="1"/>
  <c r="EB118" i="1"/>
  <c r="EA118" i="1"/>
  <c r="DZ118" i="1"/>
  <c r="F118" i="1"/>
  <c r="EI117" i="1"/>
  <c r="EH117" i="1"/>
  <c r="EG117" i="1"/>
  <c r="EF117" i="1"/>
  <c r="EE117" i="1"/>
  <c r="ED117" i="1"/>
  <c r="EC117" i="1"/>
  <c r="EB117" i="1"/>
  <c r="EA117" i="1"/>
  <c r="DZ117" i="1"/>
  <c r="F117" i="1"/>
  <c r="EI116" i="1"/>
  <c r="EH116" i="1"/>
  <c r="EG116" i="1"/>
  <c r="EF116" i="1"/>
  <c r="EE116" i="1"/>
  <c r="ED116" i="1"/>
  <c r="EC116" i="1"/>
  <c r="EB116" i="1"/>
  <c r="EA116" i="1"/>
  <c r="DZ116" i="1"/>
  <c r="F116" i="1"/>
  <c r="EI115" i="1"/>
  <c r="EH115" i="1"/>
  <c r="EG115" i="1"/>
  <c r="EF115" i="1"/>
  <c r="EE115" i="1"/>
  <c r="ED115" i="1"/>
  <c r="EC115" i="1"/>
  <c r="EB115" i="1"/>
  <c r="EA115" i="1"/>
  <c r="DZ115" i="1"/>
  <c r="F115" i="1"/>
  <c r="EI114" i="1"/>
  <c r="EH114" i="1"/>
  <c r="EG114" i="1"/>
  <c r="EF114" i="1"/>
  <c r="EE114" i="1"/>
  <c r="ED114" i="1"/>
  <c r="EC114" i="1"/>
  <c r="EB114" i="1"/>
  <c r="EA114" i="1"/>
  <c r="DZ114" i="1"/>
  <c r="F114" i="1"/>
  <c r="EI113" i="1"/>
  <c r="EH113" i="1"/>
  <c r="EG113" i="1"/>
  <c r="EF113" i="1"/>
  <c r="EE113" i="1"/>
  <c r="ED113" i="1"/>
  <c r="EC113" i="1"/>
  <c r="EB113" i="1"/>
  <c r="EA113" i="1"/>
  <c r="DZ113" i="1"/>
  <c r="F113" i="1"/>
  <c r="EI112" i="1"/>
  <c r="EH112" i="1"/>
  <c r="EG112" i="1"/>
  <c r="EF112" i="1"/>
  <c r="EE112" i="1"/>
  <c r="ED112" i="1"/>
  <c r="EC112" i="1"/>
  <c r="EB112" i="1"/>
  <c r="EA112" i="1"/>
  <c r="DZ112" i="1"/>
  <c r="F112" i="1"/>
  <c r="EI111" i="1"/>
  <c r="EH111" i="1"/>
  <c r="EG111" i="1"/>
  <c r="EF111" i="1"/>
  <c r="EE111" i="1"/>
  <c r="ED111" i="1"/>
  <c r="EC111" i="1"/>
  <c r="EB111" i="1"/>
  <c r="EA111" i="1"/>
  <c r="DZ111" i="1"/>
  <c r="F111" i="1"/>
  <c r="EI110" i="1"/>
  <c r="EH110" i="1"/>
  <c r="EG110" i="1"/>
  <c r="EF110" i="1"/>
  <c r="EE110" i="1"/>
  <c r="ED110" i="1"/>
  <c r="EC110" i="1"/>
  <c r="EB110" i="1"/>
  <c r="EA110" i="1"/>
  <c r="DZ110" i="1"/>
  <c r="F110" i="1"/>
  <c r="EI109" i="1"/>
  <c r="EH109" i="1"/>
  <c r="EG109" i="1"/>
  <c r="EF109" i="1"/>
  <c r="EE109" i="1"/>
  <c r="ED109" i="1"/>
  <c r="EC109" i="1"/>
  <c r="EB109" i="1"/>
  <c r="EA109" i="1"/>
  <c r="DZ109" i="1"/>
  <c r="F109" i="1"/>
  <c r="EI108" i="1"/>
  <c r="EH108" i="1"/>
  <c r="EG108" i="1"/>
  <c r="EF108" i="1"/>
  <c r="EE108" i="1"/>
  <c r="ED108" i="1"/>
  <c r="EC108" i="1"/>
  <c r="EB108" i="1"/>
  <c r="EA108" i="1"/>
  <c r="DZ108" i="1"/>
  <c r="F108" i="1"/>
  <c r="EI107" i="1"/>
  <c r="EH107" i="1"/>
  <c r="EG107" i="1"/>
  <c r="EF107" i="1"/>
  <c r="EE107" i="1"/>
  <c r="ED107" i="1"/>
  <c r="EC107" i="1"/>
  <c r="EB107" i="1"/>
  <c r="EA107" i="1"/>
  <c r="DZ107" i="1"/>
  <c r="F107" i="1"/>
  <c r="EI106" i="1"/>
  <c r="EH106" i="1"/>
  <c r="EG106" i="1"/>
  <c r="EF106" i="1"/>
  <c r="EE106" i="1"/>
  <c r="ED106" i="1"/>
  <c r="EC106" i="1"/>
  <c r="EB106" i="1"/>
  <c r="EA106" i="1"/>
  <c r="DZ106" i="1"/>
  <c r="F106" i="1"/>
  <c r="EI105" i="1"/>
  <c r="EH105" i="1"/>
  <c r="EG105" i="1"/>
  <c r="EF105" i="1"/>
  <c r="EE105" i="1"/>
  <c r="ED105" i="1"/>
  <c r="EC105" i="1"/>
  <c r="EB105" i="1"/>
  <c r="EA105" i="1"/>
  <c r="DZ105" i="1"/>
  <c r="F105" i="1"/>
  <c r="EI104" i="1"/>
  <c r="EH104" i="1"/>
  <c r="EG104" i="1"/>
  <c r="EF104" i="1"/>
  <c r="EE104" i="1"/>
  <c r="ED104" i="1"/>
  <c r="EC104" i="1"/>
  <c r="EB104" i="1"/>
  <c r="EA104" i="1"/>
  <c r="DZ104" i="1"/>
  <c r="F104" i="1"/>
  <c r="EI103" i="1"/>
  <c r="EH103" i="1"/>
  <c r="EG103" i="1"/>
  <c r="EF103" i="1"/>
  <c r="EE103" i="1"/>
  <c r="ED103" i="1"/>
  <c r="EC103" i="1"/>
  <c r="EB103" i="1"/>
  <c r="EA103" i="1"/>
  <c r="DZ103" i="1"/>
  <c r="F103" i="1"/>
  <c r="EI102" i="1"/>
  <c r="EH102" i="1"/>
  <c r="EG102" i="1"/>
  <c r="EF102" i="1"/>
  <c r="EE102" i="1"/>
  <c r="ED102" i="1"/>
  <c r="EC102" i="1"/>
  <c r="EB102" i="1"/>
  <c r="EA102" i="1"/>
  <c r="DZ102" i="1"/>
  <c r="F102" i="1"/>
  <c r="EI101" i="1"/>
  <c r="EH101" i="1"/>
  <c r="EG101" i="1"/>
  <c r="EF101" i="1"/>
  <c r="EE101" i="1"/>
  <c r="ED101" i="1"/>
  <c r="EC101" i="1"/>
  <c r="EB101" i="1"/>
  <c r="EA101" i="1"/>
  <c r="DZ101" i="1"/>
  <c r="F101" i="1"/>
  <c r="EI100" i="1"/>
  <c r="EH100" i="1"/>
  <c r="EG100" i="1"/>
  <c r="EF100" i="1"/>
  <c r="EE100" i="1"/>
  <c r="ED100" i="1"/>
  <c r="EC100" i="1"/>
  <c r="EB100" i="1"/>
  <c r="EA100" i="1"/>
  <c r="DZ100" i="1"/>
  <c r="F100" i="1"/>
  <c r="EI99" i="1"/>
  <c r="EH99" i="1"/>
  <c r="EG99" i="1"/>
  <c r="EF99" i="1"/>
  <c r="EE99" i="1"/>
  <c r="ED99" i="1"/>
  <c r="EC99" i="1"/>
  <c r="EB99" i="1"/>
  <c r="EA99" i="1"/>
  <c r="DZ99" i="1"/>
  <c r="F99" i="1"/>
  <c r="EI98" i="1"/>
  <c r="EH98" i="1"/>
  <c r="EG98" i="1"/>
  <c r="EF98" i="1"/>
  <c r="EE98" i="1"/>
  <c r="ED98" i="1"/>
  <c r="EC98" i="1"/>
  <c r="EB98" i="1"/>
  <c r="EA98" i="1"/>
  <c r="DZ98" i="1"/>
  <c r="F98" i="1"/>
  <c r="EI97" i="1"/>
  <c r="EH97" i="1"/>
  <c r="EG97" i="1"/>
  <c r="EF97" i="1"/>
  <c r="EE97" i="1"/>
  <c r="ED97" i="1"/>
  <c r="EC97" i="1"/>
  <c r="EB97" i="1"/>
  <c r="EA97" i="1"/>
  <c r="DZ97" i="1"/>
  <c r="F97" i="1"/>
  <c r="EI96" i="1"/>
  <c r="EH96" i="1"/>
  <c r="EG96" i="1"/>
  <c r="EF96" i="1"/>
  <c r="EE96" i="1"/>
  <c r="ED96" i="1"/>
  <c r="EC96" i="1"/>
  <c r="EB96" i="1"/>
  <c r="EA96" i="1"/>
  <c r="DZ96" i="1"/>
  <c r="F96" i="1"/>
  <c r="EI95" i="1"/>
  <c r="EH95" i="1"/>
  <c r="EG95" i="1"/>
  <c r="EF95" i="1"/>
  <c r="EE95" i="1"/>
  <c r="ED95" i="1"/>
  <c r="EC95" i="1"/>
  <c r="EB95" i="1"/>
  <c r="EA95" i="1"/>
  <c r="DZ95" i="1"/>
  <c r="F95" i="1"/>
  <c r="EI94" i="1"/>
  <c r="EH94" i="1"/>
  <c r="EG94" i="1"/>
  <c r="EF94" i="1"/>
  <c r="EE94" i="1"/>
  <c r="ED94" i="1"/>
  <c r="EC94" i="1"/>
  <c r="EB94" i="1"/>
  <c r="EA94" i="1"/>
  <c r="DZ94" i="1"/>
  <c r="F94" i="1"/>
  <c r="EI93" i="1"/>
  <c r="EH93" i="1"/>
  <c r="EG93" i="1"/>
  <c r="EF93" i="1"/>
  <c r="EE93" i="1"/>
  <c r="ED93" i="1"/>
  <c r="EC93" i="1"/>
  <c r="EB93" i="1"/>
  <c r="EA93" i="1"/>
  <c r="DZ93" i="1"/>
  <c r="F93" i="1"/>
  <c r="EI92" i="1"/>
  <c r="EH92" i="1"/>
  <c r="EG92" i="1"/>
  <c r="EF92" i="1"/>
  <c r="EE92" i="1"/>
  <c r="ED92" i="1"/>
  <c r="EC92" i="1"/>
  <c r="EB92" i="1"/>
  <c r="EA92" i="1"/>
  <c r="DZ92" i="1"/>
  <c r="F92" i="1"/>
  <c r="EI91" i="1"/>
  <c r="EH91" i="1"/>
  <c r="EG91" i="1"/>
  <c r="EF91" i="1"/>
  <c r="EE91" i="1"/>
  <c r="ED91" i="1"/>
  <c r="EC91" i="1"/>
  <c r="EB91" i="1"/>
  <c r="EA91" i="1"/>
  <c r="DZ91" i="1"/>
  <c r="F91" i="1"/>
  <c r="EI90" i="1"/>
  <c r="EH90" i="1"/>
  <c r="EG90" i="1"/>
  <c r="EF90" i="1"/>
  <c r="EE90" i="1"/>
  <c r="ED90" i="1"/>
  <c r="EC90" i="1"/>
  <c r="EB90" i="1"/>
  <c r="EA90" i="1"/>
  <c r="DZ90" i="1"/>
  <c r="F90" i="1"/>
  <c r="EI89" i="1"/>
  <c r="EH89" i="1"/>
  <c r="EG89" i="1"/>
  <c r="EF89" i="1"/>
  <c r="EE89" i="1"/>
  <c r="ED89" i="1"/>
  <c r="EC89" i="1"/>
  <c r="EB89" i="1"/>
  <c r="EA89" i="1"/>
  <c r="DZ89" i="1"/>
  <c r="F89" i="1"/>
  <c r="EI88" i="1"/>
  <c r="EH88" i="1"/>
  <c r="EG88" i="1"/>
  <c r="EF88" i="1"/>
  <c r="EE88" i="1"/>
  <c r="ED88" i="1"/>
  <c r="EC88" i="1"/>
  <c r="EB88" i="1"/>
  <c r="EA88" i="1"/>
  <c r="DZ88" i="1"/>
  <c r="F88" i="1"/>
  <c r="EI87" i="1"/>
  <c r="EH87" i="1"/>
  <c r="EG87" i="1"/>
  <c r="EF87" i="1"/>
  <c r="EE87" i="1"/>
  <c r="ED87" i="1"/>
  <c r="EC87" i="1"/>
  <c r="EB87" i="1"/>
  <c r="EA87" i="1"/>
  <c r="DZ87" i="1"/>
  <c r="F87" i="1"/>
  <c r="EI86" i="1"/>
  <c r="EH86" i="1"/>
  <c r="EG86" i="1"/>
  <c r="EF86" i="1"/>
  <c r="EE86" i="1"/>
  <c r="ED86" i="1"/>
  <c r="EC86" i="1"/>
  <c r="EB86" i="1"/>
  <c r="EA86" i="1"/>
  <c r="DZ86" i="1"/>
  <c r="F86" i="1"/>
  <c r="EI85" i="1"/>
  <c r="EH85" i="1"/>
  <c r="EG85" i="1"/>
  <c r="EF85" i="1"/>
  <c r="EE85" i="1"/>
  <c r="ED85" i="1"/>
  <c r="EC85" i="1"/>
  <c r="EB85" i="1"/>
  <c r="EA85" i="1"/>
  <c r="DZ85" i="1"/>
  <c r="F85" i="1"/>
  <c r="EI84" i="1"/>
  <c r="EH84" i="1"/>
  <c r="EG84" i="1"/>
  <c r="EF84" i="1"/>
  <c r="EE84" i="1"/>
  <c r="ED84" i="1"/>
  <c r="EC84" i="1"/>
  <c r="EB84" i="1"/>
  <c r="EA84" i="1"/>
  <c r="DZ84" i="1"/>
  <c r="F84" i="1"/>
  <c r="EI83" i="1"/>
  <c r="EH83" i="1"/>
  <c r="EG83" i="1"/>
  <c r="EF83" i="1"/>
  <c r="EE83" i="1"/>
  <c r="ED83" i="1"/>
  <c r="EC83" i="1"/>
  <c r="EB83" i="1"/>
  <c r="EA83" i="1"/>
  <c r="DZ83" i="1"/>
  <c r="F83" i="1"/>
  <c r="EI82" i="1"/>
  <c r="EH82" i="1"/>
  <c r="EG82" i="1"/>
  <c r="EF82" i="1"/>
  <c r="EE82" i="1"/>
  <c r="ED82" i="1"/>
  <c r="EC82" i="1"/>
  <c r="EB82" i="1"/>
  <c r="EA82" i="1"/>
  <c r="DZ82" i="1"/>
  <c r="F82" i="1"/>
  <c r="EI81" i="1"/>
  <c r="EH81" i="1"/>
  <c r="EG81" i="1"/>
  <c r="EF81" i="1"/>
  <c r="EE81" i="1"/>
  <c r="ED81" i="1"/>
  <c r="EC81" i="1"/>
  <c r="EB81" i="1"/>
  <c r="EA81" i="1"/>
  <c r="DZ81" i="1"/>
  <c r="F81" i="1"/>
  <c r="EI80" i="1"/>
  <c r="EH80" i="1"/>
  <c r="EG80" i="1"/>
  <c r="EF80" i="1"/>
  <c r="EE80" i="1"/>
  <c r="ED80" i="1"/>
  <c r="EC80" i="1"/>
  <c r="EB80" i="1"/>
  <c r="EA80" i="1"/>
  <c r="DZ80" i="1"/>
  <c r="F80" i="1"/>
  <c r="EI79" i="1"/>
  <c r="EH79" i="1"/>
  <c r="EG79" i="1"/>
  <c r="EF79" i="1"/>
  <c r="EE79" i="1"/>
  <c r="ED79" i="1"/>
  <c r="EC79" i="1"/>
  <c r="EB79" i="1"/>
  <c r="EA79" i="1"/>
  <c r="DZ79" i="1"/>
  <c r="F79" i="1"/>
  <c r="EI78" i="1"/>
  <c r="EH78" i="1"/>
  <c r="EG78" i="1"/>
  <c r="EF78" i="1"/>
  <c r="EE78" i="1"/>
  <c r="ED78" i="1"/>
  <c r="EC78" i="1"/>
  <c r="EB78" i="1"/>
  <c r="EA78" i="1"/>
  <c r="DZ78" i="1"/>
  <c r="F78" i="1"/>
  <c r="EI77" i="1"/>
  <c r="EH77" i="1"/>
  <c r="EG77" i="1"/>
  <c r="EF77" i="1"/>
  <c r="EE77" i="1"/>
  <c r="ED77" i="1"/>
  <c r="EC77" i="1"/>
  <c r="EB77" i="1"/>
  <c r="EA77" i="1"/>
  <c r="DZ77" i="1"/>
  <c r="F77" i="1"/>
  <c r="EI76" i="1"/>
  <c r="EH76" i="1"/>
  <c r="EG76" i="1"/>
  <c r="EF76" i="1"/>
  <c r="EE76" i="1"/>
  <c r="ED76" i="1"/>
  <c r="EC76" i="1"/>
  <c r="EB76" i="1"/>
  <c r="EA76" i="1"/>
  <c r="DZ76" i="1"/>
  <c r="F76" i="1"/>
  <c r="EI75" i="1"/>
  <c r="EH75" i="1"/>
  <c r="EG75" i="1"/>
  <c r="EF75" i="1"/>
  <c r="EE75" i="1"/>
  <c r="ED75" i="1"/>
  <c r="EC75" i="1"/>
  <c r="EB75" i="1"/>
  <c r="EA75" i="1"/>
  <c r="DZ75" i="1"/>
  <c r="F75" i="1"/>
  <c r="EI74" i="1"/>
  <c r="EH74" i="1"/>
  <c r="EG74" i="1"/>
  <c r="EF74" i="1"/>
  <c r="EE74" i="1"/>
  <c r="ED74" i="1"/>
  <c r="EC74" i="1"/>
  <c r="EB74" i="1"/>
  <c r="EA74" i="1"/>
  <c r="DZ74" i="1"/>
  <c r="F74" i="1"/>
  <c r="EI73" i="1"/>
  <c r="EH73" i="1"/>
  <c r="EG73" i="1"/>
  <c r="EF73" i="1"/>
  <c r="EE73" i="1"/>
  <c r="ED73" i="1"/>
  <c r="EC73" i="1"/>
  <c r="EB73" i="1"/>
  <c r="EA73" i="1"/>
  <c r="DZ73" i="1"/>
  <c r="F73" i="1"/>
  <c r="EI72" i="1"/>
  <c r="EH72" i="1"/>
  <c r="EG72" i="1"/>
  <c r="EF72" i="1"/>
  <c r="EE72" i="1"/>
  <c r="ED72" i="1"/>
  <c r="EC72" i="1"/>
  <c r="EB72" i="1"/>
  <c r="EA72" i="1"/>
  <c r="DZ72" i="1"/>
  <c r="F72" i="1"/>
  <c r="EI71" i="1"/>
  <c r="EH71" i="1"/>
  <c r="EG71" i="1"/>
  <c r="EF71" i="1"/>
  <c r="EE71" i="1"/>
  <c r="ED71" i="1"/>
  <c r="EC71" i="1"/>
  <c r="EB71" i="1"/>
  <c r="EA71" i="1"/>
  <c r="DZ71" i="1"/>
  <c r="F71" i="1"/>
  <c r="EI70" i="1"/>
  <c r="EH70" i="1"/>
  <c r="EG70" i="1"/>
  <c r="EF70" i="1"/>
  <c r="EE70" i="1"/>
  <c r="ED70" i="1"/>
  <c r="EC70" i="1"/>
  <c r="EB70" i="1"/>
  <c r="EA70" i="1"/>
  <c r="DZ70" i="1"/>
  <c r="F70" i="1"/>
  <c r="EI69" i="1"/>
  <c r="EH69" i="1"/>
  <c r="EG69" i="1"/>
  <c r="EF69" i="1"/>
  <c r="EE69" i="1"/>
  <c r="ED69" i="1"/>
  <c r="EC69" i="1"/>
  <c r="EB69" i="1"/>
  <c r="EA69" i="1"/>
  <c r="DZ69" i="1"/>
  <c r="F69" i="1"/>
  <c r="EI68" i="1"/>
  <c r="EH68" i="1"/>
  <c r="EG68" i="1"/>
  <c r="EF68" i="1"/>
  <c r="EE68" i="1"/>
  <c r="ED68" i="1"/>
  <c r="EC68" i="1"/>
  <c r="EB68" i="1"/>
  <c r="EA68" i="1"/>
  <c r="DZ68" i="1"/>
  <c r="F68" i="1"/>
  <c r="EI67" i="1"/>
  <c r="EH67" i="1"/>
  <c r="EG67" i="1"/>
  <c r="EF67" i="1"/>
  <c r="EE67" i="1"/>
  <c r="ED67" i="1"/>
  <c r="EC67" i="1"/>
  <c r="EB67" i="1"/>
  <c r="EA67" i="1"/>
  <c r="DZ67" i="1"/>
  <c r="F67" i="1"/>
  <c r="EI66" i="1"/>
  <c r="EH66" i="1"/>
  <c r="EG66" i="1"/>
  <c r="EF66" i="1"/>
  <c r="EE66" i="1"/>
  <c r="ED66" i="1"/>
  <c r="EC66" i="1"/>
  <c r="EB66" i="1"/>
  <c r="EA66" i="1"/>
  <c r="DZ66" i="1"/>
  <c r="F66" i="1"/>
  <c r="EI65" i="1"/>
  <c r="EH65" i="1"/>
  <c r="EG65" i="1"/>
  <c r="EF65" i="1"/>
  <c r="EE65" i="1"/>
  <c r="ED65" i="1"/>
  <c r="EC65" i="1"/>
  <c r="EB65" i="1"/>
  <c r="EA65" i="1"/>
  <c r="DZ65" i="1"/>
  <c r="F65" i="1"/>
  <c r="EI64" i="1"/>
  <c r="EH64" i="1"/>
  <c r="EG64" i="1"/>
  <c r="EF64" i="1"/>
  <c r="EE64" i="1"/>
  <c r="ED64" i="1"/>
  <c r="EC64" i="1"/>
  <c r="EB64" i="1"/>
  <c r="EA64" i="1"/>
  <c r="DZ64" i="1"/>
  <c r="F64" i="1"/>
  <c r="EI63" i="1"/>
  <c r="EH63" i="1"/>
  <c r="EG63" i="1"/>
  <c r="EF63" i="1"/>
  <c r="EE63" i="1"/>
  <c r="ED63" i="1"/>
  <c r="EC63" i="1"/>
  <c r="EB63" i="1"/>
  <c r="EA63" i="1"/>
  <c r="DZ63" i="1"/>
  <c r="F63" i="1"/>
  <c r="EI62" i="1"/>
  <c r="EH62" i="1"/>
  <c r="EG62" i="1"/>
  <c r="EF62" i="1"/>
  <c r="EE62" i="1"/>
  <c r="ED62" i="1"/>
  <c r="EC62" i="1"/>
  <c r="EB62" i="1"/>
  <c r="EA62" i="1"/>
  <c r="DZ62" i="1"/>
  <c r="F62" i="1"/>
  <c r="EI61" i="1"/>
  <c r="EH61" i="1"/>
  <c r="EG61" i="1"/>
  <c r="EF61" i="1"/>
  <c r="EE61" i="1"/>
  <c r="ED61" i="1"/>
  <c r="EC61" i="1"/>
  <c r="EB61" i="1"/>
  <c r="EA61" i="1"/>
  <c r="DZ61" i="1"/>
  <c r="F61" i="1"/>
  <c r="EI60" i="1"/>
  <c r="EH60" i="1"/>
  <c r="EG60" i="1"/>
  <c r="EF60" i="1"/>
  <c r="EE60" i="1"/>
  <c r="ED60" i="1"/>
  <c r="EC60" i="1"/>
  <c r="EB60" i="1"/>
  <c r="EA60" i="1"/>
  <c r="DZ60" i="1"/>
  <c r="F60" i="1"/>
  <c r="EI59" i="1"/>
  <c r="EH59" i="1"/>
  <c r="EG59" i="1"/>
  <c r="EF59" i="1"/>
  <c r="EE59" i="1"/>
  <c r="ED59" i="1"/>
  <c r="EC59" i="1"/>
  <c r="EB59" i="1"/>
  <c r="EA59" i="1"/>
  <c r="DZ59" i="1"/>
  <c r="F59" i="1"/>
  <c r="F58" i="1"/>
  <c r="EI57" i="1"/>
  <c r="F57" i="1"/>
  <c r="EI56" i="1"/>
  <c r="EH56" i="1"/>
  <c r="F56" i="1"/>
  <c r="EI55" i="1"/>
  <c r="EH55" i="1"/>
  <c r="F55" i="1"/>
  <c r="EI54" i="1"/>
  <c r="EH54" i="1"/>
  <c r="EG54" i="1"/>
  <c r="EF54" i="1"/>
  <c r="EE54" i="1"/>
  <c r="ED54" i="1"/>
  <c r="EC54" i="1"/>
  <c r="EB54" i="1"/>
  <c r="EA54" i="1"/>
  <c r="DZ54" i="1"/>
  <c r="F54" i="1"/>
  <c r="EI53" i="1"/>
  <c r="EH53" i="1"/>
  <c r="EG53" i="1"/>
  <c r="EF53" i="1"/>
  <c r="EE53" i="1"/>
  <c r="ED53" i="1"/>
  <c r="EC53" i="1"/>
  <c r="EB53" i="1"/>
  <c r="EA53" i="1"/>
  <c r="DZ53" i="1"/>
  <c r="F53" i="1"/>
  <c r="EI52" i="1"/>
  <c r="EH52" i="1"/>
  <c r="EG52" i="1"/>
  <c r="EF52" i="1"/>
  <c r="EE52" i="1"/>
  <c r="ED52" i="1"/>
  <c r="EC52" i="1"/>
  <c r="EB52" i="1"/>
  <c r="EA52" i="1"/>
  <c r="DZ52" i="1"/>
  <c r="F52" i="1"/>
  <c r="EI51" i="1"/>
  <c r="EH51" i="1"/>
  <c r="EG51" i="1"/>
  <c r="EF51" i="1"/>
  <c r="EE51" i="1"/>
  <c r="ED51" i="1"/>
  <c r="EC51" i="1"/>
  <c r="EB51" i="1"/>
  <c r="EA51" i="1"/>
  <c r="DZ51" i="1"/>
  <c r="F51" i="1"/>
  <c r="EI50" i="1"/>
  <c r="EH50" i="1"/>
  <c r="EG50" i="1"/>
  <c r="EF50" i="1"/>
  <c r="EE50" i="1"/>
  <c r="ED50" i="1"/>
  <c r="EC50" i="1"/>
  <c r="EB50" i="1"/>
  <c r="EA50" i="1"/>
  <c r="DZ50" i="1"/>
  <c r="F50" i="1"/>
  <c r="EI49" i="1"/>
  <c r="EH49" i="1"/>
  <c r="EG49" i="1"/>
  <c r="EF49" i="1"/>
  <c r="EE49" i="1"/>
  <c r="ED49" i="1"/>
  <c r="EC49" i="1"/>
  <c r="EB49" i="1"/>
  <c r="EA49" i="1"/>
  <c r="DZ49" i="1"/>
  <c r="F49" i="1"/>
  <c r="EI48" i="1"/>
  <c r="EH48" i="1"/>
  <c r="EG48" i="1"/>
  <c r="EF48" i="1"/>
  <c r="EE48" i="1"/>
  <c r="ED48" i="1"/>
  <c r="EC48" i="1"/>
  <c r="EB48" i="1"/>
  <c r="EA48" i="1"/>
  <c r="DZ48" i="1"/>
  <c r="F48" i="1"/>
  <c r="EI47" i="1"/>
  <c r="EH47" i="1"/>
  <c r="EG47" i="1"/>
  <c r="EF47" i="1"/>
  <c r="EE47" i="1"/>
  <c r="ED47" i="1"/>
  <c r="EC47" i="1"/>
  <c r="EB47" i="1"/>
  <c r="EA47" i="1"/>
  <c r="DZ47" i="1"/>
  <c r="F47" i="1"/>
  <c r="EI46" i="1"/>
  <c r="EH46" i="1"/>
  <c r="EG46" i="1"/>
  <c r="EF46" i="1"/>
  <c r="EE46" i="1"/>
  <c r="ED46" i="1"/>
  <c r="EC46" i="1"/>
  <c r="EB46" i="1"/>
  <c r="EA46" i="1"/>
  <c r="DZ46" i="1"/>
  <c r="F46" i="1"/>
  <c r="EI45" i="1"/>
  <c r="EH45" i="1"/>
  <c r="EG45" i="1"/>
  <c r="EF45" i="1"/>
  <c r="EE45" i="1"/>
  <c r="ED45" i="1"/>
  <c r="EC45" i="1"/>
  <c r="EB45" i="1"/>
  <c r="EA45" i="1"/>
  <c r="DZ45" i="1"/>
  <c r="F45" i="1"/>
  <c r="EI44" i="1"/>
  <c r="EH44" i="1"/>
  <c r="EG44" i="1"/>
  <c r="EF44" i="1"/>
  <c r="EE44" i="1"/>
  <c r="ED44" i="1"/>
  <c r="EC44" i="1"/>
  <c r="EB44" i="1"/>
  <c r="EA44" i="1"/>
  <c r="DZ44" i="1"/>
  <c r="F44" i="1"/>
  <c r="EI43" i="1"/>
  <c r="EH43" i="1"/>
  <c r="EG43" i="1"/>
  <c r="EF43" i="1"/>
  <c r="EE43" i="1"/>
  <c r="ED43" i="1"/>
  <c r="EC43" i="1"/>
  <c r="EB43" i="1"/>
  <c r="EA43" i="1"/>
  <c r="DZ43" i="1"/>
  <c r="F43" i="1"/>
  <c r="EI42" i="1"/>
  <c r="EH42" i="1"/>
  <c r="EG42" i="1"/>
  <c r="EF42" i="1"/>
  <c r="EE42" i="1"/>
  <c r="ED42" i="1"/>
  <c r="EC42" i="1"/>
  <c r="EB42" i="1"/>
  <c r="EA42" i="1"/>
  <c r="DZ42" i="1"/>
  <c r="F42" i="1"/>
  <c r="EI41" i="1"/>
  <c r="EH41" i="1"/>
  <c r="EG41" i="1"/>
  <c r="EF41" i="1"/>
  <c r="EE41" i="1"/>
  <c r="ED41" i="1"/>
  <c r="EC41" i="1"/>
  <c r="EB41" i="1"/>
  <c r="EA41" i="1"/>
  <c r="DZ41" i="1"/>
  <c r="F41" i="1"/>
  <c r="EI40" i="1"/>
  <c r="EH40" i="1"/>
  <c r="EG40" i="1"/>
  <c r="EF40" i="1"/>
  <c r="EE40" i="1"/>
  <c r="ED40" i="1"/>
  <c r="EC40" i="1"/>
  <c r="EB40" i="1"/>
  <c r="EA40" i="1"/>
  <c r="DZ40" i="1"/>
  <c r="F40" i="1"/>
  <c r="EI39" i="1"/>
  <c r="EH39" i="1"/>
  <c r="EG39" i="1"/>
  <c r="EF39" i="1"/>
  <c r="EE39" i="1"/>
  <c r="ED39" i="1"/>
  <c r="EC39" i="1"/>
  <c r="EB39" i="1"/>
  <c r="EA39" i="1"/>
  <c r="DZ39" i="1"/>
  <c r="F39" i="1"/>
  <c r="EI38" i="1"/>
  <c r="EH38" i="1"/>
  <c r="EG38" i="1"/>
  <c r="EF38" i="1"/>
  <c r="EE38" i="1"/>
  <c r="ED38" i="1"/>
  <c r="EC38" i="1"/>
  <c r="EB38" i="1"/>
  <c r="EA38" i="1"/>
  <c r="DZ38" i="1"/>
  <c r="F38" i="1"/>
  <c r="EI37" i="1"/>
  <c r="EH37" i="1"/>
  <c r="EG37" i="1"/>
  <c r="EF37" i="1"/>
  <c r="EE37" i="1"/>
  <c r="ED37" i="1"/>
  <c r="EC37" i="1"/>
  <c r="EB37" i="1"/>
  <c r="EA37" i="1"/>
  <c r="DZ37" i="1"/>
  <c r="F37" i="1"/>
  <c r="EI36" i="1"/>
  <c r="EH36" i="1"/>
  <c r="EG36" i="1"/>
  <c r="EF36" i="1"/>
  <c r="EE36" i="1"/>
  <c r="ED36" i="1"/>
  <c r="EC36" i="1"/>
  <c r="EB36" i="1"/>
  <c r="EA36" i="1"/>
  <c r="DZ36" i="1"/>
  <c r="F36" i="1"/>
  <c r="EI35" i="1"/>
  <c r="EH35" i="1"/>
  <c r="EG35" i="1"/>
  <c r="EF35" i="1"/>
  <c r="EE35" i="1"/>
  <c r="ED35" i="1"/>
  <c r="EC35" i="1"/>
  <c r="EB35" i="1"/>
  <c r="EA35" i="1"/>
  <c r="DZ35" i="1"/>
  <c r="F35" i="1"/>
  <c r="EI34" i="1"/>
  <c r="EH34" i="1"/>
  <c r="EG34" i="1"/>
  <c r="EF34" i="1"/>
  <c r="EE34" i="1"/>
  <c r="ED34" i="1"/>
  <c r="EC34" i="1"/>
  <c r="EB34" i="1"/>
  <c r="EA34" i="1"/>
  <c r="DZ34" i="1"/>
  <c r="F34" i="1"/>
  <c r="EI33" i="1"/>
  <c r="EH33" i="1"/>
  <c r="EG33" i="1"/>
  <c r="EF33" i="1"/>
  <c r="EE33" i="1"/>
  <c r="ED33" i="1"/>
  <c r="EC33" i="1"/>
  <c r="EB33" i="1"/>
  <c r="EA33" i="1"/>
  <c r="DZ33" i="1"/>
  <c r="F33" i="1"/>
  <c r="EI32" i="1"/>
  <c r="EH32" i="1"/>
  <c r="EG32" i="1"/>
  <c r="EF32" i="1"/>
  <c r="EE32" i="1"/>
  <c r="ED32" i="1"/>
  <c r="EC32" i="1"/>
  <c r="EB32" i="1"/>
  <c r="EA32" i="1"/>
  <c r="DZ32" i="1"/>
  <c r="F32" i="1"/>
  <c r="EI31" i="1"/>
  <c r="EH31" i="1"/>
  <c r="EG31" i="1"/>
  <c r="EF31" i="1"/>
  <c r="EE31" i="1"/>
  <c r="ED31" i="1"/>
  <c r="EB31" i="1"/>
  <c r="EA31" i="1"/>
  <c r="DZ31" i="1"/>
  <c r="BC31" i="1"/>
  <c r="EI30" i="1"/>
  <c r="EH30" i="1"/>
  <c r="EG30" i="1"/>
  <c r="EF30" i="1"/>
  <c r="EE30" i="1"/>
  <c r="ED30" i="1"/>
  <c r="EB30" i="1"/>
  <c r="EA30" i="1"/>
  <c r="DZ30" i="1"/>
  <c r="BC30" i="1"/>
  <c r="EC30" i="1" s="1"/>
  <c r="F30" i="1"/>
  <c r="EI29" i="1"/>
  <c r="EH29" i="1"/>
  <c r="EG29" i="1"/>
  <c r="EF29" i="1"/>
  <c r="EE29" i="1"/>
  <c r="ED29" i="1"/>
  <c r="EB29" i="1"/>
  <c r="EA29" i="1"/>
  <c r="DZ29" i="1"/>
  <c r="BC29" i="1"/>
  <c r="EI28" i="1"/>
  <c r="EH28" i="1"/>
  <c r="EG28" i="1"/>
  <c r="EF28" i="1"/>
  <c r="EE28" i="1"/>
  <c r="ED28" i="1"/>
  <c r="EC28" i="1"/>
  <c r="EB28" i="1"/>
  <c r="EA28" i="1"/>
  <c r="DZ28" i="1"/>
  <c r="F28" i="1"/>
  <c r="EI27" i="1"/>
  <c r="EH27" i="1"/>
  <c r="EG27" i="1"/>
  <c r="EF27" i="1"/>
  <c r="EE27" i="1"/>
  <c r="ED27" i="1"/>
  <c r="EB27" i="1"/>
  <c r="EA27" i="1"/>
  <c r="DZ27" i="1"/>
  <c r="BC27" i="1"/>
  <c r="EC27" i="1" s="1"/>
  <c r="F27" i="1"/>
  <c r="EI26" i="1"/>
  <c r="EH26" i="1"/>
  <c r="EG26" i="1"/>
  <c r="EF26" i="1"/>
  <c r="EE26" i="1"/>
  <c r="ED26" i="1"/>
  <c r="EB26" i="1"/>
  <c r="EA26" i="1"/>
  <c r="DZ26" i="1"/>
  <c r="BC26" i="1"/>
  <c r="F26" i="1"/>
  <c r="EI25" i="1"/>
  <c r="EH25" i="1"/>
  <c r="EG25" i="1"/>
  <c r="EF25" i="1"/>
  <c r="EE25" i="1"/>
  <c r="ED25" i="1"/>
  <c r="EC25" i="1"/>
  <c r="EB25" i="1"/>
  <c r="EA25" i="1"/>
  <c r="DZ25" i="1"/>
  <c r="F25" i="1"/>
  <c r="EI24" i="1"/>
  <c r="EH24" i="1"/>
  <c r="EG24" i="1"/>
  <c r="EF24" i="1"/>
  <c r="EE24" i="1"/>
  <c r="ED24" i="1"/>
  <c r="EC24" i="1"/>
  <c r="EB24" i="1"/>
  <c r="EA24" i="1"/>
  <c r="DZ24" i="1"/>
  <c r="F24" i="1"/>
  <c r="EI23" i="1"/>
  <c r="EH23" i="1"/>
  <c r="EG23" i="1"/>
  <c r="EF23" i="1"/>
  <c r="EE23" i="1"/>
  <c r="ED23" i="1"/>
  <c r="EC23" i="1"/>
  <c r="EB23" i="1"/>
  <c r="EA23" i="1"/>
  <c r="DZ23" i="1"/>
  <c r="F23" i="1"/>
  <c r="EI22" i="1"/>
  <c r="EH22" i="1"/>
  <c r="EG22" i="1"/>
  <c r="EF22" i="1"/>
  <c r="EE22" i="1"/>
  <c r="ED22" i="1"/>
  <c r="EC22" i="1"/>
  <c r="EB22" i="1"/>
  <c r="EA22" i="1"/>
  <c r="DZ22" i="1"/>
  <c r="F22" i="1"/>
  <c r="EI21" i="1"/>
  <c r="EH21" i="1"/>
  <c r="EG21" i="1"/>
  <c r="EF21" i="1"/>
  <c r="EE21" i="1"/>
  <c r="ED21" i="1"/>
  <c r="EC21" i="1"/>
  <c r="EB21" i="1"/>
  <c r="EA21" i="1"/>
  <c r="DZ21" i="1"/>
  <c r="F21" i="1"/>
  <c r="EI20" i="1"/>
  <c r="EH20" i="1"/>
  <c r="EG20" i="1"/>
  <c r="EF20" i="1"/>
  <c r="EE20" i="1"/>
  <c r="ED20" i="1"/>
  <c r="EC20" i="1"/>
  <c r="EB20" i="1"/>
  <c r="EA20" i="1"/>
  <c r="DZ20" i="1"/>
  <c r="F20" i="1"/>
  <c r="EI19" i="1"/>
  <c r="EH19" i="1"/>
  <c r="EG19" i="1"/>
  <c r="EF19" i="1"/>
  <c r="EE19" i="1"/>
  <c r="ED19" i="1"/>
  <c r="EC19" i="1"/>
  <c r="EB19" i="1"/>
  <c r="EA19" i="1"/>
  <c r="DZ19" i="1"/>
  <c r="F19" i="1"/>
  <c r="EI18" i="1"/>
  <c r="EH18" i="1"/>
  <c r="EG18" i="1"/>
  <c r="EF18" i="1"/>
  <c r="EE18" i="1"/>
  <c r="ED18" i="1"/>
  <c r="EC18" i="1"/>
  <c r="EB18" i="1"/>
  <c r="EA18" i="1"/>
  <c r="DZ18" i="1"/>
  <c r="F18" i="1"/>
  <c r="EI17" i="1"/>
  <c r="EH17" i="1"/>
  <c r="EG17" i="1"/>
  <c r="EF17" i="1"/>
  <c r="EE17" i="1"/>
  <c r="ED17" i="1"/>
  <c r="EC17" i="1"/>
  <c r="EB17" i="1"/>
  <c r="EA17" i="1"/>
  <c r="DZ17" i="1"/>
  <c r="F17" i="1"/>
  <c r="EI16" i="1"/>
  <c r="EH16" i="1"/>
  <c r="EG16" i="1"/>
  <c r="EF16" i="1"/>
  <c r="EE16" i="1"/>
  <c r="ED16" i="1"/>
  <c r="EC16" i="1"/>
  <c r="EB16" i="1"/>
  <c r="EA16" i="1"/>
  <c r="DZ16" i="1"/>
  <c r="F16" i="1"/>
  <c r="EI15" i="1"/>
  <c r="EH15" i="1"/>
  <c r="EG15" i="1"/>
  <c r="EF15" i="1"/>
  <c r="EE15" i="1"/>
  <c r="ED15" i="1"/>
  <c r="EC15" i="1"/>
  <c r="EB15" i="1"/>
  <c r="EA15" i="1"/>
  <c r="DZ15" i="1"/>
  <c r="F15" i="1"/>
  <c r="EI14" i="1"/>
  <c r="EH14" i="1"/>
  <c r="EG14" i="1"/>
  <c r="EF14" i="1"/>
  <c r="EE14" i="1"/>
  <c r="ED14" i="1"/>
  <c r="EC14" i="1"/>
  <c r="EB14" i="1"/>
  <c r="EA14" i="1"/>
  <c r="DZ14" i="1"/>
  <c r="F14" i="1"/>
  <c r="EI13" i="1"/>
  <c r="EH13" i="1"/>
  <c r="EG13" i="1"/>
  <c r="EF13" i="1"/>
  <c r="EE13" i="1"/>
  <c r="ED13" i="1"/>
  <c r="EC13" i="1"/>
  <c r="EB13" i="1"/>
  <c r="EA13" i="1"/>
  <c r="DZ13" i="1"/>
  <c r="F13" i="1"/>
  <c r="EI12" i="1"/>
  <c r="EH12" i="1"/>
  <c r="EG12" i="1"/>
  <c r="EF12" i="1"/>
  <c r="EE12" i="1"/>
  <c r="ED12" i="1"/>
  <c r="EC12" i="1"/>
  <c r="EB12" i="1"/>
  <c r="EA12" i="1"/>
  <c r="DZ12" i="1"/>
  <c r="F12" i="1"/>
  <c r="EI11" i="1"/>
  <c r="EH11" i="1"/>
  <c r="EG11" i="1"/>
  <c r="EF11" i="1"/>
  <c r="EE11" i="1"/>
  <c r="ED11" i="1"/>
  <c r="EC11" i="1"/>
  <c r="EB11" i="1"/>
  <c r="EA11" i="1"/>
  <c r="DZ11" i="1"/>
  <c r="F11" i="1"/>
  <c r="EI10" i="1"/>
  <c r="EH10" i="1"/>
  <c r="EG10" i="1"/>
  <c r="EF10" i="1"/>
  <c r="EE10" i="1"/>
  <c r="ED10" i="1"/>
  <c r="EC10" i="1"/>
  <c r="EB10" i="1"/>
  <c r="EA10" i="1"/>
  <c r="DZ10" i="1"/>
  <c r="F10" i="1"/>
  <c r="EI9" i="1"/>
  <c r="EH9" i="1"/>
  <c r="EG9" i="1"/>
  <c r="EF9" i="1"/>
  <c r="EE9" i="1"/>
  <c r="ED9" i="1"/>
  <c r="EC9" i="1"/>
  <c r="EB9" i="1"/>
  <c r="EA9" i="1"/>
  <c r="DZ9" i="1"/>
  <c r="F9" i="1"/>
  <c r="F540" i="1" l="1"/>
  <c r="EC29" i="1"/>
  <c r="F29" i="1"/>
  <c r="EC542" i="1"/>
  <c r="F542" i="1"/>
  <c r="EC31" i="1"/>
  <c r="F31" i="1"/>
  <c r="EC536" i="1"/>
  <c r="EC295" i="1"/>
  <c r="EC26" i="1"/>
</calcChain>
</file>

<file path=xl/sharedStrings.xml><?xml version="1.0" encoding="utf-8"?>
<sst xmlns="http://schemas.openxmlformats.org/spreadsheetml/2006/main" count="2359" uniqueCount="842">
  <si>
    <t>실적</t>
    <phoneticPr fontId="3" type="noConversion"/>
  </si>
  <si>
    <t>실적</t>
  </si>
  <si>
    <t>예상</t>
    <phoneticPr fontId="3" type="noConversion"/>
  </si>
  <si>
    <t>년도별 양산수량</t>
    <phoneticPr fontId="3" type="noConversion"/>
  </si>
  <si>
    <t>part</t>
    <phoneticPr fontId="3" type="noConversion"/>
  </si>
  <si>
    <t>Bareboard Part 1</t>
    <phoneticPr fontId="3" type="noConversion"/>
  </si>
  <si>
    <t>Bareboard Part 2</t>
  </si>
  <si>
    <t>양산수량</t>
    <phoneticPr fontId="3" type="noConversion"/>
  </si>
  <si>
    <t>modelo</t>
    <phoneticPr fontId="3" type="noConversion"/>
  </si>
  <si>
    <t>17/1</t>
    <phoneticPr fontId="3" type="noConversion"/>
  </si>
  <si>
    <t>17/2</t>
  </si>
  <si>
    <t>17/3</t>
  </si>
  <si>
    <t>17/4</t>
  </si>
  <si>
    <t>17/5</t>
  </si>
  <si>
    <t>17/6</t>
  </si>
  <si>
    <t>17/7</t>
  </si>
  <si>
    <t>17/8</t>
  </si>
  <si>
    <t>17/9</t>
  </si>
  <si>
    <t>17/10</t>
  </si>
  <si>
    <t>17/11</t>
  </si>
  <si>
    <t>17/12</t>
  </si>
  <si>
    <t>18/1</t>
    <phoneticPr fontId="3" type="noConversion"/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</si>
  <si>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</si>
  <si>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</si>
  <si>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</si>
  <si>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</si>
  <si>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</si>
  <si>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</si>
  <si>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</si>
  <si>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</si>
  <si>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</si>
  <si>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</si>
  <si>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18/12</t>
  </si>
  <si>
    <t>19/1</t>
    <phoneticPr fontId="3" type="noConversion"/>
  </si>
  <si>
    <t>19/2</t>
  </si>
  <si>
    <t>19/3</t>
  </si>
  <si>
    <t>19/4</t>
  </si>
  <si>
    <t>19/5</t>
  </si>
  <si>
    <t>19/6</t>
  </si>
  <si>
    <t>19/7</t>
  </si>
  <si>
    <t>19/8</t>
  </si>
  <si>
    <t>19/9</t>
  </si>
  <si>
    <t>19/10</t>
  </si>
  <si>
    <t>19/11</t>
  </si>
  <si>
    <t>19/12</t>
  </si>
  <si>
    <t>20/1</t>
    <phoneticPr fontId="3" type="noConversion"/>
  </si>
  <si>
    <t>20/2</t>
  </si>
  <si>
    <t>20/3</t>
  </si>
  <si>
    <t>20/4</t>
  </si>
  <si>
    <t>20/5</t>
  </si>
  <si>
    <t>20/6</t>
  </si>
  <si>
    <t>20/7</t>
  </si>
  <si>
    <t>20/8</t>
  </si>
  <si>
    <t>20/9</t>
  </si>
  <si>
    <t>20/10</t>
  </si>
  <si>
    <t>20/11</t>
  </si>
  <si>
    <t>20/12</t>
  </si>
  <si>
    <t>21/1</t>
    <phoneticPr fontId="3" type="noConversion"/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</si>
  <si>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</si>
  <si>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</si>
  <si>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</si>
  <si>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</si>
  <si>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</si>
  <si>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</si>
  <si>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</si>
  <si>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</si>
  <si>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</si>
  <si>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</si>
  <si>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</si>
  <si>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22/1</t>
    <phoneticPr fontId="3" type="noConversion"/>
  </si>
  <si>
    <t>22/2</t>
  </si>
  <si>
    <t>22/3</t>
  </si>
  <si>
    <t>22/4</t>
  </si>
  <si>
    <t>22/5</t>
  </si>
  <si>
    <t>22/6</t>
  </si>
  <si>
    <t>22/7</t>
  </si>
  <si>
    <t>22/8</t>
  </si>
  <si>
    <t>22/9</t>
  </si>
  <si>
    <t>22/10</t>
  </si>
  <si>
    <t>22/11</t>
  </si>
  <si>
    <t>22/12</t>
  </si>
  <si>
    <t>23/1</t>
    <phoneticPr fontId="3" type="noConversion"/>
  </si>
  <si>
    <t>23/2</t>
    <phoneticPr fontId="3" type="noConversion"/>
  </si>
  <si>
    <t>23/3</t>
  </si>
  <si>
    <t>23/4</t>
  </si>
  <si>
    <t>23/5</t>
  </si>
  <si>
    <t>23/6</t>
  </si>
  <si>
    <t>23/7</t>
  </si>
  <si>
    <t>23/8</t>
  </si>
  <si>
    <t>23/9</t>
  </si>
  <si>
    <t>23/10</t>
    <phoneticPr fontId="3" type="noConversion"/>
  </si>
  <si>
    <t>23/11</t>
    <phoneticPr fontId="3" type="noConversion"/>
  </si>
  <si>
    <t>23/12</t>
  </si>
  <si>
    <t>24/1</t>
    <phoneticPr fontId="3" type="noConversion"/>
  </si>
  <si>
    <t>24/2</t>
    <phoneticPr fontId="3" type="noConversion"/>
  </si>
  <si>
    <t>24/3</t>
    <phoneticPr fontId="3" type="noConversion"/>
  </si>
  <si>
    <t>24/4</t>
    <phoneticPr fontId="3" type="noConversion"/>
  </si>
  <si>
    <t>24/5</t>
    <phoneticPr fontId="3" type="noConversion"/>
  </si>
  <si>
    <t>24/6</t>
    <phoneticPr fontId="3" type="noConversion"/>
  </si>
  <si>
    <t>24/7</t>
    <phoneticPr fontId="3" type="noConversion"/>
  </si>
  <si>
    <t>24/8</t>
    <phoneticPr fontId="3" type="noConversion"/>
  </si>
  <si>
    <t>24/9</t>
    <phoneticPr fontId="3" type="noConversion"/>
  </si>
  <si>
    <t>24/10</t>
    <phoneticPr fontId="3" type="noConversion"/>
  </si>
  <si>
    <t>24/11</t>
    <phoneticPr fontId="3" type="noConversion"/>
  </si>
  <si>
    <t>24/12</t>
    <phoneticPr fontId="3" type="noConversion"/>
  </si>
  <si>
    <t>25/01</t>
    <phoneticPr fontId="3" type="noConversion"/>
  </si>
  <si>
    <t>25/02</t>
    <phoneticPr fontId="3" type="noConversion"/>
  </si>
  <si>
    <t>25/03</t>
    <phoneticPr fontId="3" type="noConversion"/>
  </si>
  <si>
    <t>25/04</t>
    <phoneticPr fontId="3" type="noConversion"/>
  </si>
  <si>
    <t>25/05</t>
    <phoneticPr fontId="3" type="noConversion"/>
  </si>
  <si>
    <t>25/06</t>
    <phoneticPr fontId="3" type="noConversion"/>
  </si>
  <si>
    <t>25/07</t>
    <phoneticPr fontId="3" type="noConversion"/>
  </si>
  <si>
    <t>25/08</t>
    <phoneticPr fontId="3" type="noConversion"/>
  </si>
  <si>
    <t>25/09</t>
    <phoneticPr fontId="3" type="noConversion"/>
  </si>
  <si>
    <t>25/10</t>
    <phoneticPr fontId="3" type="noConversion"/>
  </si>
  <si>
    <t>25/11</t>
    <phoneticPr fontId="3" type="noConversion"/>
  </si>
  <si>
    <t>25/12</t>
    <phoneticPr fontId="3" type="noConversion"/>
  </si>
  <si>
    <t>26/01</t>
    <phoneticPr fontId="3" type="noConversion"/>
  </si>
  <si>
    <t>26/02</t>
    <phoneticPr fontId="3" type="noConversion"/>
  </si>
  <si>
    <t>26/03</t>
    <phoneticPr fontId="3" type="noConversion"/>
  </si>
  <si>
    <t>26/04</t>
    <phoneticPr fontId="3" type="noConversion"/>
  </si>
  <si>
    <t>26/05</t>
    <phoneticPr fontId="3" type="noConversion"/>
  </si>
  <si>
    <t>26/06</t>
    <phoneticPr fontId="3" type="noConversion"/>
  </si>
  <si>
    <t>26/07</t>
    <phoneticPr fontId="3" type="noConversion"/>
  </si>
  <si>
    <t>26/08</t>
  </si>
  <si>
    <t>26/09</t>
    <phoneticPr fontId="3" type="noConversion"/>
  </si>
  <si>
    <t>26/10</t>
  </si>
  <si>
    <t>26/11</t>
  </si>
  <si>
    <t>26/12</t>
  </si>
  <si>
    <t>EBR83664831</t>
  </si>
  <si>
    <t>EAX66932504</t>
  </si>
  <si>
    <t>Omega</t>
    <phoneticPr fontId="4" type="noConversion"/>
  </si>
  <si>
    <t>EBR83664832</t>
  </si>
  <si>
    <t>EAX66932509</t>
  </si>
  <si>
    <t>EBR83664837</t>
  </si>
  <si>
    <t>EBR83664838</t>
  </si>
  <si>
    <t>EBR83664871</t>
    <phoneticPr fontId="4" type="noConversion"/>
  </si>
  <si>
    <t>EBR83664885</t>
    <phoneticPr fontId="4" type="noConversion"/>
  </si>
  <si>
    <t>EBR80860802</t>
  </si>
  <si>
    <t>EAX66184709</t>
  </si>
  <si>
    <t>San Martin</t>
    <phoneticPr fontId="3" type="noConversion"/>
  </si>
  <si>
    <t>EBR80860803</t>
  </si>
  <si>
    <t>EBR80860804</t>
  </si>
  <si>
    <t>EBR80860805</t>
  </si>
  <si>
    <t>EBR80860806</t>
  </si>
  <si>
    <t>EBR80860807</t>
  </si>
  <si>
    <t>EBR83949257</t>
    <phoneticPr fontId="4" type="noConversion"/>
  </si>
  <si>
    <t>EAX66940507</t>
  </si>
  <si>
    <t>Alpha</t>
    <phoneticPr fontId="4" type="noConversion"/>
  </si>
  <si>
    <t>EBR83949258</t>
  </si>
  <si>
    <t>EBR83949259</t>
  </si>
  <si>
    <t>EBR83949260</t>
  </si>
  <si>
    <t>EBR83949263</t>
    <phoneticPr fontId="4" type="noConversion"/>
  </si>
  <si>
    <t>EBR82230425</t>
    <phoneticPr fontId="4" type="noConversion"/>
  </si>
  <si>
    <t>EAX66932502</t>
  </si>
  <si>
    <t>EAX66932502-1.1</t>
  </si>
  <si>
    <t>EBR82230426</t>
    <phoneticPr fontId="4" type="noConversion"/>
  </si>
  <si>
    <t>EBR82230431</t>
    <phoneticPr fontId="4" type="noConversion"/>
  </si>
  <si>
    <t>EBR82230432</t>
    <phoneticPr fontId="4" type="noConversion"/>
  </si>
  <si>
    <t>EBR82230435</t>
    <phoneticPr fontId="4" type="noConversion"/>
  </si>
  <si>
    <t>EBR82230444</t>
    <phoneticPr fontId="4" type="noConversion"/>
  </si>
  <si>
    <t>EBR82230459</t>
  </si>
  <si>
    <t>EBR82230460</t>
  </si>
  <si>
    <t>EBR82230472</t>
  </si>
  <si>
    <t>EBR80757404</t>
    <phoneticPr fontId="3" type="noConversion"/>
  </si>
  <si>
    <t>EAX66946003</t>
  </si>
  <si>
    <t>EAX66946003-1.0</t>
  </si>
  <si>
    <t>QT-T</t>
    <phoneticPr fontId="4" type="noConversion"/>
  </si>
  <si>
    <t>EBR80757405</t>
  </si>
  <si>
    <t>EBR80757407</t>
  </si>
  <si>
    <t>EBR80757408</t>
  </si>
  <si>
    <t>EBR80757409</t>
  </si>
  <si>
    <t>EBR80757410</t>
  </si>
  <si>
    <t>EBR80757411</t>
  </si>
  <si>
    <t>EBR80757412</t>
  </si>
  <si>
    <t>EAX66946005</t>
  </si>
  <si>
    <t>EAX66946005-1.0</t>
  </si>
  <si>
    <t>EBR80757413</t>
    <phoneticPr fontId="3" type="noConversion"/>
  </si>
  <si>
    <t>EBR80757414</t>
  </si>
  <si>
    <t>EBR80757415</t>
  </si>
  <si>
    <t>EBR80757417</t>
    <phoneticPr fontId="3" type="noConversion"/>
  </si>
  <si>
    <t>EBR80757418</t>
  </si>
  <si>
    <t>EBR80757421</t>
  </si>
  <si>
    <t>EBR80757422</t>
  </si>
  <si>
    <t>EBR80757423</t>
  </si>
  <si>
    <t>EBR80757424</t>
  </si>
  <si>
    <t>EBR80757425</t>
  </si>
  <si>
    <t>EBR80757427</t>
    <phoneticPr fontId="3" type="noConversion"/>
  </si>
  <si>
    <t>EBR80757429</t>
    <phoneticPr fontId="3" type="noConversion"/>
  </si>
  <si>
    <t>EBR80757431</t>
    <phoneticPr fontId="3" type="noConversion"/>
  </si>
  <si>
    <t>EBR80757432</t>
    <phoneticPr fontId="3" type="noConversion"/>
  </si>
  <si>
    <t>EBR80757438</t>
  </si>
  <si>
    <t>EAX66946010</t>
  </si>
  <si>
    <t>EBR80757445</t>
  </si>
  <si>
    <t>EBR87052407</t>
    <phoneticPr fontId="3" type="noConversion"/>
  </si>
  <si>
    <t>EAX66940526</t>
  </si>
  <si>
    <t>EAX66940526-1.0</t>
  </si>
  <si>
    <t>B-Alpha</t>
    <phoneticPr fontId="3" type="noConversion"/>
  </si>
  <si>
    <t>EBR87052408</t>
  </si>
  <si>
    <t>EBR87052410</t>
  </si>
  <si>
    <t>EBR86162641</t>
  </si>
  <si>
    <t>EAX66940529</t>
  </si>
  <si>
    <t>EAX66940529-1.0</t>
  </si>
  <si>
    <t>EBR86162642</t>
  </si>
  <si>
    <t>EBR86162647</t>
  </si>
  <si>
    <t>EBR86162648</t>
  </si>
  <si>
    <t>EBR33828702</t>
    <phoneticPr fontId="3" type="noConversion"/>
  </si>
  <si>
    <t>EAX69542805</t>
  </si>
  <si>
    <t>EAX69542805-1.0</t>
  </si>
  <si>
    <t>VT</t>
    <phoneticPr fontId="3" type="noConversion"/>
  </si>
  <si>
    <t>EBR33828703</t>
  </si>
  <si>
    <t>EBR33828802</t>
  </si>
  <si>
    <t/>
  </si>
  <si>
    <t>EBR33105301</t>
    <phoneticPr fontId="3" type="noConversion"/>
  </si>
  <si>
    <t>EBR33105305</t>
  </si>
  <si>
    <t>EAX69542801</t>
  </si>
  <si>
    <t>EAX69542801-1.0</t>
  </si>
  <si>
    <t>EBR33105306</t>
    <phoneticPr fontId="3" type="noConversion"/>
  </si>
  <si>
    <t>EBR33105399</t>
  </si>
  <si>
    <t>EBR33105505</t>
  </si>
  <si>
    <t>EAX69542803</t>
  </si>
  <si>
    <t>EAX69542803-1.1</t>
  </si>
  <si>
    <t>EBR33105509</t>
  </si>
  <si>
    <t>EBR81182754</t>
  </si>
  <si>
    <t>EAX66726306</t>
  </si>
  <si>
    <t>Raptor</t>
    <phoneticPr fontId="4" type="noConversion"/>
  </si>
  <si>
    <t>EBR81182755</t>
  </si>
  <si>
    <t>EBR81182756</t>
    <phoneticPr fontId="4" type="noConversion"/>
  </si>
  <si>
    <t>EBR81182757</t>
  </si>
  <si>
    <t>EBR81182758</t>
  </si>
  <si>
    <t>EBR81182766</t>
    <phoneticPr fontId="4" type="noConversion"/>
  </si>
  <si>
    <t>EAX66726307</t>
  </si>
  <si>
    <t>EBR81182767</t>
    <phoneticPr fontId="4" type="noConversion"/>
  </si>
  <si>
    <t>EBR81182768</t>
  </si>
  <si>
    <t>EBR81182769</t>
    <phoneticPr fontId="4" type="noConversion"/>
  </si>
  <si>
    <t>EBR81182770</t>
    <phoneticPr fontId="4" type="noConversion"/>
  </si>
  <si>
    <t>EBR81182779</t>
    <phoneticPr fontId="4" type="noConversion"/>
  </si>
  <si>
    <t>EBR81182780</t>
  </si>
  <si>
    <t>EBR81182781</t>
  </si>
  <si>
    <t>EBR81182782</t>
  </si>
  <si>
    <t>EBR81182783</t>
  </si>
  <si>
    <t>EBR81182784</t>
  </si>
  <si>
    <t>EBR81182785</t>
  </si>
  <si>
    <t>EBR81182787</t>
    <phoneticPr fontId="4" type="noConversion"/>
  </si>
  <si>
    <t>EBR81182788</t>
  </si>
  <si>
    <t>EBR81182789</t>
    <phoneticPr fontId="3" type="noConversion"/>
  </si>
  <si>
    <t>EAX66726313</t>
  </si>
  <si>
    <t>EAX66726313-1.0</t>
  </si>
  <si>
    <t>EBR81182790</t>
    <phoneticPr fontId="3" type="noConversion"/>
  </si>
  <si>
    <t>EBR81182791</t>
  </si>
  <si>
    <t>EBR81182792</t>
  </si>
  <si>
    <t>EBR81182793</t>
  </si>
  <si>
    <t>EBR81182794</t>
  </si>
  <si>
    <t>EBR81182795</t>
  </si>
  <si>
    <t>EBR81182796</t>
  </si>
  <si>
    <t>EBR81182797</t>
    <phoneticPr fontId="3" type="noConversion"/>
  </si>
  <si>
    <t>EBR81182798</t>
    <phoneticPr fontId="3" type="noConversion"/>
  </si>
  <si>
    <t>EBR81182799</t>
    <phoneticPr fontId="3" type="noConversion"/>
  </si>
  <si>
    <t>EBR30299301</t>
  </si>
  <si>
    <t>EBR30299302</t>
  </si>
  <si>
    <t>EBR30299303</t>
  </si>
  <si>
    <t>EBR30299304</t>
    <phoneticPr fontId="3" type="noConversion"/>
  </si>
  <si>
    <t>EBR30299305</t>
  </si>
  <si>
    <t>EBR30299306</t>
    <phoneticPr fontId="3" type="noConversion"/>
  </si>
  <si>
    <t>EBR30299307</t>
    <phoneticPr fontId="3" type="noConversion"/>
  </si>
  <si>
    <t>EBR30299308</t>
  </si>
  <si>
    <t>EBR30299309</t>
  </si>
  <si>
    <t>EBR30299310</t>
  </si>
  <si>
    <t>EAX67860914</t>
  </si>
  <si>
    <t>EAX67860914-1.1</t>
  </si>
  <si>
    <t>EBR30299311</t>
  </si>
  <si>
    <t>EBR30299312</t>
  </si>
  <si>
    <t>EBR30299313</t>
    <phoneticPr fontId="3" type="noConversion"/>
  </si>
  <si>
    <t>EAX66726317</t>
  </si>
  <si>
    <t>EAX66726317-1.0</t>
  </si>
  <si>
    <t>EBR30299317</t>
    <phoneticPr fontId="3" type="noConversion"/>
  </si>
  <si>
    <t>EBR30299322</t>
  </si>
  <si>
    <t>EAX66726315</t>
  </si>
  <si>
    <t>EAX66726315-1.1</t>
  </si>
  <si>
    <t>EBR30299351</t>
    <phoneticPr fontId="3" type="noConversion"/>
  </si>
  <si>
    <t>EBR30299352</t>
  </si>
  <si>
    <t>EBR30299353</t>
  </si>
  <si>
    <t>EBR30299354</t>
  </si>
  <si>
    <t>EBR30299355</t>
    <phoneticPr fontId="3" type="noConversion"/>
  </si>
  <si>
    <t>EBR30299356</t>
  </si>
  <si>
    <t>EBR30299357</t>
  </si>
  <si>
    <t>EBR30299358</t>
  </si>
  <si>
    <t>EBR30299359</t>
  </si>
  <si>
    <t>EBR30299360</t>
  </si>
  <si>
    <t>EBR30299361</t>
  </si>
  <si>
    <t>EBR30299362</t>
  </si>
  <si>
    <t>EBR30299363</t>
  </si>
  <si>
    <t>EBR30299364</t>
  </si>
  <si>
    <t>EBR30299365</t>
  </si>
  <si>
    <t>EBR30299366</t>
  </si>
  <si>
    <t>EBR30299367</t>
  </si>
  <si>
    <t>EBR30299368</t>
    <phoneticPr fontId="3" type="noConversion"/>
  </si>
  <si>
    <t>EBR30299369</t>
  </si>
  <si>
    <t>EAX66726314</t>
  </si>
  <si>
    <t>EAX66726314-1.1</t>
  </si>
  <si>
    <t>EBR30299370</t>
    <phoneticPr fontId="3" type="noConversion"/>
  </si>
  <si>
    <t>EBR49498866</t>
    <phoneticPr fontId="3" type="noConversion"/>
  </si>
  <si>
    <t>EBR49498867</t>
  </si>
  <si>
    <t>EBR49498881</t>
  </si>
  <si>
    <t>EBR87463701</t>
  </si>
  <si>
    <t>EAX67860912</t>
  </si>
  <si>
    <t>EAX67860912-1.0</t>
  </si>
  <si>
    <t>EBR87463702</t>
    <phoneticPr fontId="3" type="noConversion"/>
  </si>
  <si>
    <t>EBR87463703</t>
  </si>
  <si>
    <t>EBR87463704</t>
  </si>
  <si>
    <t>EBR87463706</t>
    <phoneticPr fontId="3" type="noConversion"/>
  </si>
  <si>
    <t>EBR87463707</t>
    <phoneticPr fontId="3" type="noConversion"/>
  </si>
  <si>
    <t>EBR87463708</t>
  </si>
  <si>
    <t>EAX67860915</t>
  </si>
  <si>
    <t>EAX67860915-1.0</t>
  </si>
  <si>
    <t>EBR87463709</t>
    <phoneticPr fontId="3" type="noConversion"/>
  </si>
  <si>
    <t>EBR87463710</t>
  </si>
  <si>
    <t>EBR87463711</t>
    <phoneticPr fontId="3" type="noConversion"/>
  </si>
  <si>
    <t>EAX67860923</t>
  </si>
  <si>
    <t>EAX67860923-1.2</t>
  </si>
  <si>
    <t>EBR87463712</t>
  </si>
  <si>
    <t>EBR87463713</t>
    <phoneticPr fontId="3" type="noConversion"/>
  </si>
  <si>
    <t>EBR87463714</t>
  </si>
  <si>
    <t>EBR87463715</t>
  </si>
  <si>
    <t>EBR87463758</t>
    <phoneticPr fontId="3" type="noConversion"/>
  </si>
  <si>
    <t>Majesty</t>
  </si>
  <si>
    <t>EBR87463759</t>
  </si>
  <si>
    <t>EBR87463760</t>
  </si>
  <si>
    <t>EBR87463764</t>
  </si>
  <si>
    <t>EAX67860917</t>
  </si>
  <si>
    <t>EAX67860917-1.0</t>
  </si>
  <si>
    <t>EBR83845029</t>
  </si>
  <si>
    <t>EBR83845044</t>
    <phoneticPr fontId="3" type="noConversion"/>
  </si>
  <si>
    <t>EBR83845046</t>
  </si>
  <si>
    <t>EBR83845048</t>
    <phoneticPr fontId="3" type="noConversion"/>
  </si>
  <si>
    <t>EBR83845050</t>
    <phoneticPr fontId="3" type="noConversion"/>
  </si>
  <si>
    <t>EBR83845051</t>
  </si>
  <si>
    <t>EBR83845083</t>
    <phoneticPr fontId="3" type="noConversion"/>
  </si>
  <si>
    <t>EBR83845086</t>
  </si>
  <si>
    <t>EBR86093706</t>
  </si>
  <si>
    <t>EBR86093707</t>
  </si>
  <si>
    <t>EBR86093740</t>
  </si>
  <si>
    <t>EBR86093745</t>
    <phoneticPr fontId="3" type="noConversion"/>
  </si>
  <si>
    <t>EBR86093754</t>
  </si>
  <si>
    <t>EBR86093755</t>
  </si>
  <si>
    <t>EBR86093756</t>
  </si>
  <si>
    <t>EBR86093757</t>
  </si>
  <si>
    <t>EBR86093758</t>
  </si>
  <si>
    <t>EBR86093759</t>
    <phoneticPr fontId="3" type="noConversion"/>
  </si>
  <si>
    <t>EBR86093768</t>
  </si>
  <si>
    <t>EBR86093769</t>
  </si>
  <si>
    <t>EBR86093770</t>
    <phoneticPr fontId="3" type="noConversion"/>
  </si>
  <si>
    <t>EBR86093790</t>
    <phoneticPr fontId="3" type="noConversion"/>
  </si>
  <si>
    <t>EBR86093791</t>
  </si>
  <si>
    <t>EBR86093797</t>
  </si>
  <si>
    <t>EBR86093798</t>
  </si>
  <si>
    <t>EBR86093799</t>
  </si>
  <si>
    <t>EBR41039101</t>
  </si>
  <si>
    <t>EAX70077701</t>
  </si>
  <si>
    <t>EAX70077701-1.1</t>
  </si>
  <si>
    <t>Raptor7</t>
    <phoneticPr fontId="3" type="noConversion"/>
  </si>
  <si>
    <t>EBR41039102</t>
  </si>
  <si>
    <t>EBR41039103</t>
  </si>
  <si>
    <t>EBR41039104</t>
  </si>
  <si>
    <t>EBR41039115</t>
  </si>
  <si>
    <t>EBR41039117</t>
  </si>
  <si>
    <t>EBR41039118</t>
  </si>
  <si>
    <t>EBR41039119</t>
  </si>
  <si>
    <t>EBR41039120</t>
  </si>
  <si>
    <t>EBR41039121</t>
  </si>
  <si>
    <t>EBR41039122</t>
  </si>
  <si>
    <t>EBR41039123</t>
  </si>
  <si>
    <t>EBR41039124</t>
    <phoneticPr fontId="3" type="noConversion"/>
  </si>
  <si>
    <t>EBR41039151</t>
    <phoneticPr fontId="3" type="noConversion"/>
  </si>
  <si>
    <t>EBR41039152</t>
  </si>
  <si>
    <t>EBR41039153</t>
  </si>
  <si>
    <t>EBR41039154</t>
  </si>
  <si>
    <t>EBR80977518</t>
  </si>
  <si>
    <t>EAX65868408</t>
  </si>
  <si>
    <t>B-veyron</t>
    <phoneticPr fontId="3" type="noConversion"/>
  </si>
  <si>
    <t>EBR80977519</t>
  </si>
  <si>
    <t>EBR80977520</t>
  </si>
  <si>
    <t>EBR80977522</t>
    <phoneticPr fontId="3" type="noConversion"/>
  </si>
  <si>
    <t>EBR80977523</t>
    <phoneticPr fontId="3" type="noConversion"/>
  </si>
  <si>
    <t>EBR80977527</t>
  </si>
  <si>
    <t>EBR80977528</t>
  </si>
  <si>
    <t>EBR80977529</t>
  </si>
  <si>
    <t>EBR80977530</t>
  </si>
  <si>
    <t>EBR80977533</t>
  </si>
  <si>
    <t>EBR80977534</t>
  </si>
  <si>
    <t>EBR80977536</t>
  </si>
  <si>
    <t>EBR80977538</t>
    <phoneticPr fontId="4" type="noConversion"/>
  </si>
  <si>
    <t>EBR80977541</t>
    <phoneticPr fontId="3" type="noConversion"/>
  </si>
  <si>
    <t>EBR81969902</t>
  </si>
  <si>
    <t>EAX65868409</t>
  </si>
  <si>
    <t>Veyron DI</t>
    <phoneticPr fontId="3" type="noConversion"/>
  </si>
  <si>
    <t>EBR81969903</t>
  </si>
  <si>
    <t>EBR81969904</t>
  </si>
  <si>
    <t>EBR81969909</t>
    <phoneticPr fontId="3" type="noConversion"/>
  </si>
  <si>
    <t>EBR81969910</t>
    <phoneticPr fontId="3" type="noConversion"/>
  </si>
  <si>
    <t>EBR83717501</t>
  </si>
  <si>
    <t>EAX65868416</t>
  </si>
  <si>
    <t>Veyron GID</t>
    <phoneticPr fontId="4" type="noConversion"/>
  </si>
  <si>
    <t>EBR83717502</t>
  </si>
  <si>
    <t>EBR83717503</t>
  </si>
  <si>
    <t>EBR83717507</t>
    <phoneticPr fontId="4" type="noConversion"/>
  </si>
  <si>
    <t>EBR83717508</t>
  </si>
  <si>
    <t>EBR83717509</t>
  </si>
  <si>
    <t>EBR83717566</t>
    <phoneticPr fontId="4" type="noConversion"/>
  </si>
  <si>
    <t>EBR83717578</t>
  </si>
  <si>
    <t>EBR83717579</t>
  </si>
  <si>
    <t>EBR32165750</t>
  </si>
  <si>
    <t>EAX65868434</t>
  </si>
  <si>
    <t>EAX65868434-1.3</t>
  </si>
  <si>
    <t>Veyron(TI)</t>
    <phoneticPr fontId="3" type="noConversion"/>
  </si>
  <si>
    <t>EBR32165751</t>
  </si>
  <si>
    <t>EBR32165752</t>
  </si>
  <si>
    <t>EBR32165753</t>
  </si>
  <si>
    <t>EBR32165754</t>
  </si>
  <si>
    <t>EBR32165755</t>
  </si>
  <si>
    <t>EBR32165756</t>
  </si>
  <si>
    <t>EBR32165757</t>
  </si>
  <si>
    <t>EBR32165758</t>
  </si>
  <si>
    <t>EBR32165759</t>
  </si>
  <si>
    <t>EBR32165760</t>
  </si>
  <si>
    <t>EAX65868435</t>
  </si>
  <si>
    <t>EAX65868435-1.0</t>
  </si>
  <si>
    <t>EBR32165761</t>
  </si>
  <si>
    <t>EBR32165762</t>
  </si>
  <si>
    <t>EBR32165763</t>
  </si>
  <si>
    <t>EBR32165764</t>
  </si>
  <si>
    <t>EBR32165765</t>
  </si>
  <si>
    <t>EBR32165766</t>
  </si>
  <si>
    <t>EBR32165767</t>
  </si>
  <si>
    <t>EBR32165768</t>
  </si>
  <si>
    <t>EBR32165769</t>
  </si>
  <si>
    <t>EBR87145130</t>
  </si>
  <si>
    <t>EAX65868432</t>
  </si>
  <si>
    <t>BLDC</t>
    <phoneticPr fontId="4" type="noConversion"/>
  </si>
  <si>
    <t>EBR87145131</t>
  </si>
  <si>
    <t>EBR87145132</t>
  </si>
  <si>
    <t>EBR87145133</t>
  </si>
  <si>
    <t>EBR87145134</t>
  </si>
  <si>
    <t>EBR87145135</t>
  </si>
  <si>
    <t>EBR87145136</t>
  </si>
  <si>
    <t>EBR87145137</t>
  </si>
  <si>
    <t>EBR87145138</t>
  </si>
  <si>
    <t>EBR87145139</t>
  </si>
  <si>
    <t>EBR87145140</t>
  </si>
  <si>
    <t>EBR87145141</t>
  </si>
  <si>
    <t>EBR87145142</t>
  </si>
  <si>
    <t>EBR87145143</t>
  </si>
  <si>
    <t>EBR87145144</t>
  </si>
  <si>
    <t>EBR87145145</t>
  </si>
  <si>
    <t>EBR87145146</t>
  </si>
  <si>
    <t>EBR87145147</t>
  </si>
  <si>
    <t>EBR87145148</t>
  </si>
  <si>
    <t>EBR87145160</t>
  </si>
  <si>
    <t>EBR87145163</t>
  </si>
  <si>
    <t>EBR87145164</t>
  </si>
  <si>
    <t>EBR87145165</t>
  </si>
  <si>
    <t>EBR87145167</t>
  </si>
  <si>
    <t>EBR87145168</t>
  </si>
  <si>
    <t>EBR87145169</t>
  </si>
  <si>
    <t>EBR87145170</t>
  </si>
  <si>
    <t>EBR87145171</t>
  </si>
  <si>
    <t>EBR87145172</t>
  </si>
  <si>
    <t>EBR87145173</t>
  </si>
  <si>
    <t>EBR87145177</t>
  </si>
  <si>
    <t>EBR87145178</t>
  </si>
  <si>
    <t>EBR87145190</t>
    <phoneticPr fontId="3" type="noConversion"/>
  </si>
  <si>
    <t>EBR87145191</t>
  </si>
  <si>
    <t>EBR85624937</t>
  </si>
  <si>
    <t>P-Veyron</t>
    <phoneticPr fontId="4" type="noConversion"/>
  </si>
  <si>
    <t>EBR85624938</t>
  </si>
  <si>
    <t>EBR85624939</t>
  </si>
  <si>
    <t>EBR85624942</t>
  </si>
  <si>
    <t>EBR85624945</t>
  </si>
  <si>
    <t>EBR85624946</t>
  </si>
  <si>
    <t>EBR85624947</t>
  </si>
  <si>
    <t>EBR85624963</t>
    <phoneticPr fontId="3" type="noConversion"/>
  </si>
  <si>
    <t>EBR85624972</t>
  </si>
  <si>
    <t>EBR85624973</t>
  </si>
  <si>
    <t>EBR85624974</t>
  </si>
  <si>
    <t>EBR85624975</t>
  </si>
  <si>
    <t>EBR85624976</t>
    <phoneticPr fontId="3" type="noConversion"/>
  </si>
  <si>
    <t>EBR85624977</t>
  </si>
  <si>
    <t>EBR85624978</t>
  </si>
  <si>
    <t>EBR85624979</t>
    <phoneticPr fontId="3" type="noConversion"/>
  </si>
  <si>
    <t>EBR85624980</t>
  </si>
  <si>
    <t>EBR85624981</t>
  </si>
  <si>
    <t>EBR85624982</t>
  </si>
  <si>
    <t>EBR85624988</t>
    <phoneticPr fontId="3" type="noConversion"/>
  </si>
  <si>
    <t>EBR31600151</t>
  </si>
  <si>
    <t>EAX65868440</t>
  </si>
  <si>
    <t>EAX65868440-1.1</t>
  </si>
  <si>
    <t>EBR31600152</t>
  </si>
  <si>
    <t>EBR31600153</t>
  </si>
  <si>
    <t>EBR31600154</t>
  </si>
  <si>
    <t>EBR31600155</t>
  </si>
  <si>
    <t>EBR31600156</t>
  </si>
  <si>
    <t>EBR31600157</t>
  </si>
  <si>
    <t>EBR31600158</t>
  </si>
  <si>
    <t>EBR31600159</t>
  </si>
  <si>
    <t>EBR31600160</t>
  </si>
  <si>
    <t>EBR31600161</t>
  </si>
  <si>
    <t>EBR31600162</t>
  </si>
  <si>
    <t>EBR31600163</t>
  </si>
  <si>
    <t>EBR31600164</t>
  </si>
  <si>
    <t>EBR31600165</t>
  </si>
  <si>
    <t>EBR31600166</t>
  </si>
  <si>
    <t>EBR32881201</t>
  </si>
  <si>
    <t>EAX69713401</t>
  </si>
  <si>
    <t>EAX69713401-1.0</t>
  </si>
  <si>
    <t>VS</t>
    <phoneticPr fontId="3" type="noConversion"/>
  </si>
  <si>
    <t>EBR32881202</t>
  </si>
  <si>
    <t>EAX69713401-1.1</t>
  </si>
  <si>
    <t>EBR32881203</t>
  </si>
  <si>
    <t>EBR32881204</t>
  </si>
  <si>
    <t>EBR32881205</t>
  </si>
  <si>
    <t>EBR32881206</t>
    <phoneticPr fontId="3" type="noConversion"/>
  </si>
  <si>
    <t>EBR32881207</t>
  </si>
  <si>
    <t>EBR32881208</t>
  </si>
  <si>
    <t>EBR32881209</t>
  </si>
  <si>
    <t>EBR32881210</t>
  </si>
  <si>
    <t>EBR32881211</t>
  </si>
  <si>
    <t>EBR32881212</t>
    <phoneticPr fontId="3" type="noConversion"/>
  </si>
  <si>
    <t>EBR32881213</t>
  </si>
  <si>
    <t>EBR32881214</t>
    <phoneticPr fontId="3" type="noConversion"/>
  </si>
  <si>
    <t>EBR32881215</t>
  </si>
  <si>
    <t>EBR32881216</t>
    <phoneticPr fontId="3" type="noConversion"/>
  </si>
  <si>
    <t>EBR32881217</t>
  </si>
  <si>
    <t>EBR32881218</t>
    <phoneticPr fontId="3" type="noConversion"/>
  </si>
  <si>
    <t>EBR32881219</t>
  </si>
  <si>
    <t>EBR32881220</t>
  </si>
  <si>
    <t>EBR32881221</t>
    <phoneticPr fontId="3" type="noConversion"/>
  </si>
  <si>
    <t>EBR32881222</t>
  </si>
  <si>
    <t>EBR32881223</t>
  </si>
  <si>
    <t>EBR32881224</t>
  </si>
  <si>
    <t>EBR32881225</t>
  </si>
  <si>
    <t>EBR32881226</t>
  </si>
  <si>
    <t>EBR32881227</t>
  </si>
  <si>
    <t>EBR32881228</t>
  </si>
  <si>
    <t>EBR37437001</t>
  </si>
  <si>
    <t>EAX69871901</t>
  </si>
  <si>
    <t>EAX69871901-1.0</t>
  </si>
  <si>
    <t>VS-one</t>
    <phoneticPr fontId="3" type="noConversion"/>
  </si>
  <si>
    <t>EBR37437002</t>
  </si>
  <si>
    <t>EBR37437003</t>
  </si>
  <si>
    <t>EBR37437004</t>
  </si>
  <si>
    <t>EBR37437005</t>
  </si>
  <si>
    <t>EBR37437006</t>
  </si>
  <si>
    <t>EBR37437007</t>
  </si>
  <si>
    <t>EBR37437008</t>
  </si>
  <si>
    <t>EBR37437009</t>
  </si>
  <si>
    <t>EBR37437010</t>
  </si>
  <si>
    <t>EBR37437011</t>
  </si>
  <si>
    <t>EBR37437012</t>
  </si>
  <si>
    <t>EBR37437013</t>
  </si>
  <si>
    <t>EBR37437014</t>
  </si>
  <si>
    <t>EBR37437015</t>
  </si>
  <si>
    <t>EBR37437016</t>
  </si>
  <si>
    <t>EBR37437017</t>
  </si>
  <si>
    <t>EBR37437018</t>
  </si>
  <si>
    <t>EBR37437019</t>
  </si>
  <si>
    <t>EBR37437020</t>
  </si>
  <si>
    <t>EBR37437021</t>
  </si>
  <si>
    <t>EBR37437022</t>
  </si>
  <si>
    <t>EBR37437023</t>
  </si>
  <si>
    <t>EBR37437024</t>
  </si>
  <si>
    <t>EBR37437025</t>
  </si>
  <si>
    <t>EBR37437026</t>
  </si>
  <si>
    <t>EBR37437027</t>
    <phoneticPr fontId="3" type="noConversion"/>
  </si>
  <si>
    <t>EBR37437028</t>
  </si>
  <si>
    <t>EBR37437029</t>
  </si>
  <si>
    <t>EBR37437030</t>
  </si>
  <si>
    <t>EBR37437031</t>
  </si>
  <si>
    <t>EBR37437032</t>
  </si>
  <si>
    <t>EBR37437033</t>
  </si>
  <si>
    <t>EBR37437034</t>
    <phoneticPr fontId="3" type="noConversion"/>
  </si>
  <si>
    <t>EBR37437035</t>
  </si>
  <si>
    <t>EBR37437051</t>
  </si>
  <si>
    <t>EBR37437052</t>
  </si>
  <si>
    <t>EBR37437053</t>
    <phoneticPr fontId="3" type="noConversion"/>
  </si>
  <si>
    <t>EBR37437054</t>
  </si>
  <si>
    <t>EBR37437055</t>
    <phoneticPr fontId="3" type="noConversion"/>
  </si>
  <si>
    <t>EBR37437056</t>
    <phoneticPr fontId="3" type="noConversion"/>
  </si>
  <si>
    <t>EBR37437057</t>
  </si>
  <si>
    <t>EBR37437058</t>
  </si>
  <si>
    <t>EBR37437059</t>
    <phoneticPr fontId="3" type="noConversion"/>
  </si>
  <si>
    <t>EBR37437060</t>
  </si>
  <si>
    <t>EBR37437061</t>
  </si>
  <si>
    <t>EBR37437062</t>
  </si>
  <si>
    <t>EBR37437063</t>
    <phoneticPr fontId="3" type="noConversion"/>
  </si>
  <si>
    <t>EBR37437064</t>
  </si>
  <si>
    <t>EBR37437065</t>
  </si>
  <si>
    <t>EBR37437066</t>
  </si>
  <si>
    <t>EBR37437067</t>
  </si>
  <si>
    <t>EBR37437068</t>
  </si>
  <si>
    <t>EBR37437069</t>
  </si>
  <si>
    <t>EBR37437070</t>
  </si>
  <si>
    <t>EBR37437071</t>
  </si>
  <si>
    <t>EBR37437072</t>
  </si>
  <si>
    <t>EBR37437073</t>
  </si>
  <si>
    <t>EBR37437074</t>
  </si>
  <si>
    <t>EBR37437075</t>
  </si>
  <si>
    <t>EBR37437076</t>
  </si>
  <si>
    <t>EBR37437077</t>
    <phoneticPr fontId="3" type="noConversion"/>
  </si>
  <si>
    <t>EBR37437078</t>
  </si>
  <si>
    <t>EBR37437079</t>
  </si>
  <si>
    <t>EBR37437080</t>
    <phoneticPr fontId="3" type="noConversion"/>
  </si>
  <si>
    <t>EBR37437081</t>
    <phoneticPr fontId="3" type="noConversion"/>
  </si>
  <si>
    <t>EBR37437082</t>
  </si>
  <si>
    <t>EBR37437083</t>
    <phoneticPr fontId="3" type="noConversion"/>
  </si>
  <si>
    <t>EBR37437084</t>
  </si>
  <si>
    <t>EBR37437085</t>
  </si>
  <si>
    <t>EBR37437086</t>
  </si>
  <si>
    <t>EBR37437089</t>
  </si>
  <si>
    <t>EBR37437099</t>
    <phoneticPr fontId="3" type="noConversion"/>
  </si>
  <si>
    <t>EBR23966201</t>
    <phoneticPr fontId="3" type="noConversion"/>
  </si>
  <si>
    <t>EAX68384709</t>
  </si>
  <si>
    <t>EAX68384709-1.4</t>
  </si>
  <si>
    <t>VF</t>
    <phoneticPr fontId="3" type="noConversion"/>
  </si>
  <si>
    <t>EBR23966202</t>
  </si>
  <si>
    <t>EBR23966203</t>
  </si>
  <si>
    <t>EBR23966204</t>
  </si>
  <si>
    <t>EBR23966205</t>
  </si>
  <si>
    <t>EBR23966206</t>
  </si>
  <si>
    <t>EBR23966207</t>
    <phoneticPr fontId="3" type="noConversion"/>
  </si>
  <si>
    <t>EBR23966208</t>
    <phoneticPr fontId="3" type="noConversion"/>
  </si>
  <si>
    <t>EBR23966209</t>
    <phoneticPr fontId="3" type="noConversion"/>
  </si>
  <si>
    <t>EBR23966210</t>
  </si>
  <si>
    <t>EBR23966211</t>
  </si>
  <si>
    <t>EBR23966212</t>
  </si>
  <si>
    <t>EBR23966213</t>
  </si>
  <si>
    <t>EBR23966214</t>
  </si>
  <si>
    <t>EBR23966221</t>
  </si>
  <si>
    <t>EBR23966222</t>
  </si>
  <si>
    <t>EBR23966223</t>
  </si>
  <si>
    <t>EBR23966224</t>
  </si>
  <si>
    <t>EBR23966225</t>
  </si>
  <si>
    <t>EBR89295701</t>
    <phoneticPr fontId="3" type="noConversion"/>
  </si>
  <si>
    <t>Oven</t>
    <phoneticPr fontId="3" type="noConversion"/>
  </si>
  <si>
    <t>EBR89296003</t>
  </si>
  <si>
    <t>EBR42005001</t>
  </si>
  <si>
    <t>EAX69003501</t>
  </si>
  <si>
    <t>EAX69003501-E</t>
  </si>
  <si>
    <t>Refresh Basic Elec</t>
  </si>
  <si>
    <t>EBR42005002</t>
  </si>
  <si>
    <t>Refresh Basic Gas</t>
  </si>
  <si>
    <t>EBR42005003</t>
  </si>
  <si>
    <t>Refresh Good Elec</t>
  </si>
  <si>
    <t>EBR42005004</t>
  </si>
  <si>
    <t>Refresh Good Gas</t>
  </si>
  <si>
    <t>EBR42005101</t>
  </si>
  <si>
    <t>EAX69003601</t>
  </si>
  <si>
    <t>EAX69003601-F</t>
  </si>
  <si>
    <t>Refresh Better Elec</t>
  </si>
  <si>
    <t>EBR42005102</t>
  </si>
  <si>
    <t>Refresh Better Gas</t>
  </si>
  <si>
    <t>EBR43713601</t>
  </si>
  <si>
    <t>EAX69456901</t>
  </si>
  <si>
    <t>EAX69456901-1.0</t>
  </si>
  <si>
    <t>Slide In Good Elec</t>
  </si>
  <si>
    <t>EBR43713602</t>
  </si>
  <si>
    <t>Slide In Good Gas</t>
  </si>
  <si>
    <t>EBR43713603</t>
  </si>
  <si>
    <t>Slide In Basic Elec</t>
  </si>
  <si>
    <t>EBR43713604</t>
  </si>
  <si>
    <t>Slide In Basic Gas</t>
  </si>
  <si>
    <t>EBR43713605</t>
  </si>
  <si>
    <t>Lupin Best Gas</t>
  </si>
  <si>
    <t>EBR43713606</t>
  </si>
  <si>
    <t>Lupin Better Gas</t>
  </si>
  <si>
    <t>EBR43713607</t>
  </si>
  <si>
    <t>EBR43713608</t>
  </si>
  <si>
    <t>EBR42687009</t>
  </si>
  <si>
    <t>EAX70205601</t>
  </si>
  <si>
    <t>EAX70205601-1.0</t>
  </si>
  <si>
    <t>Slide In Good Elec SA</t>
  </si>
  <si>
    <t>EBR42712505</t>
  </si>
  <si>
    <t>EAX70206402</t>
  </si>
  <si>
    <t>EAX70206402-B</t>
  </si>
  <si>
    <t>Refresh Good Elec SA</t>
  </si>
  <si>
    <t>EBR42712506</t>
  </si>
  <si>
    <t>Refresh Basic Elec SA</t>
  </si>
  <si>
    <t>EBR42712603</t>
  </si>
  <si>
    <t>EAX70206502</t>
  </si>
  <si>
    <t>EAX70206502-B</t>
  </si>
  <si>
    <t>Refresh Better Elec SA</t>
  </si>
  <si>
    <t>EBR43713701</t>
  </si>
  <si>
    <t>EAX69471801</t>
  </si>
  <si>
    <t>EBR43713702</t>
  </si>
  <si>
    <t>EBR43713703</t>
  </si>
  <si>
    <t>Oven Povwer ILSAN</t>
  </si>
  <si>
    <t>EBR43713704</t>
  </si>
  <si>
    <t>EBR43713705</t>
  </si>
  <si>
    <t>EBR43713706</t>
  </si>
  <si>
    <t>EBR31737820</t>
  </si>
  <si>
    <t>EAX69471805</t>
  </si>
  <si>
    <t>EAX69471805-A</t>
  </si>
  <si>
    <t xml:space="preserve">Slide In Good Elec SA </t>
  </si>
  <si>
    <t>EBR42712503</t>
  </si>
  <si>
    <t>EBR42712601</t>
  </si>
  <si>
    <t>EBR25036820</t>
  </si>
  <si>
    <t>EAX01933601</t>
  </si>
  <si>
    <t>EAX01933601-A</t>
  </si>
  <si>
    <t>EBR24212301</t>
    <phoneticPr fontId="3" type="noConversion"/>
  </si>
  <si>
    <t>EAX01882201</t>
  </si>
  <si>
    <t>EAX01882201-D</t>
  </si>
  <si>
    <t>EBR24212302</t>
    <phoneticPr fontId="3" type="noConversion"/>
  </si>
  <si>
    <t>EBR24212303</t>
    <phoneticPr fontId="3" type="noConversion"/>
  </si>
  <si>
    <t>EBR24212304</t>
  </si>
  <si>
    <t>EBR24212306</t>
    <phoneticPr fontId="3" type="noConversion"/>
  </si>
  <si>
    <t>EBR44599301</t>
  </si>
  <si>
    <t>EBR44599302</t>
  </si>
  <si>
    <t>EBR44599401</t>
  </si>
  <si>
    <t>EAX69471803</t>
  </si>
  <si>
    <t>EAX69471803-A</t>
  </si>
  <si>
    <t>EBR44599402</t>
  </si>
  <si>
    <t>EBR49498905</t>
    <phoneticPr fontId="3" type="noConversion"/>
  </si>
  <si>
    <t>EBR49498917</t>
  </si>
  <si>
    <t>EBR64730407</t>
    <phoneticPr fontId="3" type="noConversion"/>
  </si>
  <si>
    <t>EAX61768210</t>
  </si>
  <si>
    <t>Buzzer</t>
    <phoneticPr fontId="3" type="noConversion"/>
  </si>
  <si>
    <t>EBR64730408</t>
    <phoneticPr fontId="3" type="noConversion"/>
  </si>
  <si>
    <t>EBR64730409</t>
    <phoneticPr fontId="3" type="noConversion"/>
  </si>
  <si>
    <t>EBR88124618</t>
  </si>
  <si>
    <t>EAX65868914</t>
  </si>
  <si>
    <t>EAX65868914-1.0</t>
  </si>
  <si>
    <t>R2 Refresh</t>
    <phoneticPr fontId="3" type="noConversion"/>
  </si>
  <si>
    <t>EBR88124626</t>
  </si>
  <si>
    <t>EBR88124627</t>
    <phoneticPr fontId="3" type="noConversion"/>
  </si>
  <si>
    <t>EBR32881301</t>
  </si>
  <si>
    <t>EAX65868910</t>
  </si>
  <si>
    <t>EAX65868910-1.0</t>
  </si>
  <si>
    <t>EBR32881302</t>
    <phoneticPr fontId="3" type="noConversion"/>
  </si>
  <si>
    <t>EBR32881303</t>
    <phoneticPr fontId="3" type="noConversion"/>
  </si>
  <si>
    <t>EBR84146446</t>
  </si>
  <si>
    <t>EAX67445310</t>
  </si>
  <si>
    <t>EAX67445310-1.0</t>
  </si>
  <si>
    <t>R instaview</t>
    <phoneticPr fontId="4" type="noConversion"/>
  </si>
  <si>
    <t>EBR84146470</t>
  </si>
  <si>
    <t>EBR84146483</t>
  </si>
  <si>
    <t>EAX67445308</t>
  </si>
  <si>
    <t>EAX67445308-1.0</t>
  </si>
  <si>
    <t>Majesty</t>
    <phoneticPr fontId="3" type="noConversion"/>
  </si>
  <si>
    <t>EBR84146484</t>
  </si>
  <si>
    <t>EBR84146487</t>
  </si>
  <si>
    <t>EBR84146488</t>
  </si>
  <si>
    <t>EBR84146489</t>
  </si>
  <si>
    <t>EBR32766630</t>
  </si>
  <si>
    <t>EAX69577801</t>
  </si>
  <si>
    <t>EAX69577801-1.1</t>
  </si>
  <si>
    <t>Inner D</t>
  </si>
  <si>
    <t>EBR32766631</t>
  </si>
  <si>
    <t>EAX69577803</t>
  </si>
  <si>
    <t>EAX69577803-1.0</t>
  </si>
  <si>
    <t>EBR32766632</t>
  </si>
  <si>
    <t>Inner D (raptor)</t>
    <phoneticPr fontId="3" type="noConversion"/>
  </si>
  <si>
    <t>EBR32766634</t>
  </si>
  <si>
    <t>EBR32766635</t>
  </si>
  <si>
    <t>EBR32766642</t>
  </si>
  <si>
    <t>EBR32766652</t>
  </si>
  <si>
    <t>EBR32766653</t>
  </si>
  <si>
    <t>EBR32766654</t>
  </si>
  <si>
    <t>EBR32766655</t>
  </si>
  <si>
    <t>EBR32766656</t>
  </si>
  <si>
    <t>EBR32766660</t>
  </si>
  <si>
    <t>Inner D (VF1)</t>
    <phoneticPr fontId="3" type="noConversion"/>
  </si>
  <si>
    <t>EBR32766662</t>
  </si>
  <si>
    <t>EBR32766664</t>
  </si>
  <si>
    <t>EBR32766665</t>
  </si>
  <si>
    <t>EBR32766666</t>
  </si>
  <si>
    <t>EBR32766676</t>
  </si>
  <si>
    <t>EBR32766677</t>
  </si>
  <si>
    <t>EBR32766611</t>
  </si>
  <si>
    <t>Inner D (VF3)</t>
    <phoneticPr fontId="3" type="noConversion"/>
  </si>
  <si>
    <t>EBR32766650</t>
  </si>
  <si>
    <t>EBR32766661</t>
  </si>
  <si>
    <t>EBR32766663</t>
  </si>
  <si>
    <t>EBR32766671</t>
  </si>
  <si>
    <t>EBR32766674</t>
  </si>
  <si>
    <t>EBR32766675</t>
  </si>
  <si>
    <t>EBR32766680</t>
  </si>
  <si>
    <t>EBR33009904</t>
  </si>
  <si>
    <t>EAX69576401</t>
  </si>
  <si>
    <t>EAX69576401-1.0</t>
  </si>
  <si>
    <t>VT6</t>
    <phoneticPr fontId="3" type="noConversion"/>
  </si>
  <si>
    <t>EBR84146478</t>
  </si>
  <si>
    <t>EBR84146481</t>
  </si>
  <si>
    <t>EBR85856015</t>
    <phoneticPr fontId="3" type="noConversion"/>
  </si>
  <si>
    <t>EAX68065705</t>
  </si>
  <si>
    <t>EAX68065705-1.0</t>
  </si>
  <si>
    <t>EBR85856016</t>
  </si>
  <si>
    <t>EBR85856018</t>
    <phoneticPr fontId="3" type="noConversion"/>
  </si>
  <si>
    <t>EBR85856021</t>
  </si>
  <si>
    <t>EBR85856022</t>
  </si>
  <si>
    <t>EBR85856023</t>
  </si>
  <si>
    <t>EBR85856024</t>
  </si>
  <si>
    <t>EBR85856026</t>
    <phoneticPr fontId="3" type="noConversion"/>
  </si>
  <si>
    <t>EBR76683901</t>
    <phoneticPr fontId="3" type="noConversion"/>
  </si>
  <si>
    <t>EAX65150404</t>
  </si>
  <si>
    <t>EAX65150404-1.0</t>
  </si>
  <si>
    <t>EBR76683902</t>
  </si>
  <si>
    <t>EBR76683903</t>
  </si>
  <si>
    <t>EBR76683906</t>
    <phoneticPr fontId="3" type="noConversion"/>
  </si>
  <si>
    <t>EBR76683907</t>
  </si>
  <si>
    <t>EBR76683908</t>
  </si>
  <si>
    <t>EBR76683909</t>
    <phoneticPr fontId="3" type="noConversion"/>
  </si>
  <si>
    <t>EBR76683911</t>
    <phoneticPr fontId="3" type="noConversion"/>
  </si>
  <si>
    <t>EAX65150407</t>
  </si>
  <si>
    <t>EAX65150407-1.0</t>
  </si>
  <si>
    <t>EBR76683913</t>
  </si>
  <si>
    <t>EBR76683914</t>
  </si>
  <si>
    <t>EBR76683915</t>
  </si>
  <si>
    <t>EBR76683916</t>
  </si>
  <si>
    <t>EAX65150408</t>
  </si>
  <si>
    <t>EAX65150408-1.0</t>
  </si>
  <si>
    <t>EBR76683917</t>
  </si>
  <si>
    <t>EBR76683918</t>
  </si>
  <si>
    <t>26.08.31 업데이트</t>
    <phoneticPr fontId="3" type="noConversion"/>
  </si>
  <si>
    <t>EAX66946010-1.3</t>
  </si>
  <si>
    <t>EAX66726306-1.0</t>
  </si>
  <si>
    <t>EAX69471801-1.0</t>
  </si>
  <si>
    <t>EAX66932502</t>
    <phoneticPr fontId="3" type="noConversion"/>
  </si>
  <si>
    <t>EAX69003501</t>
    <phoneticPr fontId="3" type="noConversion"/>
  </si>
  <si>
    <t>EAX69456901</t>
    <phoneticPr fontId="3" type="noConversion"/>
  </si>
  <si>
    <t>EAX69003601</t>
    <phoneticPr fontId="3" type="noConversion"/>
  </si>
  <si>
    <t>EAX70205601</t>
    <phoneticPr fontId="3" type="noConversion"/>
  </si>
  <si>
    <t>EAX70206402</t>
    <phoneticPr fontId="3" type="noConversion"/>
  </si>
  <si>
    <t>EAX69471801</t>
    <phoneticPr fontId="3" type="noConversion"/>
  </si>
  <si>
    <t>EAX01882201</t>
    <phoneticPr fontId="3" type="noConversion"/>
  </si>
  <si>
    <t>EAX65868914</t>
    <phoneticPr fontId="3" type="noConversion"/>
  </si>
  <si>
    <t>EAX65868910</t>
    <phoneticPr fontId="3" type="noConversion"/>
  </si>
  <si>
    <t>EAX67445308</t>
    <phoneticPr fontId="3" type="noConversion"/>
  </si>
  <si>
    <t>EAX69577801</t>
    <phoneticPr fontId="3" type="noConversion"/>
  </si>
  <si>
    <t>EAX69577803</t>
    <phoneticPr fontId="3" type="noConversion"/>
  </si>
  <si>
    <t>EAX68065705</t>
    <phoneticPr fontId="3" type="noConversion"/>
  </si>
  <si>
    <t>EAX65150404</t>
    <phoneticPr fontId="3" type="noConversion"/>
  </si>
  <si>
    <t>EAX65150407</t>
    <phoneticPr fontId="3" type="noConversion"/>
  </si>
  <si>
    <t>EAX65150408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</si>
</sst>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.0_-;\-* #,##0.0_-;_-* &quot;-&quot;?_-;_-@_-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LG Smart UI Regular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41" fontId="2" fillId="2" borderId="0" xfId="1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6" xfId="0" quotePrefix="1" applyFont="1" applyFill="1" applyBorder="1" applyAlignment="1">
      <alignment horizontal="center" vertical="center"/>
    </xf>
    <xf numFmtId="0" fontId="2" fillId="9" borderId="7" xfId="0" quotePrefix="1" applyFont="1" applyFill="1" applyBorder="1" applyAlignment="1">
      <alignment horizontal="center" vertical="center"/>
    </xf>
    <xf numFmtId="0" fontId="2" fillId="10" borderId="7" xfId="0" quotePrefix="1" applyFont="1" applyFill="1" applyBorder="1" applyAlignment="1">
      <alignment horizontal="center" vertical="center"/>
    </xf>
    <xf numFmtId="0" fontId="2" fillId="8" borderId="7" xfId="0" quotePrefix="1" applyFont="1" applyFill="1" applyBorder="1" applyAlignment="1">
      <alignment horizontal="center" vertical="center"/>
    </xf>
    <xf numFmtId="0" fontId="2" fillId="11" borderId="7" xfId="0" quotePrefix="1" applyFont="1" applyFill="1" applyBorder="1" applyAlignment="1">
      <alignment horizontal="center" vertical="center"/>
    </xf>
    <xf numFmtId="0" fontId="2" fillId="4" borderId="7" xfId="0" quotePrefix="1" applyFont="1" applyFill="1" applyBorder="1" applyAlignment="1">
      <alignment horizontal="center" vertical="center"/>
    </xf>
    <xf numFmtId="0" fontId="2" fillId="12" borderId="7" xfId="0" quotePrefix="1" applyFont="1" applyFill="1" applyBorder="1" applyAlignment="1">
      <alignment horizontal="center" vertical="center"/>
    </xf>
    <xf numFmtId="0" fontId="2" fillId="9" borderId="8" xfId="0" quotePrefix="1" applyFont="1" applyFill="1" applyBorder="1" applyAlignment="1">
      <alignment horizontal="center" vertical="center"/>
    </xf>
    <xf numFmtId="0" fontId="2" fillId="8" borderId="8" xfId="0" quotePrefix="1" applyFont="1" applyFill="1" applyBorder="1" applyAlignment="1">
      <alignment horizontal="center" vertical="center"/>
    </xf>
    <xf numFmtId="0" fontId="2" fillId="4" borderId="8" xfId="0" quotePrefix="1" applyFont="1" applyFill="1" applyBorder="1" applyAlignment="1">
      <alignment horizontal="center" vertical="center"/>
    </xf>
    <xf numFmtId="0" fontId="2" fillId="12" borderId="8" xfId="0" quotePrefix="1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9" borderId="9" xfId="0" quotePrefix="1" applyFont="1" applyFill="1" applyBorder="1" applyAlignment="1">
      <alignment horizontal="center" vertical="center"/>
    </xf>
    <xf numFmtId="0" fontId="2" fillId="10" borderId="10" xfId="0" quotePrefix="1" applyFont="1" applyFill="1" applyBorder="1" applyAlignment="1">
      <alignment horizontal="center" vertical="center"/>
    </xf>
    <xf numFmtId="0" fontId="2" fillId="8" borderId="10" xfId="0" quotePrefix="1" applyFont="1" applyFill="1" applyBorder="1" applyAlignment="1">
      <alignment horizontal="center" vertical="center"/>
    </xf>
    <xf numFmtId="0" fontId="2" fillId="11" borderId="10" xfId="0" quotePrefix="1" applyFont="1" applyFill="1" applyBorder="1" applyAlignment="1">
      <alignment horizontal="center" vertical="center"/>
    </xf>
    <xf numFmtId="0" fontId="2" fillId="4" borderId="10" xfId="0" quotePrefix="1" applyFont="1" applyFill="1" applyBorder="1" applyAlignment="1">
      <alignment horizontal="center" vertical="center"/>
    </xf>
    <xf numFmtId="0" fontId="2" fillId="12" borderId="10" xfId="0" quotePrefix="1" applyFont="1" applyFill="1" applyBorder="1" applyAlignment="1">
      <alignment horizontal="center" vertical="center"/>
    </xf>
    <xf numFmtId="0" fontId="2" fillId="9" borderId="11" xfId="0" quotePrefix="1" applyFont="1" applyFill="1" applyBorder="1" applyAlignment="1">
      <alignment horizontal="center" vertical="center"/>
    </xf>
    <xf numFmtId="0" fontId="2" fillId="8" borderId="11" xfId="0" quotePrefix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1" fontId="2" fillId="8" borderId="1" xfId="1" applyFont="1" applyFill="1" applyBorder="1" applyAlignment="1">
      <alignment horizontal="right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41" fontId="2" fillId="5" borderId="13" xfId="1" applyFont="1" applyFill="1" applyBorder="1">
      <alignment vertical="center"/>
    </xf>
    <xf numFmtId="41" fontId="2" fillId="13" borderId="13" xfId="1" applyFont="1" applyFill="1" applyBorder="1">
      <alignment vertical="center"/>
    </xf>
    <xf numFmtId="176" fontId="2" fillId="13" borderId="14" xfId="1" applyNumberFormat="1" applyFont="1" applyFill="1" applyBorder="1">
      <alignment vertical="center"/>
    </xf>
    <xf numFmtId="176" fontId="2" fillId="5" borderId="14" xfId="1" applyNumberFormat="1" applyFont="1" applyFill="1" applyBorder="1">
      <alignment vertical="center"/>
    </xf>
    <xf numFmtId="176" fontId="2" fillId="0" borderId="14" xfId="1" applyNumberFormat="1" applyFont="1" applyBorder="1">
      <alignment vertical="center"/>
    </xf>
    <xf numFmtId="176" fontId="2" fillId="5" borderId="5" xfId="0" applyNumberFormat="1" applyFont="1" applyFill="1" applyBorder="1" applyAlignment="1">
      <alignment horizontal="right"/>
    </xf>
    <xf numFmtId="0" fontId="2" fillId="5" borderId="1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41" fontId="2" fillId="5" borderId="5" xfId="1" applyFont="1" applyFill="1" applyBorder="1">
      <alignment vertical="center"/>
    </xf>
    <xf numFmtId="41" fontId="2" fillId="13" borderId="5" xfId="1" applyFont="1" applyFill="1" applyBorder="1">
      <alignment vertical="center"/>
    </xf>
    <xf numFmtId="176" fontId="2" fillId="13" borderId="16" xfId="1" applyNumberFormat="1" applyFont="1" applyFill="1" applyBorder="1">
      <alignment vertical="center"/>
    </xf>
    <xf numFmtId="176" fontId="2" fillId="5" borderId="16" xfId="1" applyNumberFormat="1" applyFont="1" applyFill="1" applyBorder="1">
      <alignment vertical="center"/>
    </xf>
    <xf numFmtId="176" fontId="2" fillId="0" borderId="16" xfId="1" applyNumberFormat="1" applyFont="1" applyBorder="1">
      <alignment vertical="center"/>
    </xf>
    <xf numFmtId="176" fontId="2" fillId="2" borderId="16" xfId="1" applyNumberFormat="1" applyFont="1" applyFill="1" applyBorder="1">
      <alignment vertical="center"/>
    </xf>
    <xf numFmtId="0" fontId="2" fillId="7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76" fontId="2" fillId="12" borderId="16" xfId="1" applyNumberFormat="1" applyFont="1" applyFill="1" applyBorder="1">
      <alignment vertical="center"/>
    </xf>
    <xf numFmtId="176" fontId="2" fillId="13" borderId="1" xfId="1" applyNumberFormat="1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15" xfId="0" applyFont="1" applyBorder="1">
      <alignment vertical="center"/>
    </xf>
    <xf numFmtId="0" fontId="2" fillId="4" borderId="5" xfId="0" applyFont="1" applyFill="1" applyBorder="1">
      <alignment vertical="center"/>
    </xf>
    <xf numFmtId="41" fontId="2" fillId="4" borderId="5" xfId="1" applyFont="1" applyFill="1" applyBorder="1">
      <alignment vertical="center"/>
    </xf>
    <xf numFmtId="176" fontId="2" fillId="14" borderId="16" xfId="1" applyNumberFormat="1" applyFont="1" applyFill="1" applyBorder="1">
      <alignment vertical="center"/>
    </xf>
    <xf numFmtId="41" fontId="2" fillId="0" borderId="5" xfId="0" applyNumberFormat="1" applyFont="1" applyBorder="1">
      <alignment vertical="center"/>
    </xf>
    <xf numFmtId="41" fontId="2" fillId="4" borderId="5" xfId="0" applyNumberFormat="1" applyFont="1" applyFill="1" applyBorder="1">
      <alignment vertical="center"/>
    </xf>
    <xf numFmtId="177" fontId="2" fillId="4" borderId="5" xfId="0" applyNumberFormat="1" applyFont="1" applyFill="1" applyBorder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41" fontId="2" fillId="2" borderId="5" xfId="1" applyFont="1" applyFill="1" applyBorder="1">
      <alignment vertical="center"/>
    </xf>
    <xf numFmtId="41" fontId="2" fillId="12" borderId="5" xfId="0" applyNumberFormat="1" applyFont="1" applyFill="1" applyBorder="1">
      <alignment vertical="center"/>
    </xf>
    <xf numFmtId="177" fontId="2" fillId="12" borderId="5" xfId="0" applyNumberFormat="1" applyFont="1" applyFill="1" applyBorder="1">
      <alignment vertical="center"/>
    </xf>
    <xf numFmtId="0" fontId="2" fillId="12" borderId="5" xfId="0" applyFont="1" applyFill="1" applyBorder="1">
      <alignment vertical="center"/>
    </xf>
    <xf numFmtId="41" fontId="2" fillId="12" borderId="5" xfId="1" applyFont="1" applyFill="1" applyBorder="1">
      <alignment vertical="center"/>
    </xf>
    <xf numFmtId="176" fontId="2" fillId="10" borderId="16" xfId="1" applyNumberFormat="1" applyFont="1" applyFill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176" fontId="2" fillId="0" borderId="16" xfId="1" applyNumberFormat="1" applyFont="1" applyFill="1" applyBorder="1">
      <alignment vertical="center"/>
    </xf>
  </cellXfs>
  <cellStyles count="2">
    <cellStyle name="Millares [0]" xfId="1" builtinId="6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1E25-BA5F-4F67-93E3-F92E84DD3546}">
  <sheetPr>
    <tabColor rgb="FFFFC000"/>
  </sheetPr>
  <dimension ref="C1:EI550"/>
  <sheetViews>
    <sheetView showGridLines="0" tabSelected="1" zoomScaleNormal="100" workbookViewId="0">
      <pane xSplit="7" ySplit="9" topLeftCell="H523" activePane="bottomRight" state="frozen"/>
      <selection pane="topRight" activeCell="F1" sqref="F1"/>
      <selection pane="bottomLeft" activeCell="A5" sqref="A5"/>
      <selection pane="bottomRight" activeCell="D548" sqref="D548"/>
    </sheetView>
  </sheetViews>
  <sheetFormatPr baseColWidth="10" defaultColWidth="9" defaultRowHeight="11.25"/>
  <cols>
    <col min="1" max="1" width="2.625" style="1" customWidth="1"/>
    <col min="2" max="2" width="1.625" style="1" customWidth="1"/>
    <col min="3" max="3" width="11.625" style="1" customWidth="1"/>
    <col min="4" max="4" width="15.5" style="1" customWidth="1"/>
    <col min="5" max="5" width="18.625" style="1" customWidth="1"/>
    <col min="6" max="6" width="9.625" style="1" customWidth="1"/>
    <col min="7" max="7" width="14.875" style="1" customWidth="1"/>
    <col min="8" max="16" width="9.125" style="1" bestFit="1" customWidth="1"/>
    <col min="17" max="17" width="9.625" style="1" bestFit="1" customWidth="1"/>
    <col min="18" max="18" width="9.875" style="1" bestFit="1" customWidth="1"/>
    <col min="19" max="23" width="9.125" style="1" bestFit="1" customWidth="1"/>
    <col min="24" max="24" width="9.375" style="1" bestFit="1" customWidth="1"/>
    <col min="25" max="25" width="9.625" style="1" bestFit="1" customWidth="1"/>
    <col min="26" max="26" width="9.5" style="1" bestFit="1" customWidth="1"/>
    <col min="27" max="28" width="9.375" style="1" bestFit="1" customWidth="1"/>
    <col min="29" max="29" width="9.875" style="1" bestFit="1" customWidth="1"/>
    <col min="30" max="30" width="9.625" style="1" bestFit="1" customWidth="1"/>
    <col min="31" max="31" width="9.125" style="1" bestFit="1" customWidth="1"/>
    <col min="32" max="38" width="9" style="1" customWidth="1"/>
    <col min="39" max="39" width="9.375" style="1" bestFit="1" customWidth="1"/>
    <col min="40" max="40" width="9.5" style="1" bestFit="1" customWidth="1"/>
    <col min="41" max="41" width="9.375" style="1" bestFit="1" customWidth="1"/>
    <col min="42" max="42" width="9.625" style="1" bestFit="1" customWidth="1"/>
    <col min="43" max="43" width="9.125" style="1" bestFit="1" customWidth="1"/>
    <col min="44" max="45" width="9.625" style="1" bestFit="1" customWidth="1"/>
    <col min="46" max="46" width="9.75" style="1" bestFit="1" customWidth="1"/>
    <col min="47" max="47" width="9.125" style="1" bestFit="1" customWidth="1"/>
    <col min="48" max="48" width="9.375" style="1" bestFit="1" customWidth="1"/>
    <col min="49" max="49" width="9.625" style="1" bestFit="1" customWidth="1"/>
    <col min="50" max="50" width="9.5" style="1" bestFit="1" customWidth="1"/>
    <col min="51" max="52" width="10.875" style="1" bestFit="1" customWidth="1"/>
    <col min="53" max="53" width="10.5" style="1" bestFit="1" customWidth="1"/>
    <col min="54" max="54" width="10.375" style="1" bestFit="1" customWidth="1"/>
    <col min="55" max="55" width="10.625" style="1" bestFit="1" customWidth="1"/>
    <col min="56" max="56" width="9.75" style="1" bestFit="1" customWidth="1"/>
    <col min="57" max="57" width="9.625" style="1" bestFit="1" customWidth="1"/>
    <col min="58" max="58" width="9.875" style="1" bestFit="1" customWidth="1"/>
    <col min="59" max="59" width="9.75" style="1" bestFit="1" customWidth="1"/>
    <col min="60" max="60" width="9.875" style="1" bestFit="1" customWidth="1"/>
    <col min="61" max="61" width="9.625" style="1" bestFit="1" customWidth="1"/>
    <col min="62" max="62" width="10.375" style="1" customWidth="1"/>
    <col min="63" max="63" width="9.875" style="1" bestFit="1" customWidth="1"/>
    <col min="64" max="64" width="9.75" style="1" bestFit="1" customWidth="1"/>
    <col min="65" max="65" width="9.625" style="1" bestFit="1" customWidth="1"/>
    <col min="66" max="67" width="9.875" style="1" bestFit="1" customWidth="1"/>
    <col min="68" max="79" width="9.375" style="1" customWidth="1"/>
    <col min="80" max="80" width="10.625" style="1" customWidth="1"/>
    <col min="81" max="127" width="10.5" style="1" customWidth="1"/>
    <col min="128" max="128" width="9.375" style="1" bestFit="1" customWidth="1"/>
    <col min="129" max="129" width="7.25" style="1" customWidth="1"/>
    <col min="130" max="130" width="9.125" style="1" customWidth="1"/>
    <col min="131" max="131" width="9.625" style="1" customWidth="1"/>
    <col min="132" max="132" width="8.25" style="1" bestFit="1" customWidth="1"/>
    <col min="133" max="133" width="8.125" style="1" bestFit="1" customWidth="1"/>
    <col min="134" max="134" width="9.125" style="1" bestFit="1" customWidth="1"/>
    <col min="135" max="135" width="8.875" style="1" bestFit="1" customWidth="1"/>
    <col min="136" max="136" width="9.125" style="1" bestFit="1" customWidth="1"/>
    <col min="137" max="137" width="9" style="1" bestFit="1" customWidth="1"/>
    <col min="138" max="138" width="8.875" style="1" bestFit="1" customWidth="1"/>
    <col min="139" max="139" width="8.25" style="1" bestFit="1" customWidth="1"/>
    <col min="140" max="16384" width="9" style="1"/>
  </cols>
  <sheetData>
    <row r="1" spans="3:139" ht="12">
      <c r="CZ1" s="2"/>
      <c r="DA1" s="2"/>
      <c r="DB1" s="2"/>
      <c r="DC1" s="2"/>
      <c r="DD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3"/>
    </row>
    <row r="2" spans="3:139" ht="12"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3"/>
    </row>
    <row r="3" spans="3:139" ht="12">
      <c r="CQ3" s="4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3"/>
      <c r="DY3" s="4"/>
    </row>
    <row r="4" spans="3:139" ht="12">
      <c r="CQ4" s="4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Z4" s="4"/>
    </row>
    <row r="5" spans="3:139" ht="12"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</row>
    <row r="6" spans="3:139" ht="12.75" thickBot="1"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</row>
    <row r="7" spans="3:139">
      <c r="D7" s="8" t="s">
        <v>821</v>
      </c>
      <c r="E7" s="8" t="s">
        <v>821</v>
      </c>
      <c r="F7" s="6"/>
      <c r="H7" s="9" t="s">
        <v>0</v>
      </c>
      <c r="I7" s="10" t="s">
        <v>0</v>
      </c>
      <c r="J7" s="10" t="s">
        <v>0</v>
      </c>
      <c r="K7" s="10" t="s">
        <v>0</v>
      </c>
      <c r="L7" s="10" t="s">
        <v>0</v>
      </c>
      <c r="M7" s="10" t="s">
        <v>0</v>
      </c>
      <c r="N7" s="10" t="s">
        <v>0</v>
      </c>
      <c r="O7" s="10" t="s">
        <v>0</v>
      </c>
      <c r="P7" s="10" t="s">
        <v>0</v>
      </c>
      <c r="Q7" s="10" t="s">
        <v>0</v>
      </c>
      <c r="R7" s="10" t="s">
        <v>0</v>
      </c>
      <c r="S7" s="10" t="s">
        <v>0</v>
      </c>
      <c r="T7" s="10" t="s">
        <v>0</v>
      </c>
      <c r="U7" s="10" t="s">
        <v>0</v>
      </c>
      <c r="V7" s="10" t="s">
        <v>0</v>
      </c>
      <c r="W7" s="10" t="s">
        <v>0</v>
      </c>
      <c r="X7" s="10" t="s">
        <v>0</v>
      </c>
      <c r="Y7" s="10" t="s">
        <v>0</v>
      </c>
      <c r="Z7" s="10" t="s">
        <v>0</v>
      </c>
      <c r="AA7" s="10" t="s">
        <v>0</v>
      </c>
      <c r="AB7" s="10" t="s">
        <v>0</v>
      </c>
      <c r="AC7" s="10" t="s">
        <v>0</v>
      </c>
      <c r="AD7" s="10" t="s">
        <v>0</v>
      </c>
      <c r="AE7" s="10" t="s">
        <v>0</v>
      </c>
      <c r="AF7" s="10" t="s">
        <v>0</v>
      </c>
      <c r="AG7" s="10" t="s">
        <v>0</v>
      </c>
      <c r="AH7" s="10" t="s">
        <v>0</v>
      </c>
      <c r="AI7" s="10" t="s">
        <v>0</v>
      </c>
      <c r="AJ7" s="10" t="s">
        <v>0</v>
      </c>
      <c r="AK7" s="10" t="s">
        <v>0</v>
      </c>
      <c r="AL7" s="10" t="s">
        <v>0</v>
      </c>
      <c r="AM7" s="10" t="s">
        <v>0</v>
      </c>
      <c r="AN7" s="10" t="s">
        <v>0</v>
      </c>
      <c r="AO7" s="10" t="s">
        <v>0</v>
      </c>
      <c r="AP7" s="10" t="s">
        <v>0</v>
      </c>
      <c r="AQ7" s="10" t="s">
        <v>0</v>
      </c>
      <c r="AR7" s="10" t="s">
        <v>0</v>
      </c>
      <c r="AS7" s="10" t="s">
        <v>0</v>
      </c>
      <c r="AT7" s="10" t="s">
        <v>0</v>
      </c>
      <c r="AU7" s="10" t="s">
        <v>0</v>
      </c>
      <c r="AV7" s="10" t="s">
        <v>0</v>
      </c>
      <c r="AW7" s="10" t="s">
        <v>0</v>
      </c>
      <c r="AX7" s="10" t="s">
        <v>0</v>
      </c>
      <c r="AY7" s="10" t="s">
        <v>0</v>
      </c>
      <c r="AZ7" s="10" t="s">
        <v>0</v>
      </c>
      <c r="BA7" s="10" t="s">
        <v>0</v>
      </c>
      <c r="BB7" s="10" t="s">
        <v>0</v>
      </c>
      <c r="BC7" s="10" t="s">
        <v>0</v>
      </c>
      <c r="BD7" s="10" t="s">
        <v>1</v>
      </c>
      <c r="BE7" s="10" t="s">
        <v>1</v>
      </c>
      <c r="BF7" s="10" t="s">
        <v>1</v>
      </c>
      <c r="BG7" s="10" t="s">
        <v>1</v>
      </c>
      <c r="BH7" s="10" t="s">
        <v>1</v>
      </c>
      <c r="BI7" s="10" t="s">
        <v>1</v>
      </c>
      <c r="BJ7" s="10" t="s">
        <v>1</v>
      </c>
      <c r="BK7" s="10" t="s">
        <v>1</v>
      </c>
      <c r="BL7" s="10" t="s">
        <v>1</v>
      </c>
      <c r="BM7" s="10" t="s">
        <v>1</v>
      </c>
      <c r="BN7" s="10" t="s">
        <v>1</v>
      </c>
      <c r="BO7" s="10" t="s">
        <v>1</v>
      </c>
      <c r="BP7" s="10" t="s">
        <v>1</v>
      </c>
      <c r="BQ7" s="10" t="s">
        <v>1</v>
      </c>
      <c r="BR7" s="10" t="s">
        <v>1</v>
      </c>
      <c r="BS7" s="10" t="s">
        <v>1</v>
      </c>
      <c r="BT7" s="10" t="s">
        <v>1</v>
      </c>
      <c r="BU7" s="10" t="s">
        <v>1</v>
      </c>
      <c r="BV7" s="10" t="s">
        <v>1</v>
      </c>
      <c r="BW7" s="10" t="s">
        <v>1</v>
      </c>
      <c r="BX7" s="10" t="s">
        <v>1</v>
      </c>
      <c r="BY7" s="10" t="s">
        <v>1</v>
      </c>
      <c r="BZ7" s="10" t="s">
        <v>1</v>
      </c>
      <c r="CA7" s="10" t="s">
        <v>1</v>
      </c>
      <c r="CB7" s="10" t="s">
        <v>1</v>
      </c>
      <c r="CC7" s="10" t="s">
        <v>1</v>
      </c>
      <c r="CD7" s="10" t="s">
        <v>1</v>
      </c>
      <c r="CE7" s="10" t="s">
        <v>1</v>
      </c>
      <c r="CF7" s="10" t="s">
        <v>1</v>
      </c>
      <c r="CG7" s="10" t="s">
        <v>1</v>
      </c>
      <c r="CH7" s="10" t="s">
        <v>1</v>
      </c>
      <c r="CI7" s="10" t="s">
        <v>1</v>
      </c>
      <c r="CJ7" s="10" t="s">
        <v>1</v>
      </c>
      <c r="CK7" s="10" t="s">
        <v>1</v>
      </c>
      <c r="CL7" s="10" t="s">
        <v>1</v>
      </c>
      <c r="CM7" s="10" t="s">
        <v>1</v>
      </c>
      <c r="CN7" s="10" t="s">
        <v>1</v>
      </c>
      <c r="CO7" s="10" t="s">
        <v>1</v>
      </c>
      <c r="CP7" s="10" t="s">
        <v>1</v>
      </c>
      <c r="CQ7" s="10" t="s">
        <v>1</v>
      </c>
      <c r="CR7" s="10" t="s">
        <v>1</v>
      </c>
      <c r="CS7" s="10" t="s">
        <v>1</v>
      </c>
      <c r="CT7" s="10" t="s">
        <v>1</v>
      </c>
      <c r="CU7" s="10" t="s">
        <v>1</v>
      </c>
      <c r="CV7" s="10" t="s">
        <v>1</v>
      </c>
      <c r="CW7" s="10" t="s">
        <v>1</v>
      </c>
      <c r="CX7" s="10" t="s">
        <v>1</v>
      </c>
      <c r="CY7" s="10" t="s">
        <v>1</v>
      </c>
      <c r="CZ7" s="10" t="s">
        <v>1</v>
      </c>
      <c r="DA7" s="10" t="s">
        <v>1</v>
      </c>
      <c r="DB7" s="10" t="s">
        <v>1</v>
      </c>
      <c r="DC7" s="10" t="s">
        <v>1</v>
      </c>
      <c r="DD7" s="10" t="s">
        <v>1</v>
      </c>
      <c r="DE7" s="10" t="s">
        <v>1</v>
      </c>
      <c r="DF7" s="10" t="s">
        <v>1</v>
      </c>
      <c r="DG7" s="10" t="s">
        <v>1</v>
      </c>
      <c r="DH7" s="10" t="s">
        <v>1</v>
      </c>
      <c r="DI7" s="10" t="s">
        <v>1</v>
      </c>
      <c r="DJ7" s="10" t="s">
        <v>1</v>
      </c>
      <c r="DK7" s="10" t="s">
        <v>1</v>
      </c>
      <c r="DL7" s="10" t="s">
        <v>1</v>
      </c>
      <c r="DM7" s="10" t="s">
        <v>1</v>
      </c>
      <c r="DN7" s="10" t="s">
        <v>1</v>
      </c>
      <c r="DO7" s="10" t="s">
        <v>1</v>
      </c>
      <c r="DP7" s="10" t="s">
        <v>1</v>
      </c>
      <c r="DQ7" s="10" t="s">
        <v>1</v>
      </c>
      <c r="DR7" s="10" t="s">
        <v>1</v>
      </c>
      <c r="DS7" s="11" t="s">
        <v>2</v>
      </c>
      <c r="DT7" s="11" t="s">
        <v>2</v>
      </c>
      <c r="DU7" s="11" t="s">
        <v>2</v>
      </c>
      <c r="DV7" s="11" t="s">
        <v>2</v>
      </c>
      <c r="DW7" s="11" t="s">
        <v>2</v>
      </c>
      <c r="DZ7" s="1" t="s">
        <v>3</v>
      </c>
    </row>
    <row r="8" spans="3:139" ht="12" thickBot="1">
      <c r="C8" s="12" t="s">
        <v>4</v>
      </c>
      <c r="D8" s="13" t="s">
        <v>5</v>
      </c>
      <c r="E8" s="13" t="s">
        <v>6</v>
      </c>
      <c r="F8" s="15" t="s">
        <v>7</v>
      </c>
      <c r="G8" s="14" t="s">
        <v>8</v>
      </c>
      <c r="H8" s="16" t="s">
        <v>9</v>
      </c>
      <c r="I8" s="17" t="s">
        <v>10</v>
      </c>
      <c r="J8" s="17" t="s">
        <v>11</v>
      </c>
      <c r="K8" s="17" t="s">
        <v>12</v>
      </c>
      <c r="L8" s="17" t="s">
        <v>13</v>
      </c>
      <c r="M8" s="17" t="s">
        <v>14</v>
      </c>
      <c r="N8" s="17" t="s">
        <v>15</v>
      </c>
      <c r="O8" s="17" t="s">
        <v>16</v>
      </c>
      <c r="P8" s="17" t="s">
        <v>17</v>
      </c>
      <c r="Q8" s="17" t="s">
        <v>18</v>
      </c>
      <c r="R8" s="17" t="s">
        <v>19</v>
      </c>
      <c r="S8" s="17" t="s">
        <v>20</v>
      </c>
      <c r="T8" s="18" t="s">
        <v>21</v>
      </c>
      <c r="U8" s="18" t="s">
        <v>22</v>
      </c>
      <c r="V8" s="18" t="s">
        <v>23</v>
      </c>
      <c r="W8" s="18" t="s">
        <v>24</v>
      </c>
      <c r="X8" s="18" t="s">
        <v>25</v>
      </c>
      <c r="Y8" s="18" t="s">
        <v>26</v>
      </c>
      <c r="Z8" s="18" t="s">
        <v>27</v>
      </c>
      <c r="AA8" s="18" t="s">
        <v>28</v>
      </c>
      <c r="AB8" s="18" t="s">
        <v>29</v>
      </c>
      <c r="AC8" s="18" t="s">
        <v>30</v>
      </c>
      <c r="AD8" s="18" t="s">
        <v>31</v>
      </c>
      <c r="AE8" s="18" t="s">
        <v>32</v>
      </c>
      <c r="AF8" s="19" t="s">
        <v>33</v>
      </c>
      <c r="AG8" s="19" t="s">
        <v>34</v>
      </c>
      <c r="AH8" s="19" t="s">
        <v>35</v>
      </c>
      <c r="AI8" s="19" t="s">
        <v>36</v>
      </c>
      <c r="AJ8" s="19" t="s">
        <v>37</v>
      </c>
      <c r="AK8" s="19" t="s">
        <v>38</v>
      </c>
      <c r="AL8" s="19" t="s">
        <v>39</v>
      </c>
      <c r="AM8" s="19" t="s">
        <v>40</v>
      </c>
      <c r="AN8" s="19" t="s">
        <v>41</v>
      </c>
      <c r="AO8" s="19" t="s">
        <v>42</v>
      </c>
      <c r="AP8" s="19" t="s">
        <v>43</v>
      </c>
      <c r="AQ8" s="19" t="s">
        <v>44</v>
      </c>
      <c r="AR8" s="20" t="s">
        <v>45</v>
      </c>
      <c r="AS8" s="20" t="s">
        <v>46</v>
      </c>
      <c r="AT8" s="20" t="s">
        <v>47</v>
      </c>
      <c r="AU8" s="20" t="s">
        <v>48</v>
      </c>
      <c r="AV8" s="20" t="s">
        <v>49</v>
      </c>
      <c r="AW8" s="20" t="s">
        <v>50</v>
      </c>
      <c r="AX8" s="20" t="s">
        <v>51</v>
      </c>
      <c r="AY8" s="20" t="s">
        <v>52</v>
      </c>
      <c r="AZ8" s="20" t="s">
        <v>53</v>
      </c>
      <c r="BA8" s="20" t="s">
        <v>54</v>
      </c>
      <c r="BB8" s="20" t="s">
        <v>55</v>
      </c>
      <c r="BC8" s="20" t="s">
        <v>56</v>
      </c>
      <c r="BD8" s="21" t="s">
        <v>57</v>
      </c>
      <c r="BE8" s="21" t="s">
        <v>58</v>
      </c>
      <c r="BF8" s="21" t="s">
        <v>59</v>
      </c>
      <c r="BG8" s="21" t="s">
        <v>60</v>
      </c>
      <c r="BH8" s="21" t="s">
        <v>61</v>
      </c>
      <c r="BI8" s="21" t="s">
        <v>62</v>
      </c>
      <c r="BJ8" s="21" t="s">
        <v>63</v>
      </c>
      <c r="BK8" s="21" t="s">
        <v>64</v>
      </c>
      <c r="BL8" s="21" t="s">
        <v>65</v>
      </c>
      <c r="BM8" s="21" t="s">
        <v>66</v>
      </c>
      <c r="BN8" s="21" t="s">
        <v>67</v>
      </c>
      <c r="BO8" s="21" t="s">
        <v>68</v>
      </c>
      <c r="BP8" s="22" t="s">
        <v>69</v>
      </c>
      <c r="BQ8" s="22" t="s">
        <v>70</v>
      </c>
      <c r="BR8" s="22" t="s">
        <v>71</v>
      </c>
      <c r="BS8" s="22" t="s">
        <v>72</v>
      </c>
      <c r="BT8" s="22" t="s">
        <v>73</v>
      </c>
      <c r="BU8" s="22" t="s">
        <v>74</v>
      </c>
      <c r="BV8" s="22" t="s">
        <v>75</v>
      </c>
      <c r="BW8" s="22" t="s">
        <v>76</v>
      </c>
      <c r="BX8" s="22" t="s">
        <v>77</v>
      </c>
      <c r="BY8" s="22" t="s">
        <v>78</v>
      </c>
      <c r="BZ8" s="22" t="s">
        <v>79</v>
      </c>
      <c r="CA8" s="22" t="s">
        <v>80</v>
      </c>
      <c r="CB8" s="23" t="s">
        <v>81</v>
      </c>
      <c r="CC8" s="23" t="s">
        <v>82</v>
      </c>
      <c r="CD8" s="23" t="s">
        <v>83</v>
      </c>
      <c r="CE8" s="23" t="s">
        <v>84</v>
      </c>
      <c r="CF8" s="23" t="s">
        <v>85</v>
      </c>
      <c r="CG8" s="23" t="s">
        <v>86</v>
      </c>
      <c r="CH8" s="23" t="s">
        <v>87</v>
      </c>
      <c r="CI8" s="23" t="s">
        <v>88</v>
      </c>
      <c r="CJ8" s="23" t="s">
        <v>89</v>
      </c>
      <c r="CK8" s="23" t="s">
        <v>90</v>
      </c>
      <c r="CL8" s="23" t="s">
        <v>91</v>
      </c>
      <c r="CM8" s="23" t="s">
        <v>92</v>
      </c>
      <c r="CN8" s="24" t="s">
        <v>93</v>
      </c>
      <c r="CO8" s="24" t="s">
        <v>94</v>
      </c>
      <c r="CP8" s="24" t="s">
        <v>95</v>
      </c>
      <c r="CQ8" s="24" t="s">
        <v>96</v>
      </c>
      <c r="CR8" s="24" t="s">
        <v>97</v>
      </c>
      <c r="CS8" s="24" t="s">
        <v>98</v>
      </c>
      <c r="CT8" s="24" t="s">
        <v>99</v>
      </c>
      <c r="CU8" s="24" t="s">
        <v>100</v>
      </c>
      <c r="CV8" s="24" t="s">
        <v>101</v>
      </c>
      <c r="CW8" s="24" t="s">
        <v>102</v>
      </c>
      <c r="CX8" s="24" t="s">
        <v>103</v>
      </c>
      <c r="CY8" s="24" t="s">
        <v>104</v>
      </c>
      <c r="CZ8" s="25" t="s">
        <v>105</v>
      </c>
      <c r="DA8" s="25" t="s">
        <v>106</v>
      </c>
      <c r="DB8" s="25" t="s">
        <v>107</v>
      </c>
      <c r="DC8" s="25" t="s">
        <v>108</v>
      </c>
      <c r="DD8" s="25" t="s">
        <v>109</v>
      </c>
      <c r="DE8" s="25" t="s">
        <v>110</v>
      </c>
      <c r="DF8" s="25" t="s">
        <v>111</v>
      </c>
      <c r="DG8" s="25" t="s">
        <v>112</v>
      </c>
      <c r="DH8" s="25" t="s">
        <v>113</v>
      </c>
      <c r="DI8" s="25" t="s">
        <v>114</v>
      </c>
      <c r="DJ8" s="25" t="s">
        <v>115</v>
      </c>
      <c r="DK8" s="25" t="s">
        <v>116</v>
      </c>
      <c r="DL8" s="26" t="s">
        <v>117</v>
      </c>
      <c r="DM8" s="26" t="s">
        <v>118</v>
      </c>
      <c r="DN8" s="26" t="s">
        <v>119</v>
      </c>
      <c r="DO8" s="26" t="s">
        <v>120</v>
      </c>
      <c r="DP8" s="26" t="s">
        <v>121</v>
      </c>
      <c r="DQ8" s="26" t="s">
        <v>122</v>
      </c>
      <c r="DR8" s="26" t="s">
        <v>123</v>
      </c>
      <c r="DS8" s="27" t="s">
        <v>124</v>
      </c>
      <c r="DT8" s="27" t="s">
        <v>125</v>
      </c>
      <c r="DU8" s="27" t="s">
        <v>126</v>
      </c>
      <c r="DV8" s="27" t="s">
        <v>127</v>
      </c>
      <c r="DW8" s="27" t="s">
        <v>128</v>
      </c>
      <c r="DZ8" s="28">
        <v>2017</v>
      </c>
      <c r="EA8" s="29">
        <v>2018</v>
      </c>
      <c r="EB8" s="30">
        <v>2019</v>
      </c>
      <c r="EC8" s="31">
        <v>2020</v>
      </c>
      <c r="ED8" s="32">
        <v>2021</v>
      </c>
      <c r="EE8" s="33">
        <v>2022</v>
      </c>
      <c r="EF8" s="34">
        <v>2023</v>
      </c>
      <c r="EG8" s="35">
        <v>2024</v>
      </c>
      <c r="EH8" s="25">
        <v>2025</v>
      </c>
      <c r="EI8" s="33">
        <v>2026</v>
      </c>
    </row>
    <row r="9" spans="3:139" ht="12">
      <c r="C9" s="36" t="s">
        <v>129</v>
      </c>
      <c r="D9" s="36" t="s">
        <v>130</v>
      </c>
      <c r="E9" s="36" t="s">
        <v>130</v>
      </c>
      <c r="F9" s="38">
        <f>SUM(H9:DQ9)</f>
        <v>54634</v>
      </c>
      <c r="G9" s="37" t="s">
        <v>131</v>
      </c>
      <c r="H9" s="39"/>
      <c r="I9" s="40"/>
      <c r="J9" s="41"/>
      <c r="K9" s="41"/>
      <c r="L9" s="41">
        <v>724</v>
      </c>
      <c r="M9" s="41">
        <v>1536</v>
      </c>
      <c r="N9" s="41">
        <v>3536</v>
      </c>
      <c r="O9" s="41">
        <v>3287</v>
      </c>
      <c r="P9" s="41">
        <v>3900</v>
      </c>
      <c r="Q9" s="41">
        <v>5400</v>
      </c>
      <c r="R9" s="41">
        <v>2664</v>
      </c>
      <c r="S9" s="41">
        <v>1576</v>
      </c>
      <c r="T9" s="40">
        <v>3915</v>
      </c>
      <c r="U9" s="40">
        <v>3915</v>
      </c>
      <c r="V9" s="41">
        <v>3239</v>
      </c>
      <c r="W9" s="41">
        <v>5027</v>
      </c>
      <c r="X9" s="41">
        <v>2860</v>
      </c>
      <c r="Y9" s="41">
        <v>1580</v>
      </c>
      <c r="Z9" s="41">
        <v>1520</v>
      </c>
      <c r="AA9" s="41">
        <v>2060</v>
      </c>
      <c r="AB9" s="41">
        <v>1260</v>
      </c>
      <c r="AC9" s="41">
        <v>2220</v>
      </c>
      <c r="AD9" s="41">
        <v>1975</v>
      </c>
      <c r="AE9" s="41">
        <v>400</v>
      </c>
      <c r="AF9" s="40"/>
      <c r="AG9" s="40">
        <v>600</v>
      </c>
      <c r="AH9" s="41">
        <v>325</v>
      </c>
      <c r="AI9" s="41">
        <v>300</v>
      </c>
      <c r="AJ9" s="41">
        <v>456</v>
      </c>
      <c r="AK9" s="41"/>
      <c r="AL9" s="41">
        <v>99</v>
      </c>
      <c r="AM9" s="41">
        <v>141</v>
      </c>
      <c r="AN9" s="41">
        <v>0</v>
      </c>
      <c r="AO9" s="41"/>
      <c r="AP9" s="41"/>
      <c r="AQ9" s="41"/>
      <c r="AR9" s="41">
        <v>0</v>
      </c>
      <c r="AS9" s="41">
        <v>0</v>
      </c>
      <c r="AT9" s="41"/>
      <c r="AU9" s="41">
        <v>0</v>
      </c>
      <c r="AV9" s="41">
        <v>0</v>
      </c>
      <c r="AW9" s="41"/>
      <c r="AX9" s="41">
        <v>0</v>
      </c>
      <c r="AY9" s="41"/>
      <c r="AZ9" s="41">
        <v>0</v>
      </c>
      <c r="BA9" s="41">
        <v>0</v>
      </c>
      <c r="BB9" s="41">
        <v>0</v>
      </c>
      <c r="BC9" s="41">
        <v>0</v>
      </c>
      <c r="BD9" s="41">
        <v>0</v>
      </c>
      <c r="BE9" s="41">
        <v>0</v>
      </c>
      <c r="BF9" s="41"/>
      <c r="BG9" s="41"/>
      <c r="BH9" s="41"/>
      <c r="BI9" s="41"/>
      <c r="BJ9" s="41"/>
      <c r="BK9" s="41"/>
      <c r="BL9" s="41">
        <v>0</v>
      </c>
      <c r="BM9" s="41"/>
      <c r="BN9" s="41">
        <v>0</v>
      </c>
      <c r="BO9" s="41"/>
      <c r="BP9" s="42">
        <v>0</v>
      </c>
      <c r="BQ9" s="42">
        <v>0</v>
      </c>
      <c r="BR9" s="42"/>
      <c r="BS9" s="42">
        <v>0</v>
      </c>
      <c r="BT9" s="42">
        <v>0</v>
      </c>
      <c r="BU9" s="42">
        <v>10</v>
      </c>
      <c r="BV9" s="42"/>
      <c r="BW9" s="42">
        <v>0</v>
      </c>
      <c r="BX9" s="42"/>
      <c r="BY9" s="42"/>
      <c r="BZ9" s="42"/>
      <c r="CA9" s="42">
        <v>15</v>
      </c>
      <c r="CB9" s="42">
        <v>0</v>
      </c>
      <c r="CC9" s="42">
        <v>0</v>
      </c>
      <c r="CD9" s="42">
        <v>0</v>
      </c>
      <c r="CE9" s="42">
        <v>0</v>
      </c>
      <c r="CF9" s="42">
        <v>0</v>
      </c>
      <c r="CG9" s="42"/>
      <c r="CH9" s="42">
        <v>0</v>
      </c>
      <c r="CI9" s="42">
        <v>0</v>
      </c>
      <c r="CJ9" s="42">
        <v>0</v>
      </c>
      <c r="CK9" s="42">
        <v>0</v>
      </c>
      <c r="CL9" s="42">
        <v>0</v>
      </c>
      <c r="CM9" s="42">
        <v>0</v>
      </c>
      <c r="CN9" s="43">
        <v>19</v>
      </c>
      <c r="CO9" s="43">
        <v>0</v>
      </c>
      <c r="CP9" s="43"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3">
        <v>0</v>
      </c>
      <c r="CY9" s="43">
        <v>22</v>
      </c>
      <c r="CZ9" s="43">
        <v>0</v>
      </c>
      <c r="DA9" s="43">
        <v>0</v>
      </c>
      <c r="DB9" s="43">
        <v>46</v>
      </c>
      <c r="DC9" s="43">
        <v>0</v>
      </c>
      <c r="DD9" s="43">
        <v>0</v>
      </c>
      <c r="DE9" s="43">
        <v>0</v>
      </c>
      <c r="DF9" s="44">
        <v>0</v>
      </c>
      <c r="DG9" s="44">
        <v>7</v>
      </c>
      <c r="DH9" s="44">
        <v>0</v>
      </c>
      <c r="DI9" s="44">
        <v>0</v>
      </c>
      <c r="DJ9" s="44">
        <v>0</v>
      </c>
      <c r="DK9" s="44">
        <v>0</v>
      </c>
      <c r="DL9" s="44">
        <v>0</v>
      </c>
      <c r="DM9" s="44">
        <v>0</v>
      </c>
      <c r="DN9" s="44">
        <v>0</v>
      </c>
      <c r="DO9" s="44">
        <v>0</v>
      </c>
      <c r="DP9" s="44">
        <v>0</v>
      </c>
      <c r="DQ9" s="44">
        <v>0</v>
      </c>
      <c r="DR9" s="44">
        <v>0</v>
      </c>
      <c r="DS9" s="45">
        <v>0</v>
      </c>
      <c r="DT9" s="45">
        <v>0</v>
      </c>
      <c r="DU9" s="45">
        <v>0</v>
      </c>
      <c r="DV9" s="45">
        <v>0</v>
      </c>
      <c r="DW9" s="45">
        <v>0</v>
      </c>
      <c r="DX9" s="2"/>
      <c r="DY9" s="2"/>
      <c r="DZ9" s="46">
        <f t="shared" ref="DZ9:DZ54" si="0">SUM(H9:S9)</f>
        <v>22623</v>
      </c>
      <c r="EA9" s="46">
        <f t="shared" ref="EA9:EA54" si="1">SUM(T9:AE9)</f>
        <v>29971</v>
      </c>
      <c r="EB9" s="46">
        <f t="shared" ref="EB9:EB54" si="2">SUM(AF9:AQ9)</f>
        <v>1921</v>
      </c>
      <c r="EC9" s="46">
        <f t="shared" ref="EC9:EC54" si="3">SUM(AR9:BC9)</f>
        <v>0</v>
      </c>
      <c r="ED9" s="46">
        <f t="shared" ref="ED9:ED54" si="4">SUM(BD9:BO9)</f>
        <v>0</v>
      </c>
      <c r="EE9" s="46">
        <f t="shared" ref="EE9:EE54" si="5">SUM(BP9:CA9)</f>
        <v>25</v>
      </c>
      <c r="EF9" s="46">
        <f t="shared" ref="EF9:EF54" si="6">SUM(CB9:CM9)</f>
        <v>0</v>
      </c>
      <c r="EG9" s="46">
        <f t="shared" ref="EG9:EG54" si="7">SUM(CN9:CY9)</f>
        <v>41</v>
      </c>
      <c r="EH9" s="46">
        <f t="shared" ref="EH9:EH72" si="8">SUM(CZ9:DJ9)</f>
        <v>53</v>
      </c>
      <c r="EI9" s="46">
        <f>SUM(DL9:DO9)</f>
        <v>0</v>
      </c>
    </row>
    <row r="10" spans="3:139" ht="12">
      <c r="C10" s="36" t="s">
        <v>132</v>
      </c>
      <c r="D10" s="36" t="s">
        <v>133</v>
      </c>
      <c r="E10" s="36" t="s">
        <v>133</v>
      </c>
      <c r="F10" s="38">
        <f t="shared" ref="F10:F74" si="9">SUM(H10:DQ10)</f>
        <v>114093</v>
      </c>
      <c r="G10" s="37" t="s">
        <v>131</v>
      </c>
      <c r="H10" s="47"/>
      <c r="I10" s="48"/>
      <c r="J10" s="49"/>
      <c r="K10" s="49"/>
      <c r="L10" s="49">
        <v>2916</v>
      </c>
      <c r="M10" s="49">
        <v>3632</v>
      </c>
      <c r="N10" s="49">
        <v>2974</v>
      </c>
      <c r="O10" s="49">
        <v>2649</v>
      </c>
      <c r="P10" s="49">
        <v>3706</v>
      </c>
      <c r="Q10" s="49">
        <v>3670</v>
      </c>
      <c r="R10" s="49">
        <v>2991</v>
      </c>
      <c r="S10" s="49">
        <v>3585</v>
      </c>
      <c r="T10" s="48">
        <v>3707</v>
      </c>
      <c r="U10" s="48">
        <v>3707</v>
      </c>
      <c r="V10" s="49">
        <v>4050</v>
      </c>
      <c r="W10" s="49">
        <v>4318</v>
      </c>
      <c r="X10" s="49">
        <v>6900</v>
      </c>
      <c r="Y10" s="49">
        <v>2800</v>
      </c>
      <c r="Z10" s="49">
        <v>5740</v>
      </c>
      <c r="AA10" s="49">
        <v>6000</v>
      </c>
      <c r="AB10" s="49">
        <v>6220</v>
      </c>
      <c r="AC10" s="49">
        <v>12160</v>
      </c>
      <c r="AD10" s="49">
        <v>3000</v>
      </c>
      <c r="AE10" s="49">
        <v>1800</v>
      </c>
      <c r="AF10" s="48">
        <v>6050</v>
      </c>
      <c r="AG10" s="48">
        <v>5884</v>
      </c>
      <c r="AH10" s="49">
        <v>5800</v>
      </c>
      <c r="AI10" s="49">
        <v>3486</v>
      </c>
      <c r="AJ10" s="49">
        <v>4982</v>
      </c>
      <c r="AK10" s="49">
        <v>222</v>
      </c>
      <c r="AL10" s="49">
        <v>0</v>
      </c>
      <c r="AM10" s="49">
        <v>40</v>
      </c>
      <c r="AN10" s="49">
        <v>0</v>
      </c>
      <c r="AO10" s="49"/>
      <c r="AP10" s="49">
        <v>300</v>
      </c>
      <c r="AQ10" s="49"/>
      <c r="AR10" s="49">
        <v>0</v>
      </c>
      <c r="AS10" s="49">
        <v>0</v>
      </c>
      <c r="AT10" s="49"/>
      <c r="AU10" s="49">
        <v>0</v>
      </c>
      <c r="AV10" s="49">
        <v>350</v>
      </c>
      <c r="AW10" s="49"/>
      <c r="AX10" s="49">
        <v>0</v>
      </c>
      <c r="AY10" s="49"/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/>
      <c r="BG10" s="49"/>
      <c r="BH10" s="49"/>
      <c r="BI10" s="49">
        <v>0</v>
      </c>
      <c r="BJ10" s="49"/>
      <c r="BK10" s="49"/>
      <c r="BL10" s="49">
        <v>0</v>
      </c>
      <c r="BM10" s="49"/>
      <c r="BN10" s="49">
        <v>0</v>
      </c>
      <c r="BO10" s="49"/>
      <c r="BP10" s="50">
        <v>0</v>
      </c>
      <c r="BQ10" s="50">
        <v>0</v>
      </c>
      <c r="BR10" s="50"/>
      <c r="BS10" s="50">
        <v>0</v>
      </c>
      <c r="BT10" s="50">
        <v>0</v>
      </c>
      <c r="BU10" s="50">
        <v>0</v>
      </c>
      <c r="BV10" s="50"/>
      <c r="BW10" s="50">
        <v>0</v>
      </c>
      <c r="BX10" s="50"/>
      <c r="BY10" s="50"/>
      <c r="BZ10" s="50"/>
      <c r="CA10" s="50">
        <v>0</v>
      </c>
      <c r="CB10" s="50">
        <v>0</v>
      </c>
      <c r="CC10" s="50">
        <v>0</v>
      </c>
      <c r="CD10" s="50">
        <v>0</v>
      </c>
      <c r="CE10" s="50">
        <v>0</v>
      </c>
      <c r="CF10" s="50">
        <v>0</v>
      </c>
      <c r="CG10" s="50"/>
      <c r="CH10" s="50">
        <v>0</v>
      </c>
      <c r="CI10" s="50">
        <v>0</v>
      </c>
      <c r="CJ10" s="50">
        <v>0</v>
      </c>
      <c r="CK10" s="50">
        <v>0</v>
      </c>
      <c r="CL10" s="50">
        <v>114</v>
      </c>
      <c r="CM10" s="50">
        <v>0</v>
      </c>
      <c r="CN10" s="51">
        <v>0</v>
      </c>
      <c r="CO10" s="51">
        <v>0</v>
      </c>
      <c r="CP10" s="51">
        <v>44</v>
      </c>
      <c r="CQ10" s="51">
        <v>0</v>
      </c>
      <c r="CR10" s="51">
        <v>140</v>
      </c>
      <c r="CS10" s="51">
        <v>0</v>
      </c>
      <c r="CT10" s="51">
        <v>0</v>
      </c>
      <c r="CU10" s="51">
        <v>0</v>
      </c>
      <c r="CV10" s="51">
        <v>0</v>
      </c>
      <c r="CW10" s="51">
        <v>0</v>
      </c>
      <c r="CX10" s="51">
        <v>0</v>
      </c>
      <c r="CY10" s="51">
        <v>0</v>
      </c>
      <c r="CZ10" s="51">
        <v>0</v>
      </c>
      <c r="DA10" s="51">
        <v>0</v>
      </c>
      <c r="DB10" s="51">
        <v>0</v>
      </c>
      <c r="DC10" s="51">
        <v>0</v>
      </c>
      <c r="DD10" s="51">
        <v>0</v>
      </c>
      <c r="DE10" s="51">
        <v>26</v>
      </c>
      <c r="DF10" s="52">
        <v>0</v>
      </c>
      <c r="DG10" s="52">
        <v>2</v>
      </c>
      <c r="DH10" s="52">
        <v>0</v>
      </c>
      <c r="DI10" s="52">
        <v>0</v>
      </c>
      <c r="DJ10" s="52">
        <v>0</v>
      </c>
      <c r="DK10" s="52">
        <v>84</v>
      </c>
      <c r="DL10" s="52">
        <v>0</v>
      </c>
      <c r="DM10" s="52">
        <v>0</v>
      </c>
      <c r="DN10" s="52">
        <v>0</v>
      </c>
      <c r="DO10" s="52">
        <v>44</v>
      </c>
      <c r="DP10" s="52">
        <v>0</v>
      </c>
      <c r="DQ10" s="52">
        <v>0</v>
      </c>
      <c r="DR10" s="52">
        <v>0</v>
      </c>
      <c r="DS10" s="53">
        <v>0</v>
      </c>
      <c r="DT10" s="53">
        <v>0</v>
      </c>
      <c r="DU10" s="53">
        <v>0</v>
      </c>
      <c r="DV10" s="53">
        <v>0</v>
      </c>
      <c r="DW10" s="53">
        <v>0</v>
      </c>
      <c r="DX10" s="2"/>
      <c r="DY10" s="2"/>
      <c r="DZ10" s="46">
        <f t="shared" si="0"/>
        <v>26123</v>
      </c>
      <c r="EA10" s="46">
        <f t="shared" si="1"/>
        <v>60402</v>
      </c>
      <c r="EB10" s="46">
        <f t="shared" si="2"/>
        <v>26764</v>
      </c>
      <c r="EC10" s="46">
        <f t="shared" si="3"/>
        <v>350</v>
      </c>
      <c r="ED10" s="46">
        <f t="shared" si="4"/>
        <v>0</v>
      </c>
      <c r="EE10" s="46">
        <f t="shared" si="5"/>
        <v>0</v>
      </c>
      <c r="EF10" s="46">
        <f t="shared" si="6"/>
        <v>114</v>
      </c>
      <c r="EG10" s="46">
        <f t="shared" si="7"/>
        <v>184</v>
      </c>
      <c r="EH10" s="46">
        <f t="shared" si="8"/>
        <v>28</v>
      </c>
      <c r="EI10" s="46">
        <f t="shared" ref="EI10:EI74" si="10">SUM(DL10:DO10)</f>
        <v>44</v>
      </c>
    </row>
    <row r="11" spans="3:139" ht="12">
      <c r="C11" s="36" t="s">
        <v>134</v>
      </c>
      <c r="D11" s="36" t="s">
        <v>130</v>
      </c>
      <c r="E11" s="36" t="s">
        <v>130</v>
      </c>
      <c r="F11" s="38">
        <f t="shared" si="9"/>
        <v>40486</v>
      </c>
      <c r="G11" s="37" t="s">
        <v>131</v>
      </c>
      <c r="H11" s="47"/>
      <c r="I11" s="48"/>
      <c r="J11" s="49"/>
      <c r="K11" s="49"/>
      <c r="L11" s="49">
        <v>707</v>
      </c>
      <c r="M11" s="49">
        <v>2377</v>
      </c>
      <c r="N11" s="49">
        <v>4885</v>
      </c>
      <c r="O11" s="49">
        <v>1783</v>
      </c>
      <c r="P11" s="49">
        <v>2963</v>
      </c>
      <c r="Q11" s="49">
        <v>2410</v>
      </c>
      <c r="R11" s="49">
        <v>4848</v>
      </c>
      <c r="S11" s="49">
        <v>199</v>
      </c>
      <c r="T11" s="48">
        <v>1750</v>
      </c>
      <c r="U11" s="48">
        <v>1750</v>
      </c>
      <c r="V11" s="49">
        <v>2448</v>
      </c>
      <c r="W11" s="49">
        <v>3331</v>
      </c>
      <c r="X11" s="49">
        <v>1980</v>
      </c>
      <c r="Y11" s="49">
        <v>2620</v>
      </c>
      <c r="Z11" s="49">
        <v>1640</v>
      </c>
      <c r="AA11" s="49">
        <v>0</v>
      </c>
      <c r="AB11" s="49">
        <v>860</v>
      </c>
      <c r="AC11" s="49">
        <v>1020</v>
      </c>
      <c r="AD11" s="49">
        <v>1857</v>
      </c>
      <c r="AE11" s="49">
        <v>100</v>
      </c>
      <c r="AF11" s="48"/>
      <c r="AG11" s="48">
        <v>100</v>
      </c>
      <c r="AH11" s="49">
        <v>525</v>
      </c>
      <c r="AI11" s="49">
        <v>180</v>
      </c>
      <c r="AJ11" s="49">
        <v>117</v>
      </c>
      <c r="AK11" s="49"/>
      <c r="AL11" s="49">
        <v>0</v>
      </c>
      <c r="AM11" s="49"/>
      <c r="AN11" s="49">
        <v>0</v>
      </c>
      <c r="AO11" s="49"/>
      <c r="AP11" s="49"/>
      <c r="AQ11" s="49"/>
      <c r="AR11" s="49">
        <v>0</v>
      </c>
      <c r="AS11" s="49">
        <v>0</v>
      </c>
      <c r="AT11" s="49"/>
      <c r="AU11" s="49">
        <v>0</v>
      </c>
      <c r="AV11" s="49">
        <v>0</v>
      </c>
      <c r="AW11" s="49"/>
      <c r="AX11" s="49">
        <v>0</v>
      </c>
      <c r="AY11" s="49"/>
      <c r="AZ11" s="49">
        <v>0</v>
      </c>
      <c r="BA11" s="49">
        <v>0</v>
      </c>
      <c r="BB11" s="49">
        <v>0</v>
      </c>
      <c r="BC11" s="49">
        <v>0</v>
      </c>
      <c r="BD11" s="49">
        <v>0</v>
      </c>
      <c r="BE11" s="49">
        <v>0</v>
      </c>
      <c r="BF11" s="49"/>
      <c r="BG11" s="49"/>
      <c r="BH11" s="49"/>
      <c r="BI11" s="49">
        <v>0</v>
      </c>
      <c r="BJ11" s="49"/>
      <c r="BK11" s="49"/>
      <c r="BL11" s="49">
        <v>0</v>
      </c>
      <c r="BM11" s="49"/>
      <c r="BN11" s="49">
        <v>0</v>
      </c>
      <c r="BO11" s="49"/>
      <c r="BP11" s="50">
        <v>0</v>
      </c>
      <c r="BQ11" s="50">
        <v>0</v>
      </c>
      <c r="BR11" s="50"/>
      <c r="BS11" s="50">
        <v>0</v>
      </c>
      <c r="BT11" s="50">
        <v>0</v>
      </c>
      <c r="BU11" s="50">
        <v>10</v>
      </c>
      <c r="BV11" s="50"/>
      <c r="BW11" s="50">
        <v>0</v>
      </c>
      <c r="BX11" s="50"/>
      <c r="BY11" s="50"/>
      <c r="BZ11" s="50"/>
      <c r="CA11" s="50">
        <v>0</v>
      </c>
      <c r="CB11" s="50">
        <v>0</v>
      </c>
      <c r="CC11" s="50">
        <v>0</v>
      </c>
      <c r="CD11" s="50">
        <v>0</v>
      </c>
      <c r="CE11" s="50">
        <v>0</v>
      </c>
      <c r="CF11" s="50">
        <v>0</v>
      </c>
      <c r="CG11" s="50"/>
      <c r="CH11" s="50">
        <v>0</v>
      </c>
      <c r="CI11" s="50">
        <v>0</v>
      </c>
      <c r="CJ11" s="50">
        <v>0</v>
      </c>
      <c r="CK11" s="50">
        <v>0</v>
      </c>
      <c r="CL11" s="50">
        <v>0</v>
      </c>
      <c r="CM11" s="50">
        <v>0</v>
      </c>
      <c r="CN11" s="51">
        <v>0</v>
      </c>
      <c r="CO11" s="51">
        <v>0</v>
      </c>
      <c r="CP11" s="51">
        <v>0</v>
      </c>
      <c r="CQ11" s="51">
        <v>0</v>
      </c>
      <c r="CR11" s="51">
        <v>12</v>
      </c>
      <c r="CS11" s="51">
        <v>0</v>
      </c>
      <c r="CT11" s="51">
        <v>0</v>
      </c>
      <c r="CU11" s="51">
        <v>0</v>
      </c>
      <c r="CV11" s="51">
        <v>0</v>
      </c>
      <c r="CW11" s="51">
        <v>0</v>
      </c>
      <c r="CX11" s="51">
        <v>0</v>
      </c>
      <c r="CY11" s="51">
        <v>0</v>
      </c>
      <c r="CZ11" s="51">
        <v>0</v>
      </c>
      <c r="DA11" s="51">
        <v>0</v>
      </c>
      <c r="DB11" s="51">
        <v>0</v>
      </c>
      <c r="DC11" s="51">
        <v>0</v>
      </c>
      <c r="DD11" s="51">
        <v>0</v>
      </c>
      <c r="DE11" s="51">
        <v>10</v>
      </c>
      <c r="DF11" s="52">
        <v>0</v>
      </c>
      <c r="DG11" s="52">
        <v>4</v>
      </c>
      <c r="DH11" s="52">
        <v>0</v>
      </c>
      <c r="DI11" s="52">
        <v>0</v>
      </c>
      <c r="DJ11" s="52">
        <v>0</v>
      </c>
      <c r="DK11" s="52">
        <v>0</v>
      </c>
      <c r="DL11" s="52">
        <v>0</v>
      </c>
      <c r="DM11" s="52">
        <v>0</v>
      </c>
      <c r="DN11" s="52">
        <v>0</v>
      </c>
      <c r="DO11" s="52">
        <v>0</v>
      </c>
      <c r="DP11" s="52">
        <v>0</v>
      </c>
      <c r="DQ11" s="52">
        <v>0</v>
      </c>
      <c r="DR11" s="52">
        <v>0</v>
      </c>
      <c r="DS11" s="53">
        <v>0</v>
      </c>
      <c r="DT11" s="53">
        <v>0</v>
      </c>
      <c r="DU11" s="53">
        <v>0</v>
      </c>
      <c r="DV11" s="53">
        <v>0</v>
      </c>
      <c r="DW11" s="53">
        <v>0</v>
      </c>
      <c r="DX11" s="2"/>
      <c r="DY11" s="2"/>
      <c r="DZ11" s="46">
        <f t="shared" si="0"/>
        <v>20172</v>
      </c>
      <c r="EA11" s="46">
        <f t="shared" si="1"/>
        <v>19356</v>
      </c>
      <c r="EB11" s="46">
        <f t="shared" si="2"/>
        <v>922</v>
      </c>
      <c r="EC11" s="46">
        <f t="shared" si="3"/>
        <v>0</v>
      </c>
      <c r="ED11" s="46">
        <f t="shared" si="4"/>
        <v>0</v>
      </c>
      <c r="EE11" s="46">
        <f t="shared" si="5"/>
        <v>10</v>
      </c>
      <c r="EF11" s="46">
        <f t="shared" si="6"/>
        <v>0</v>
      </c>
      <c r="EG11" s="46">
        <f t="shared" si="7"/>
        <v>12</v>
      </c>
      <c r="EH11" s="46">
        <f t="shared" si="8"/>
        <v>14</v>
      </c>
      <c r="EI11" s="46">
        <f t="shared" si="10"/>
        <v>0</v>
      </c>
    </row>
    <row r="12" spans="3:139" ht="12">
      <c r="C12" s="36" t="s">
        <v>135</v>
      </c>
      <c r="D12" s="36" t="s">
        <v>133</v>
      </c>
      <c r="E12" s="36" t="s">
        <v>133</v>
      </c>
      <c r="F12" s="38">
        <f t="shared" si="9"/>
        <v>63700</v>
      </c>
      <c r="G12" s="37" t="s">
        <v>131</v>
      </c>
      <c r="H12" s="47"/>
      <c r="I12" s="48"/>
      <c r="J12" s="49"/>
      <c r="K12" s="49"/>
      <c r="L12" s="49">
        <v>1068</v>
      </c>
      <c r="M12" s="49">
        <v>5302</v>
      </c>
      <c r="N12" s="49">
        <v>2452</v>
      </c>
      <c r="O12" s="49">
        <v>1430</v>
      </c>
      <c r="P12" s="49">
        <v>2709</v>
      </c>
      <c r="Q12" s="49">
        <v>2114</v>
      </c>
      <c r="R12" s="49">
        <v>1865</v>
      </c>
      <c r="S12" s="49">
        <v>997</v>
      </c>
      <c r="T12" s="48">
        <v>1385</v>
      </c>
      <c r="U12" s="48">
        <v>1385</v>
      </c>
      <c r="V12" s="49">
        <v>2979</v>
      </c>
      <c r="W12" s="49">
        <v>1993</v>
      </c>
      <c r="X12" s="49">
        <v>2240</v>
      </c>
      <c r="Y12" s="49">
        <v>2180</v>
      </c>
      <c r="Z12" s="49">
        <v>2380</v>
      </c>
      <c r="AA12" s="49">
        <v>4300</v>
      </c>
      <c r="AB12" s="49">
        <v>2680</v>
      </c>
      <c r="AC12" s="49">
        <v>1440</v>
      </c>
      <c r="AD12" s="49">
        <v>2880</v>
      </c>
      <c r="AE12" s="49">
        <v>400</v>
      </c>
      <c r="AF12" s="48">
        <v>2910</v>
      </c>
      <c r="AG12" s="48">
        <v>4029</v>
      </c>
      <c r="AH12" s="49">
        <v>3050</v>
      </c>
      <c r="AI12" s="49">
        <v>2257</v>
      </c>
      <c r="AJ12" s="49">
        <v>2750</v>
      </c>
      <c r="AK12" s="49">
        <v>1850</v>
      </c>
      <c r="AL12" s="49">
        <v>1203</v>
      </c>
      <c r="AM12" s="49">
        <v>806</v>
      </c>
      <c r="AN12" s="49">
        <v>405</v>
      </c>
      <c r="AO12" s="49">
        <v>8</v>
      </c>
      <c r="AP12" s="49"/>
      <c r="AQ12" s="49">
        <v>53</v>
      </c>
      <c r="AR12" s="49">
        <v>0</v>
      </c>
      <c r="AS12" s="49">
        <v>0</v>
      </c>
      <c r="AT12" s="49"/>
      <c r="AU12" s="49">
        <v>0</v>
      </c>
      <c r="AV12" s="49">
        <v>0</v>
      </c>
      <c r="AW12" s="49"/>
      <c r="AX12" s="49">
        <v>0</v>
      </c>
      <c r="AY12" s="49"/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0</v>
      </c>
      <c r="BF12" s="49"/>
      <c r="BG12" s="49"/>
      <c r="BH12" s="49"/>
      <c r="BI12" s="49">
        <v>0</v>
      </c>
      <c r="BJ12" s="49"/>
      <c r="BK12" s="49"/>
      <c r="BL12" s="49">
        <v>0</v>
      </c>
      <c r="BM12" s="49"/>
      <c r="BN12" s="49">
        <v>35</v>
      </c>
      <c r="BO12" s="49"/>
      <c r="BP12" s="50">
        <v>0</v>
      </c>
      <c r="BQ12" s="50">
        <v>0</v>
      </c>
      <c r="BR12" s="50">
        <v>0</v>
      </c>
      <c r="BS12" s="50">
        <v>18</v>
      </c>
      <c r="BT12" s="50">
        <v>0</v>
      </c>
      <c r="BU12" s="50">
        <v>0</v>
      </c>
      <c r="BV12" s="50"/>
      <c r="BW12" s="50">
        <v>0</v>
      </c>
      <c r="BX12" s="50">
        <v>6</v>
      </c>
      <c r="BY12" s="50"/>
      <c r="BZ12" s="50"/>
      <c r="CA12" s="50">
        <v>0</v>
      </c>
      <c r="CB12" s="50">
        <v>20</v>
      </c>
      <c r="CC12" s="50">
        <v>0</v>
      </c>
      <c r="CD12" s="50">
        <v>0</v>
      </c>
      <c r="CE12" s="50">
        <v>10</v>
      </c>
      <c r="CF12" s="50">
        <v>0</v>
      </c>
      <c r="CG12" s="50"/>
      <c r="CH12" s="50">
        <v>15</v>
      </c>
      <c r="CI12" s="50">
        <v>0</v>
      </c>
      <c r="CJ12" s="50">
        <v>0</v>
      </c>
      <c r="CK12" s="50">
        <v>0</v>
      </c>
      <c r="CL12" s="50">
        <v>0</v>
      </c>
      <c r="CM12" s="50">
        <v>0</v>
      </c>
      <c r="CN12" s="51">
        <v>22</v>
      </c>
      <c r="CO12" s="51">
        <v>0</v>
      </c>
      <c r="CP12" s="51">
        <v>0</v>
      </c>
      <c r="CQ12" s="51">
        <v>0</v>
      </c>
      <c r="CR12" s="51">
        <v>31</v>
      </c>
      <c r="CS12" s="51">
        <v>0</v>
      </c>
      <c r="CT12" s="51">
        <v>0</v>
      </c>
      <c r="CU12" s="51">
        <v>0</v>
      </c>
      <c r="CV12" s="51">
        <v>0</v>
      </c>
      <c r="CW12" s="51">
        <v>0</v>
      </c>
      <c r="CX12" s="51">
        <v>16</v>
      </c>
      <c r="CY12" s="51">
        <v>0</v>
      </c>
      <c r="CZ12" s="51">
        <v>0</v>
      </c>
      <c r="DA12" s="51">
        <v>0</v>
      </c>
      <c r="DB12" s="51">
        <v>0</v>
      </c>
      <c r="DC12" s="51">
        <v>0</v>
      </c>
      <c r="DD12" s="51">
        <v>0</v>
      </c>
      <c r="DE12" s="51">
        <v>20</v>
      </c>
      <c r="DF12" s="52">
        <v>0</v>
      </c>
      <c r="DG12" s="52">
        <v>7</v>
      </c>
      <c r="DH12" s="52">
        <v>0</v>
      </c>
      <c r="DI12" s="52">
        <v>0</v>
      </c>
      <c r="DJ12" s="52">
        <v>0</v>
      </c>
      <c r="DK12" s="52">
        <v>0</v>
      </c>
      <c r="DL12" s="52">
        <v>0</v>
      </c>
      <c r="DM12" s="52">
        <v>0</v>
      </c>
      <c r="DN12" s="52">
        <v>0</v>
      </c>
      <c r="DO12" s="52">
        <v>0</v>
      </c>
      <c r="DP12" s="52">
        <v>0</v>
      </c>
      <c r="DQ12" s="52">
        <v>0</v>
      </c>
      <c r="DR12" s="52">
        <v>0</v>
      </c>
      <c r="DS12" s="53">
        <v>0</v>
      </c>
      <c r="DT12" s="53">
        <v>0</v>
      </c>
      <c r="DU12" s="53">
        <v>0</v>
      </c>
      <c r="DV12" s="53">
        <v>0</v>
      </c>
      <c r="DW12" s="53">
        <v>0</v>
      </c>
      <c r="DX12" s="2"/>
      <c r="DY12" s="2"/>
      <c r="DZ12" s="46">
        <f t="shared" si="0"/>
        <v>17937</v>
      </c>
      <c r="EA12" s="46">
        <f t="shared" si="1"/>
        <v>26242</v>
      </c>
      <c r="EB12" s="46">
        <f t="shared" si="2"/>
        <v>19321</v>
      </c>
      <c r="EC12" s="46">
        <f t="shared" si="3"/>
        <v>0</v>
      </c>
      <c r="ED12" s="46">
        <f t="shared" si="4"/>
        <v>35</v>
      </c>
      <c r="EE12" s="46">
        <f t="shared" si="5"/>
        <v>24</v>
      </c>
      <c r="EF12" s="46">
        <f t="shared" si="6"/>
        <v>45</v>
      </c>
      <c r="EG12" s="46">
        <f t="shared" si="7"/>
        <v>69</v>
      </c>
      <c r="EH12" s="46">
        <f t="shared" si="8"/>
        <v>27</v>
      </c>
      <c r="EI12" s="46">
        <f t="shared" si="10"/>
        <v>0</v>
      </c>
    </row>
    <row r="13" spans="3:139" ht="12">
      <c r="C13" s="36" t="s">
        <v>136</v>
      </c>
      <c r="D13" s="36" t="s">
        <v>133</v>
      </c>
      <c r="E13" s="36" t="s">
        <v>133</v>
      </c>
      <c r="F13" s="38">
        <f t="shared" si="9"/>
        <v>21921</v>
      </c>
      <c r="G13" s="37" t="s">
        <v>131</v>
      </c>
      <c r="H13" s="47"/>
      <c r="I13" s="48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8"/>
      <c r="U13" s="48"/>
      <c r="V13" s="49"/>
      <c r="W13" s="49"/>
      <c r="X13" s="49"/>
      <c r="Y13" s="49"/>
      <c r="Z13" s="49"/>
      <c r="AA13" s="49"/>
      <c r="AB13" s="49"/>
      <c r="AC13" s="49">
        <v>500</v>
      </c>
      <c r="AD13" s="49">
        <v>220</v>
      </c>
      <c r="AE13" s="49">
        <v>0</v>
      </c>
      <c r="AF13" s="48">
        <v>903</v>
      </c>
      <c r="AG13" s="48">
        <v>400</v>
      </c>
      <c r="AH13" s="49">
        <v>425</v>
      </c>
      <c r="AI13" s="49">
        <v>440</v>
      </c>
      <c r="AJ13" s="49">
        <v>925</v>
      </c>
      <c r="AK13" s="49">
        <v>259</v>
      </c>
      <c r="AL13" s="49">
        <v>1137</v>
      </c>
      <c r="AM13" s="49">
        <v>656</v>
      </c>
      <c r="AN13" s="49">
        <v>201</v>
      </c>
      <c r="AO13" s="49">
        <v>820</v>
      </c>
      <c r="AP13" s="49">
        <v>700</v>
      </c>
      <c r="AQ13" s="49">
        <v>17</v>
      </c>
      <c r="AR13" s="49">
        <v>400</v>
      </c>
      <c r="AS13" s="49">
        <v>192</v>
      </c>
      <c r="AT13" s="49">
        <v>792</v>
      </c>
      <c r="AU13" s="49">
        <v>799</v>
      </c>
      <c r="AV13" s="49">
        <v>500</v>
      </c>
      <c r="AW13" s="49">
        <v>600</v>
      </c>
      <c r="AX13" s="49">
        <v>240</v>
      </c>
      <c r="AY13" s="49">
        <v>524</v>
      </c>
      <c r="AZ13" s="49">
        <v>899</v>
      </c>
      <c r="BA13" s="49">
        <v>200</v>
      </c>
      <c r="BB13" s="49">
        <v>799</v>
      </c>
      <c r="BC13" s="49">
        <v>698</v>
      </c>
      <c r="BD13" s="49">
        <v>700</v>
      </c>
      <c r="BE13" s="49">
        <v>700</v>
      </c>
      <c r="BF13" s="49">
        <v>840</v>
      </c>
      <c r="BG13" s="49">
        <v>2020</v>
      </c>
      <c r="BH13" s="49">
        <v>520</v>
      </c>
      <c r="BI13" s="49">
        <v>300</v>
      </c>
      <c r="BJ13" s="49"/>
      <c r="BK13" s="49">
        <v>1260</v>
      </c>
      <c r="BL13" s="49">
        <v>0</v>
      </c>
      <c r="BM13" s="49">
        <v>1255</v>
      </c>
      <c r="BN13" s="49">
        <v>80</v>
      </c>
      <c r="BO13" s="49"/>
      <c r="BP13" s="50">
        <v>0</v>
      </c>
      <c r="BQ13" s="50">
        <v>0</v>
      </c>
      <c r="BR13" s="50"/>
      <c r="BS13" s="50">
        <v>0</v>
      </c>
      <c r="BT13" s="50">
        <v>0</v>
      </c>
      <c r="BU13" s="50">
        <v>0</v>
      </c>
      <c r="BV13" s="50"/>
      <c r="BW13" s="50">
        <v>0</v>
      </c>
      <c r="BX13" s="50"/>
      <c r="BY13" s="50"/>
      <c r="BZ13" s="50"/>
      <c r="CA13" s="50">
        <v>0</v>
      </c>
      <c r="CB13" s="50">
        <v>0</v>
      </c>
      <c r="CC13" s="50">
        <v>0</v>
      </c>
      <c r="CD13" s="50">
        <v>0</v>
      </c>
      <c r="CE13" s="50">
        <v>0</v>
      </c>
      <c r="CF13" s="50">
        <v>0</v>
      </c>
      <c r="CG13" s="50"/>
      <c r="CH13" s="50">
        <v>0</v>
      </c>
      <c r="CI13" s="50">
        <v>0</v>
      </c>
      <c r="CJ13" s="50">
        <v>0</v>
      </c>
      <c r="CK13" s="50">
        <v>0</v>
      </c>
      <c r="CL13" s="50">
        <v>0</v>
      </c>
      <c r="CM13" s="50">
        <v>0</v>
      </c>
      <c r="CN13" s="51">
        <v>0</v>
      </c>
      <c r="CO13" s="51">
        <v>0</v>
      </c>
      <c r="CP13" s="51">
        <v>0</v>
      </c>
      <c r="CQ13" s="51">
        <v>0</v>
      </c>
      <c r="CR13" s="51">
        <v>0</v>
      </c>
      <c r="CS13" s="51">
        <v>0</v>
      </c>
      <c r="CT13" s="51">
        <v>0</v>
      </c>
      <c r="CU13" s="51">
        <v>0</v>
      </c>
      <c r="CV13" s="51">
        <v>0</v>
      </c>
      <c r="CW13" s="51">
        <v>0</v>
      </c>
      <c r="CX13" s="51">
        <v>0</v>
      </c>
      <c r="CY13" s="51">
        <v>0</v>
      </c>
      <c r="CZ13" s="51">
        <v>0</v>
      </c>
      <c r="DA13" s="51">
        <v>0</v>
      </c>
      <c r="DB13" s="51">
        <v>0</v>
      </c>
      <c r="DC13" s="51">
        <v>0</v>
      </c>
      <c r="DD13" s="51">
        <v>0</v>
      </c>
      <c r="DE13" s="51">
        <v>0</v>
      </c>
      <c r="DF13" s="52">
        <v>0</v>
      </c>
      <c r="DG13" s="52">
        <v>0</v>
      </c>
      <c r="DH13" s="52">
        <v>0</v>
      </c>
      <c r="DI13" s="52">
        <v>0</v>
      </c>
      <c r="DJ13" s="52">
        <v>0</v>
      </c>
      <c r="DK13" s="52">
        <v>0</v>
      </c>
      <c r="DL13" s="52">
        <v>0</v>
      </c>
      <c r="DM13" s="52">
        <v>0</v>
      </c>
      <c r="DN13" s="52">
        <v>0</v>
      </c>
      <c r="DO13" s="52">
        <v>0</v>
      </c>
      <c r="DP13" s="52">
        <v>0</v>
      </c>
      <c r="DQ13" s="52">
        <v>0</v>
      </c>
      <c r="DR13" s="52">
        <v>0</v>
      </c>
      <c r="DS13" s="53">
        <v>0</v>
      </c>
      <c r="DT13" s="53">
        <v>0</v>
      </c>
      <c r="DU13" s="53">
        <v>0</v>
      </c>
      <c r="DV13" s="53">
        <v>0</v>
      </c>
      <c r="DW13" s="53">
        <v>0</v>
      </c>
      <c r="DX13" s="2"/>
      <c r="DY13" s="2"/>
      <c r="DZ13" s="46">
        <f t="shared" si="0"/>
        <v>0</v>
      </c>
      <c r="EA13" s="46">
        <f t="shared" si="1"/>
        <v>720</v>
      </c>
      <c r="EB13" s="46">
        <f t="shared" si="2"/>
        <v>6883</v>
      </c>
      <c r="EC13" s="46">
        <f t="shared" si="3"/>
        <v>6643</v>
      </c>
      <c r="ED13" s="46">
        <f t="shared" si="4"/>
        <v>7675</v>
      </c>
      <c r="EE13" s="46">
        <f t="shared" si="5"/>
        <v>0</v>
      </c>
      <c r="EF13" s="46">
        <f t="shared" si="6"/>
        <v>0</v>
      </c>
      <c r="EG13" s="46">
        <f t="shared" si="7"/>
        <v>0</v>
      </c>
      <c r="EH13" s="46">
        <f t="shared" si="8"/>
        <v>0</v>
      </c>
      <c r="EI13" s="46">
        <f t="shared" si="10"/>
        <v>0</v>
      </c>
    </row>
    <row r="14" spans="3:139" ht="12">
      <c r="C14" s="36" t="s">
        <v>137</v>
      </c>
      <c r="D14" s="36" t="s">
        <v>133</v>
      </c>
      <c r="E14" s="36" t="s">
        <v>133</v>
      </c>
      <c r="F14" s="38">
        <f t="shared" si="9"/>
        <v>1431</v>
      </c>
      <c r="G14" s="37" t="s">
        <v>131</v>
      </c>
      <c r="H14" s="47"/>
      <c r="I14" s="48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8"/>
      <c r="U14" s="48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8"/>
      <c r="AG14" s="48"/>
      <c r="AH14" s="49"/>
      <c r="AI14" s="49"/>
      <c r="AJ14" s="49"/>
      <c r="AK14" s="49">
        <v>40</v>
      </c>
      <c r="AL14" s="49">
        <v>963</v>
      </c>
      <c r="AM14" s="49">
        <v>327</v>
      </c>
      <c r="AN14" s="49">
        <v>1</v>
      </c>
      <c r="AO14" s="49">
        <v>100</v>
      </c>
      <c r="AP14" s="49"/>
      <c r="AQ14" s="49"/>
      <c r="AR14" s="49">
        <v>0</v>
      </c>
      <c r="AS14" s="49">
        <v>0</v>
      </c>
      <c r="AT14" s="49"/>
      <c r="AU14" s="49">
        <v>0</v>
      </c>
      <c r="AV14" s="49">
        <v>0</v>
      </c>
      <c r="AW14" s="49"/>
      <c r="AX14" s="49">
        <v>0</v>
      </c>
      <c r="AY14" s="49"/>
      <c r="AZ14" s="49">
        <v>0</v>
      </c>
      <c r="BA14" s="49">
        <v>0</v>
      </c>
      <c r="BB14" s="49">
        <v>0</v>
      </c>
      <c r="BC14" s="49">
        <v>0</v>
      </c>
      <c r="BD14" s="49">
        <v>0</v>
      </c>
      <c r="BE14" s="49">
        <v>0</v>
      </c>
      <c r="BF14" s="49"/>
      <c r="BG14" s="49"/>
      <c r="BH14" s="49"/>
      <c r="BI14" s="49">
        <v>0</v>
      </c>
      <c r="BJ14" s="49"/>
      <c r="BK14" s="49"/>
      <c r="BL14" s="49">
        <v>0</v>
      </c>
      <c r="BM14" s="49"/>
      <c r="BN14" s="49">
        <v>0</v>
      </c>
      <c r="BO14" s="49"/>
      <c r="BP14" s="50">
        <v>0</v>
      </c>
      <c r="BQ14" s="50">
        <v>0</v>
      </c>
      <c r="BR14" s="50"/>
      <c r="BS14" s="50">
        <v>0</v>
      </c>
      <c r="BT14" s="50">
        <v>0</v>
      </c>
      <c r="BU14" s="50">
        <v>0</v>
      </c>
      <c r="BV14" s="50"/>
      <c r="BW14" s="50">
        <v>0</v>
      </c>
      <c r="BX14" s="50"/>
      <c r="BY14" s="50"/>
      <c r="BZ14" s="50"/>
      <c r="CA14" s="50">
        <v>0</v>
      </c>
      <c r="CB14" s="50">
        <v>0</v>
      </c>
      <c r="CC14" s="50">
        <v>0</v>
      </c>
      <c r="CD14" s="50">
        <v>0</v>
      </c>
      <c r="CE14" s="50">
        <v>0</v>
      </c>
      <c r="CF14" s="50">
        <v>0</v>
      </c>
      <c r="CG14" s="50"/>
      <c r="CH14" s="50">
        <v>0</v>
      </c>
      <c r="CI14" s="50">
        <v>0</v>
      </c>
      <c r="CJ14" s="50">
        <v>0</v>
      </c>
      <c r="CK14" s="50">
        <v>0</v>
      </c>
      <c r="CL14" s="50">
        <v>0</v>
      </c>
      <c r="CM14" s="50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2">
        <v>0</v>
      </c>
      <c r="DG14" s="52">
        <v>0</v>
      </c>
      <c r="DH14" s="52">
        <v>0</v>
      </c>
      <c r="DI14" s="52">
        <v>0</v>
      </c>
      <c r="DJ14" s="52">
        <v>0</v>
      </c>
      <c r="DK14" s="52">
        <v>0</v>
      </c>
      <c r="DL14" s="52">
        <v>0</v>
      </c>
      <c r="DM14" s="52">
        <v>0</v>
      </c>
      <c r="DN14" s="52">
        <v>0</v>
      </c>
      <c r="DO14" s="52">
        <v>0</v>
      </c>
      <c r="DP14" s="52">
        <v>0</v>
      </c>
      <c r="DQ14" s="52">
        <v>0</v>
      </c>
      <c r="DR14" s="52">
        <v>0</v>
      </c>
      <c r="DS14" s="53">
        <v>0</v>
      </c>
      <c r="DT14" s="53">
        <v>0</v>
      </c>
      <c r="DU14" s="53">
        <v>0</v>
      </c>
      <c r="DV14" s="53">
        <v>0</v>
      </c>
      <c r="DW14" s="53">
        <v>0</v>
      </c>
      <c r="DX14" s="2"/>
      <c r="DY14" s="2"/>
      <c r="DZ14" s="46">
        <f t="shared" si="0"/>
        <v>0</v>
      </c>
      <c r="EA14" s="46">
        <f t="shared" si="1"/>
        <v>0</v>
      </c>
      <c r="EB14" s="46">
        <f t="shared" si="2"/>
        <v>1431</v>
      </c>
      <c r="EC14" s="46">
        <f t="shared" si="3"/>
        <v>0</v>
      </c>
      <c r="ED14" s="46">
        <f t="shared" si="4"/>
        <v>0</v>
      </c>
      <c r="EE14" s="46">
        <f t="shared" si="5"/>
        <v>0</v>
      </c>
      <c r="EF14" s="46">
        <f t="shared" si="6"/>
        <v>0</v>
      </c>
      <c r="EG14" s="46">
        <f t="shared" si="7"/>
        <v>0</v>
      </c>
      <c r="EH14" s="46">
        <f t="shared" si="8"/>
        <v>0</v>
      </c>
      <c r="EI14" s="46">
        <f t="shared" si="10"/>
        <v>0</v>
      </c>
    </row>
    <row r="15" spans="3:139" ht="12">
      <c r="C15" s="36" t="s">
        <v>138</v>
      </c>
      <c r="D15" s="36" t="s">
        <v>139</v>
      </c>
      <c r="E15" s="36" t="s">
        <v>139</v>
      </c>
      <c r="F15" s="38">
        <f t="shared" si="9"/>
        <v>30265</v>
      </c>
      <c r="G15" s="37" t="s">
        <v>140</v>
      </c>
      <c r="H15" s="47">
        <v>0</v>
      </c>
      <c r="I15" s="48">
        <v>7220</v>
      </c>
      <c r="J15" s="49">
        <v>6019</v>
      </c>
      <c r="K15" s="49">
        <v>2871</v>
      </c>
      <c r="L15" s="49">
        <v>2218</v>
      </c>
      <c r="M15" s="49">
        <v>1909</v>
      </c>
      <c r="N15" s="49">
        <v>2283</v>
      </c>
      <c r="O15" s="49">
        <v>2094</v>
      </c>
      <c r="P15" s="49">
        <v>1840</v>
      </c>
      <c r="Q15" s="49">
        <v>807</v>
      </c>
      <c r="R15" s="49">
        <v>1532</v>
      </c>
      <c r="S15" s="49">
        <v>1472</v>
      </c>
      <c r="T15" s="48"/>
      <c r="U15" s="48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8"/>
      <c r="AG15" s="48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>
        <v>0</v>
      </c>
      <c r="BJ15" s="49"/>
      <c r="BK15" s="49"/>
      <c r="BL15" s="49"/>
      <c r="BM15" s="49"/>
      <c r="BN15" s="49">
        <v>0</v>
      </c>
      <c r="BO15" s="49"/>
      <c r="BP15" s="50"/>
      <c r="BQ15" s="50"/>
      <c r="BR15" s="50"/>
      <c r="BS15" s="50"/>
      <c r="BT15" s="50">
        <v>0</v>
      </c>
      <c r="BU15" s="50">
        <v>0</v>
      </c>
      <c r="BV15" s="50"/>
      <c r="BW15" s="50">
        <v>0</v>
      </c>
      <c r="BX15" s="50"/>
      <c r="BY15" s="50"/>
      <c r="BZ15" s="50"/>
      <c r="CA15" s="50">
        <v>0</v>
      </c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3">
        <v>0</v>
      </c>
      <c r="DT15" s="53">
        <v>0</v>
      </c>
      <c r="DU15" s="53">
        <v>0</v>
      </c>
      <c r="DV15" s="53">
        <v>0</v>
      </c>
      <c r="DW15" s="53">
        <v>0</v>
      </c>
      <c r="DX15" s="2"/>
      <c r="DY15" s="2"/>
      <c r="DZ15" s="46">
        <f t="shared" si="0"/>
        <v>30265</v>
      </c>
      <c r="EA15" s="46">
        <f t="shared" si="1"/>
        <v>0</v>
      </c>
      <c r="EB15" s="46">
        <f t="shared" si="2"/>
        <v>0</v>
      </c>
      <c r="EC15" s="46">
        <f t="shared" si="3"/>
        <v>0</v>
      </c>
      <c r="ED15" s="46">
        <f t="shared" si="4"/>
        <v>0</v>
      </c>
      <c r="EE15" s="46">
        <f t="shared" si="5"/>
        <v>0</v>
      </c>
      <c r="EF15" s="46">
        <f t="shared" si="6"/>
        <v>0</v>
      </c>
      <c r="EG15" s="46">
        <f t="shared" si="7"/>
        <v>0</v>
      </c>
      <c r="EH15" s="46">
        <f t="shared" si="8"/>
        <v>0</v>
      </c>
      <c r="EI15" s="46">
        <f t="shared" si="10"/>
        <v>0</v>
      </c>
    </row>
    <row r="16" spans="3:139" ht="12">
      <c r="C16" s="36" t="s">
        <v>141</v>
      </c>
      <c r="D16" s="36" t="s">
        <v>139</v>
      </c>
      <c r="E16" s="36" t="s">
        <v>139</v>
      </c>
      <c r="F16" s="38">
        <f t="shared" si="9"/>
        <v>33168</v>
      </c>
      <c r="G16" s="37" t="s">
        <v>140</v>
      </c>
      <c r="H16" s="47">
        <v>3245</v>
      </c>
      <c r="I16" s="48">
        <v>3060</v>
      </c>
      <c r="J16" s="49">
        <v>3107</v>
      </c>
      <c r="K16" s="49">
        <v>3576</v>
      </c>
      <c r="L16" s="49">
        <v>829</v>
      </c>
      <c r="M16" s="49">
        <v>1719</v>
      </c>
      <c r="N16" s="49">
        <v>2033</v>
      </c>
      <c r="O16" s="49">
        <v>4752</v>
      </c>
      <c r="P16" s="49">
        <v>1944</v>
      </c>
      <c r="Q16" s="49">
        <v>4465</v>
      </c>
      <c r="R16" s="49">
        <v>1992</v>
      </c>
      <c r="S16" s="49">
        <v>2446</v>
      </c>
      <c r="T16" s="48"/>
      <c r="U16" s="48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8"/>
      <c r="AG16" s="48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>
        <v>0</v>
      </c>
      <c r="BJ16" s="49"/>
      <c r="BK16" s="49"/>
      <c r="BL16" s="49"/>
      <c r="BM16" s="49"/>
      <c r="BN16" s="49">
        <v>0</v>
      </c>
      <c r="BO16" s="49"/>
      <c r="BP16" s="50"/>
      <c r="BQ16" s="50"/>
      <c r="BR16" s="50"/>
      <c r="BS16" s="50"/>
      <c r="BT16" s="50">
        <v>0</v>
      </c>
      <c r="BU16" s="50">
        <v>0</v>
      </c>
      <c r="BV16" s="50"/>
      <c r="BW16" s="50">
        <v>0</v>
      </c>
      <c r="BX16" s="50"/>
      <c r="BY16" s="50"/>
      <c r="BZ16" s="50"/>
      <c r="CA16" s="50">
        <v>0</v>
      </c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3">
        <v>0</v>
      </c>
      <c r="DT16" s="53">
        <v>0</v>
      </c>
      <c r="DU16" s="53">
        <v>0</v>
      </c>
      <c r="DV16" s="53">
        <v>0</v>
      </c>
      <c r="DW16" s="53">
        <v>0</v>
      </c>
      <c r="DX16" s="2"/>
      <c r="DY16" s="2"/>
      <c r="DZ16" s="46">
        <f t="shared" si="0"/>
        <v>33168</v>
      </c>
      <c r="EA16" s="46">
        <f t="shared" si="1"/>
        <v>0</v>
      </c>
      <c r="EB16" s="46">
        <f t="shared" si="2"/>
        <v>0</v>
      </c>
      <c r="EC16" s="46">
        <f t="shared" si="3"/>
        <v>0</v>
      </c>
      <c r="ED16" s="46">
        <f t="shared" si="4"/>
        <v>0</v>
      </c>
      <c r="EE16" s="46">
        <f t="shared" si="5"/>
        <v>0</v>
      </c>
      <c r="EF16" s="46">
        <f t="shared" si="6"/>
        <v>0</v>
      </c>
      <c r="EG16" s="46">
        <f t="shared" si="7"/>
        <v>0</v>
      </c>
      <c r="EH16" s="46">
        <f t="shared" si="8"/>
        <v>0</v>
      </c>
      <c r="EI16" s="46">
        <f t="shared" si="10"/>
        <v>0</v>
      </c>
    </row>
    <row r="17" spans="3:139" ht="12">
      <c r="C17" s="36" t="s">
        <v>142</v>
      </c>
      <c r="D17" s="36" t="s">
        <v>139</v>
      </c>
      <c r="E17" s="36" t="s">
        <v>139</v>
      </c>
      <c r="F17" s="38">
        <f t="shared" si="9"/>
        <v>8085</v>
      </c>
      <c r="G17" s="37" t="s">
        <v>140</v>
      </c>
      <c r="H17" s="47">
        <v>1860</v>
      </c>
      <c r="I17" s="48">
        <v>520</v>
      </c>
      <c r="J17" s="49">
        <v>2812</v>
      </c>
      <c r="K17" s="49">
        <v>868</v>
      </c>
      <c r="L17" s="49">
        <v>949</v>
      </c>
      <c r="M17" s="49">
        <v>949</v>
      </c>
      <c r="N17" s="49">
        <v>127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8"/>
      <c r="U17" s="48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8"/>
      <c r="AG17" s="48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>
        <v>0</v>
      </c>
      <c r="BJ17" s="49"/>
      <c r="BK17" s="49"/>
      <c r="BL17" s="49"/>
      <c r="BM17" s="49"/>
      <c r="BN17" s="49">
        <v>0</v>
      </c>
      <c r="BO17" s="49"/>
      <c r="BP17" s="50"/>
      <c r="BQ17" s="50"/>
      <c r="BR17" s="50"/>
      <c r="BS17" s="50"/>
      <c r="BT17" s="50">
        <v>0</v>
      </c>
      <c r="BU17" s="50">
        <v>0</v>
      </c>
      <c r="BV17" s="50"/>
      <c r="BW17" s="50">
        <v>0</v>
      </c>
      <c r="BX17" s="50"/>
      <c r="BY17" s="50"/>
      <c r="BZ17" s="50"/>
      <c r="CA17" s="50">
        <v>0</v>
      </c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3">
        <v>0</v>
      </c>
      <c r="DT17" s="53">
        <v>0</v>
      </c>
      <c r="DU17" s="53">
        <v>0</v>
      </c>
      <c r="DV17" s="53">
        <v>0</v>
      </c>
      <c r="DW17" s="53">
        <v>0</v>
      </c>
      <c r="DX17" s="2"/>
      <c r="DY17" s="2"/>
      <c r="DZ17" s="46">
        <f t="shared" si="0"/>
        <v>8085</v>
      </c>
      <c r="EA17" s="46">
        <f t="shared" si="1"/>
        <v>0</v>
      </c>
      <c r="EB17" s="46">
        <f t="shared" si="2"/>
        <v>0</v>
      </c>
      <c r="EC17" s="46">
        <f t="shared" si="3"/>
        <v>0</v>
      </c>
      <c r="ED17" s="46">
        <f t="shared" si="4"/>
        <v>0</v>
      </c>
      <c r="EE17" s="46">
        <f t="shared" si="5"/>
        <v>0</v>
      </c>
      <c r="EF17" s="46">
        <f t="shared" si="6"/>
        <v>0</v>
      </c>
      <c r="EG17" s="46">
        <f t="shared" si="7"/>
        <v>0</v>
      </c>
      <c r="EH17" s="46">
        <f t="shared" si="8"/>
        <v>0</v>
      </c>
      <c r="EI17" s="46">
        <f t="shared" si="10"/>
        <v>0</v>
      </c>
    </row>
    <row r="18" spans="3:139" ht="12">
      <c r="C18" s="36" t="s">
        <v>143</v>
      </c>
      <c r="D18" s="36" t="s">
        <v>139</v>
      </c>
      <c r="E18" s="36" t="s">
        <v>139</v>
      </c>
      <c r="F18" s="38">
        <f t="shared" si="9"/>
        <v>2652</v>
      </c>
      <c r="G18" s="37" t="s">
        <v>140</v>
      </c>
      <c r="H18" s="47">
        <v>676</v>
      </c>
      <c r="I18" s="48">
        <v>1120</v>
      </c>
      <c r="J18" s="49">
        <v>100</v>
      </c>
      <c r="K18" s="49">
        <v>557</v>
      </c>
      <c r="L18" s="49">
        <v>199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8"/>
      <c r="U18" s="48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8"/>
      <c r="AG18" s="48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>
        <v>0</v>
      </c>
      <c r="BJ18" s="49"/>
      <c r="BK18" s="49"/>
      <c r="BL18" s="49"/>
      <c r="BM18" s="49"/>
      <c r="BN18" s="49">
        <v>0</v>
      </c>
      <c r="BO18" s="49"/>
      <c r="BP18" s="50"/>
      <c r="BQ18" s="50"/>
      <c r="BR18" s="50"/>
      <c r="BS18" s="50"/>
      <c r="BT18" s="50">
        <v>0</v>
      </c>
      <c r="BU18" s="50">
        <v>0</v>
      </c>
      <c r="BV18" s="50"/>
      <c r="BW18" s="50">
        <v>0</v>
      </c>
      <c r="BX18" s="50"/>
      <c r="BY18" s="50"/>
      <c r="BZ18" s="50"/>
      <c r="CA18" s="50">
        <v>0</v>
      </c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3">
        <v>0</v>
      </c>
      <c r="DT18" s="53">
        <v>0</v>
      </c>
      <c r="DU18" s="53">
        <v>0</v>
      </c>
      <c r="DV18" s="53">
        <v>0</v>
      </c>
      <c r="DW18" s="53">
        <v>0</v>
      </c>
      <c r="DX18" s="2"/>
      <c r="DY18" s="2"/>
      <c r="DZ18" s="46">
        <f t="shared" si="0"/>
        <v>2652</v>
      </c>
      <c r="EA18" s="46">
        <f t="shared" si="1"/>
        <v>0</v>
      </c>
      <c r="EB18" s="46">
        <f t="shared" si="2"/>
        <v>0</v>
      </c>
      <c r="EC18" s="46">
        <f t="shared" si="3"/>
        <v>0</v>
      </c>
      <c r="ED18" s="46">
        <f t="shared" si="4"/>
        <v>0</v>
      </c>
      <c r="EE18" s="46">
        <f t="shared" si="5"/>
        <v>0</v>
      </c>
      <c r="EF18" s="46">
        <f t="shared" si="6"/>
        <v>0</v>
      </c>
      <c r="EG18" s="46">
        <f t="shared" si="7"/>
        <v>0</v>
      </c>
      <c r="EH18" s="46">
        <f t="shared" si="8"/>
        <v>0</v>
      </c>
      <c r="EI18" s="46">
        <f t="shared" si="10"/>
        <v>0</v>
      </c>
    </row>
    <row r="19" spans="3:139" ht="12">
      <c r="C19" s="36" t="s">
        <v>144</v>
      </c>
      <c r="D19" s="36" t="s">
        <v>139</v>
      </c>
      <c r="E19" s="36" t="s">
        <v>139</v>
      </c>
      <c r="F19" s="38">
        <f t="shared" si="9"/>
        <v>0</v>
      </c>
      <c r="G19" s="37" t="s">
        <v>140</v>
      </c>
      <c r="H19" s="47">
        <v>0</v>
      </c>
      <c r="I19" s="48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8"/>
      <c r="U19" s="48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8"/>
      <c r="AG19" s="48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>
        <v>0</v>
      </c>
      <c r="BJ19" s="49"/>
      <c r="BK19" s="49"/>
      <c r="BL19" s="49"/>
      <c r="BM19" s="49"/>
      <c r="BN19" s="49">
        <v>0</v>
      </c>
      <c r="BO19" s="49"/>
      <c r="BP19" s="50"/>
      <c r="BQ19" s="50"/>
      <c r="BR19" s="50"/>
      <c r="BS19" s="50"/>
      <c r="BT19" s="50">
        <v>0</v>
      </c>
      <c r="BU19" s="50">
        <v>0</v>
      </c>
      <c r="BV19" s="50"/>
      <c r="BW19" s="50">
        <v>0</v>
      </c>
      <c r="BX19" s="50"/>
      <c r="BY19" s="50"/>
      <c r="BZ19" s="50"/>
      <c r="CA19" s="50">
        <v>0</v>
      </c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3">
        <v>0</v>
      </c>
      <c r="DT19" s="53">
        <v>0</v>
      </c>
      <c r="DU19" s="53">
        <v>0</v>
      </c>
      <c r="DV19" s="53">
        <v>0</v>
      </c>
      <c r="DW19" s="53">
        <v>0</v>
      </c>
      <c r="DX19" s="2"/>
      <c r="DY19" s="2"/>
      <c r="DZ19" s="46">
        <f t="shared" si="0"/>
        <v>0</v>
      </c>
      <c r="EA19" s="46">
        <f t="shared" si="1"/>
        <v>0</v>
      </c>
      <c r="EB19" s="46">
        <f t="shared" si="2"/>
        <v>0</v>
      </c>
      <c r="EC19" s="46">
        <f t="shared" si="3"/>
        <v>0</v>
      </c>
      <c r="ED19" s="46">
        <f t="shared" si="4"/>
        <v>0</v>
      </c>
      <c r="EE19" s="46">
        <f t="shared" si="5"/>
        <v>0</v>
      </c>
      <c r="EF19" s="46">
        <f t="shared" si="6"/>
        <v>0</v>
      </c>
      <c r="EG19" s="46">
        <f t="shared" si="7"/>
        <v>0</v>
      </c>
      <c r="EH19" s="46">
        <f t="shared" si="8"/>
        <v>0</v>
      </c>
      <c r="EI19" s="46">
        <f t="shared" si="10"/>
        <v>0</v>
      </c>
    </row>
    <row r="20" spans="3:139" ht="12">
      <c r="C20" s="36" t="s">
        <v>145</v>
      </c>
      <c r="D20" s="36" t="s">
        <v>139</v>
      </c>
      <c r="E20" s="36" t="s">
        <v>139</v>
      </c>
      <c r="F20" s="38">
        <f t="shared" si="9"/>
        <v>0</v>
      </c>
      <c r="G20" s="37" t="s">
        <v>140</v>
      </c>
      <c r="H20" s="47">
        <v>0</v>
      </c>
      <c r="I20" s="48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8"/>
      <c r="U20" s="48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8"/>
      <c r="AG20" s="48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>
        <v>0</v>
      </c>
      <c r="BJ20" s="49"/>
      <c r="BK20" s="49"/>
      <c r="BL20" s="49"/>
      <c r="BM20" s="49"/>
      <c r="BN20" s="49">
        <v>0</v>
      </c>
      <c r="BO20" s="49"/>
      <c r="BP20" s="50"/>
      <c r="BQ20" s="50"/>
      <c r="BR20" s="50"/>
      <c r="BS20" s="50"/>
      <c r="BT20" s="50">
        <v>0</v>
      </c>
      <c r="BU20" s="50">
        <v>0</v>
      </c>
      <c r="BV20" s="50"/>
      <c r="BW20" s="50">
        <v>0</v>
      </c>
      <c r="BX20" s="50"/>
      <c r="BY20" s="50"/>
      <c r="BZ20" s="50"/>
      <c r="CA20" s="50">
        <v>0</v>
      </c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3">
        <v>0</v>
      </c>
      <c r="DT20" s="53">
        <v>0</v>
      </c>
      <c r="DU20" s="53">
        <v>0</v>
      </c>
      <c r="DV20" s="53">
        <v>0</v>
      </c>
      <c r="DW20" s="53">
        <v>0</v>
      </c>
      <c r="DX20" s="2"/>
      <c r="DY20" s="2"/>
      <c r="DZ20" s="46">
        <f t="shared" si="0"/>
        <v>0</v>
      </c>
      <c r="EA20" s="46">
        <f t="shared" si="1"/>
        <v>0</v>
      </c>
      <c r="EB20" s="46">
        <f t="shared" si="2"/>
        <v>0</v>
      </c>
      <c r="EC20" s="46">
        <f t="shared" si="3"/>
        <v>0</v>
      </c>
      <c r="ED20" s="46">
        <f t="shared" si="4"/>
        <v>0</v>
      </c>
      <c r="EE20" s="46">
        <f t="shared" si="5"/>
        <v>0</v>
      </c>
      <c r="EF20" s="46">
        <f t="shared" si="6"/>
        <v>0</v>
      </c>
      <c r="EG20" s="46">
        <f t="shared" si="7"/>
        <v>0</v>
      </c>
      <c r="EH20" s="46">
        <f t="shared" si="8"/>
        <v>0</v>
      </c>
      <c r="EI20" s="46">
        <f t="shared" si="10"/>
        <v>0</v>
      </c>
    </row>
    <row r="21" spans="3:139" ht="12">
      <c r="C21" s="36" t="s">
        <v>146</v>
      </c>
      <c r="D21" s="36" t="s">
        <v>147</v>
      </c>
      <c r="E21" s="36" t="s">
        <v>147</v>
      </c>
      <c r="F21" s="38">
        <f t="shared" si="9"/>
        <v>39686</v>
      </c>
      <c r="G21" s="37" t="s">
        <v>148</v>
      </c>
      <c r="H21" s="47"/>
      <c r="I21" s="48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8"/>
      <c r="U21" s="48"/>
      <c r="V21" s="49"/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3777</v>
      </c>
      <c r="AC21" s="49">
        <v>4760</v>
      </c>
      <c r="AD21" s="49">
        <v>3515</v>
      </c>
      <c r="AE21" s="49">
        <v>1400</v>
      </c>
      <c r="AF21" s="48">
        <v>1809</v>
      </c>
      <c r="AG21" s="48">
        <v>2309</v>
      </c>
      <c r="AH21" s="49">
        <v>2225</v>
      </c>
      <c r="AI21" s="49">
        <v>1520</v>
      </c>
      <c r="AJ21" s="49">
        <v>2090</v>
      </c>
      <c r="AK21" s="49">
        <v>1019</v>
      </c>
      <c r="AL21" s="49">
        <v>2200</v>
      </c>
      <c r="AM21" s="49">
        <v>700</v>
      </c>
      <c r="AN21" s="49">
        <v>1158</v>
      </c>
      <c r="AO21" s="49">
        <v>1119</v>
      </c>
      <c r="AP21" s="49">
        <v>200</v>
      </c>
      <c r="AQ21" s="49">
        <v>300</v>
      </c>
      <c r="AR21" s="49">
        <v>1194</v>
      </c>
      <c r="AS21" s="49">
        <v>1200</v>
      </c>
      <c r="AT21" s="49">
        <v>1579</v>
      </c>
      <c r="AU21" s="49">
        <v>80</v>
      </c>
      <c r="AV21" s="49">
        <v>0</v>
      </c>
      <c r="AW21" s="49">
        <v>300</v>
      </c>
      <c r="AX21" s="49">
        <v>602</v>
      </c>
      <c r="AY21" s="49">
        <v>1140</v>
      </c>
      <c r="AZ21" s="49">
        <v>713</v>
      </c>
      <c r="BA21" s="49">
        <v>580</v>
      </c>
      <c r="BB21" s="49">
        <v>597</v>
      </c>
      <c r="BC21" s="49">
        <v>400</v>
      </c>
      <c r="BD21" s="49">
        <v>400</v>
      </c>
      <c r="BE21" s="49">
        <v>80</v>
      </c>
      <c r="BF21" s="49">
        <v>300</v>
      </c>
      <c r="BG21" s="49"/>
      <c r="BH21" s="49"/>
      <c r="BI21" s="49">
        <v>0</v>
      </c>
      <c r="BJ21" s="49"/>
      <c r="BK21" s="49"/>
      <c r="BL21" s="49">
        <v>0</v>
      </c>
      <c r="BM21" s="49">
        <v>50</v>
      </c>
      <c r="BN21" s="49">
        <v>48</v>
      </c>
      <c r="BO21" s="49"/>
      <c r="BP21" s="50">
        <v>0</v>
      </c>
      <c r="BQ21" s="50">
        <v>49</v>
      </c>
      <c r="BR21" s="50"/>
      <c r="BS21" s="50">
        <v>0</v>
      </c>
      <c r="BT21" s="50">
        <v>0</v>
      </c>
      <c r="BU21" s="50">
        <v>0</v>
      </c>
      <c r="BV21" s="50"/>
      <c r="BW21" s="50">
        <v>0</v>
      </c>
      <c r="BX21" s="50"/>
      <c r="BY21" s="50"/>
      <c r="BZ21" s="50"/>
      <c r="CA21" s="50">
        <v>0</v>
      </c>
      <c r="CB21" s="50">
        <v>0</v>
      </c>
      <c r="CC21" s="50">
        <v>0</v>
      </c>
      <c r="CD21" s="50">
        <v>22</v>
      </c>
      <c r="CE21" s="50">
        <v>0</v>
      </c>
      <c r="CF21" s="50">
        <v>0</v>
      </c>
      <c r="CG21" s="50"/>
      <c r="CH21" s="50">
        <v>18</v>
      </c>
      <c r="CI21" s="50">
        <v>0</v>
      </c>
      <c r="CJ21" s="50">
        <v>0</v>
      </c>
      <c r="CK21" s="50">
        <v>0</v>
      </c>
      <c r="CL21" s="50">
        <v>29</v>
      </c>
      <c r="CM21" s="50">
        <v>0</v>
      </c>
      <c r="CN21" s="51">
        <v>19</v>
      </c>
      <c r="CO21" s="51">
        <v>0</v>
      </c>
      <c r="CP21" s="51">
        <v>7</v>
      </c>
      <c r="CQ21" s="51">
        <v>0</v>
      </c>
      <c r="CR21" s="51">
        <v>27</v>
      </c>
      <c r="CS21" s="51">
        <v>0</v>
      </c>
      <c r="CT21" s="51">
        <v>0</v>
      </c>
      <c r="CU21" s="51">
        <v>0</v>
      </c>
      <c r="CV21" s="51">
        <v>0</v>
      </c>
      <c r="CW21" s="51">
        <v>27</v>
      </c>
      <c r="CX21" s="51">
        <v>0</v>
      </c>
      <c r="CY21" s="51">
        <v>25</v>
      </c>
      <c r="CZ21" s="51">
        <v>0</v>
      </c>
      <c r="DA21" s="51">
        <v>0</v>
      </c>
      <c r="DB21" s="51">
        <v>19</v>
      </c>
      <c r="DC21" s="51">
        <v>0</v>
      </c>
      <c r="DD21" s="51">
        <v>0</v>
      </c>
      <c r="DE21" s="51">
        <v>0</v>
      </c>
      <c r="DF21" s="52">
        <v>0</v>
      </c>
      <c r="DG21" s="52">
        <v>50</v>
      </c>
      <c r="DH21" s="52">
        <v>0</v>
      </c>
      <c r="DI21" s="52">
        <v>0</v>
      </c>
      <c r="DJ21" s="52">
        <v>0</v>
      </c>
      <c r="DK21" s="52">
        <v>0</v>
      </c>
      <c r="DL21" s="52">
        <v>0</v>
      </c>
      <c r="DM21" s="52">
        <v>0</v>
      </c>
      <c r="DN21" s="52">
        <v>0</v>
      </c>
      <c r="DO21" s="52">
        <v>0</v>
      </c>
      <c r="DP21" s="52">
        <v>30</v>
      </c>
      <c r="DQ21" s="52">
        <v>0</v>
      </c>
      <c r="DR21" s="52">
        <v>0</v>
      </c>
      <c r="DS21" s="53">
        <v>32</v>
      </c>
      <c r="DT21" s="53">
        <v>32</v>
      </c>
      <c r="DU21" s="53">
        <v>19</v>
      </c>
      <c r="DV21" s="53">
        <v>15</v>
      </c>
      <c r="DW21" s="53">
        <v>9</v>
      </c>
      <c r="DX21" s="2"/>
      <c r="DY21" s="2"/>
      <c r="DZ21" s="46">
        <f t="shared" si="0"/>
        <v>0</v>
      </c>
      <c r="EA21" s="46">
        <f t="shared" si="1"/>
        <v>13452</v>
      </c>
      <c r="EB21" s="46">
        <f t="shared" si="2"/>
        <v>16649</v>
      </c>
      <c r="EC21" s="46">
        <f t="shared" si="3"/>
        <v>8385</v>
      </c>
      <c r="ED21" s="46">
        <f t="shared" si="4"/>
        <v>878</v>
      </c>
      <c r="EE21" s="46">
        <f t="shared" si="5"/>
        <v>49</v>
      </c>
      <c r="EF21" s="46">
        <f t="shared" si="6"/>
        <v>69</v>
      </c>
      <c r="EG21" s="46">
        <f t="shared" si="7"/>
        <v>105</v>
      </c>
      <c r="EH21" s="46">
        <f t="shared" si="8"/>
        <v>69</v>
      </c>
      <c r="EI21" s="46">
        <f t="shared" si="10"/>
        <v>0</v>
      </c>
    </row>
    <row r="22" spans="3:139" ht="12">
      <c r="C22" s="36" t="s">
        <v>149</v>
      </c>
      <c r="D22" s="36" t="s">
        <v>147</v>
      </c>
      <c r="E22" s="36" t="s">
        <v>147</v>
      </c>
      <c r="F22" s="38">
        <f t="shared" si="9"/>
        <v>16369</v>
      </c>
      <c r="G22" s="37" t="s">
        <v>148</v>
      </c>
      <c r="H22" s="47"/>
      <c r="I22" s="48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8"/>
      <c r="U22" s="48"/>
      <c r="V22" s="49"/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2260</v>
      </c>
      <c r="AC22" s="49">
        <v>800</v>
      </c>
      <c r="AD22" s="49">
        <v>820</v>
      </c>
      <c r="AE22" s="49">
        <v>500</v>
      </c>
      <c r="AF22" s="48">
        <v>1050</v>
      </c>
      <c r="AG22" s="48">
        <v>1946</v>
      </c>
      <c r="AH22" s="49">
        <v>1675</v>
      </c>
      <c r="AI22" s="49">
        <v>1400</v>
      </c>
      <c r="AJ22" s="49">
        <v>1098</v>
      </c>
      <c r="AK22" s="49">
        <v>1182</v>
      </c>
      <c r="AL22" s="49">
        <v>300</v>
      </c>
      <c r="AM22" s="49">
        <v>700</v>
      </c>
      <c r="AN22" s="49">
        <v>387</v>
      </c>
      <c r="AO22" s="49">
        <v>100</v>
      </c>
      <c r="AP22" s="49"/>
      <c r="AQ22" s="49">
        <v>100</v>
      </c>
      <c r="AR22" s="49">
        <v>900</v>
      </c>
      <c r="AS22" s="49">
        <v>102</v>
      </c>
      <c r="AT22" s="49">
        <v>100</v>
      </c>
      <c r="AU22" s="49">
        <v>200</v>
      </c>
      <c r="AV22" s="49">
        <v>0</v>
      </c>
      <c r="AW22" s="49"/>
      <c r="AX22" s="49">
        <v>50</v>
      </c>
      <c r="AY22" s="49">
        <v>99</v>
      </c>
      <c r="AZ22" s="49">
        <v>200</v>
      </c>
      <c r="BA22" s="49">
        <v>400</v>
      </c>
      <c r="BB22" s="49">
        <v>0</v>
      </c>
      <c r="BC22" s="49">
        <v>0</v>
      </c>
      <c r="BD22" s="49">
        <v>0</v>
      </c>
      <c r="BE22" s="49">
        <v>0</v>
      </c>
      <c r="BF22" s="49"/>
      <c r="BG22" s="49"/>
      <c r="BH22" s="49"/>
      <c r="BI22" s="49">
        <v>0</v>
      </c>
      <c r="BJ22" s="49"/>
      <c r="BK22" s="49"/>
      <c r="BL22" s="49">
        <v>0</v>
      </c>
      <c r="BM22" s="49"/>
      <c r="BN22" s="49">
        <v>0</v>
      </c>
      <c r="BO22" s="49"/>
      <c r="BP22" s="50">
        <v>0</v>
      </c>
      <c r="BQ22" s="50">
        <v>0</v>
      </c>
      <c r="BR22" s="50"/>
      <c r="BS22" s="50">
        <v>0</v>
      </c>
      <c r="BT22" s="50">
        <v>0</v>
      </c>
      <c r="BU22" s="50">
        <v>0</v>
      </c>
      <c r="BV22" s="50"/>
      <c r="BW22" s="50">
        <v>0</v>
      </c>
      <c r="BX22" s="50"/>
      <c r="BY22" s="50"/>
      <c r="BZ22" s="50"/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/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2">
        <v>0</v>
      </c>
      <c r="DG22" s="52">
        <v>0</v>
      </c>
      <c r="DH22" s="52">
        <v>0</v>
      </c>
      <c r="DI22" s="52">
        <v>0</v>
      </c>
      <c r="DJ22" s="52">
        <v>0</v>
      </c>
      <c r="DK22" s="52">
        <v>0</v>
      </c>
      <c r="DL22" s="52">
        <v>0</v>
      </c>
      <c r="DM22" s="52">
        <v>0</v>
      </c>
      <c r="DN22" s="52">
        <v>0</v>
      </c>
      <c r="DO22" s="52">
        <v>0</v>
      </c>
      <c r="DP22" s="52">
        <v>0</v>
      </c>
      <c r="DQ22" s="52">
        <v>0</v>
      </c>
      <c r="DR22" s="52">
        <v>0</v>
      </c>
      <c r="DS22" s="53">
        <v>0</v>
      </c>
      <c r="DT22" s="53">
        <v>0</v>
      </c>
      <c r="DU22" s="53">
        <v>0</v>
      </c>
      <c r="DV22" s="53">
        <v>0</v>
      </c>
      <c r="DW22" s="53">
        <v>0</v>
      </c>
      <c r="DX22" s="2"/>
      <c r="DY22" s="2"/>
      <c r="DZ22" s="46">
        <f t="shared" si="0"/>
        <v>0</v>
      </c>
      <c r="EA22" s="46">
        <f t="shared" si="1"/>
        <v>4380</v>
      </c>
      <c r="EB22" s="46">
        <f t="shared" si="2"/>
        <v>9938</v>
      </c>
      <c r="EC22" s="46">
        <f t="shared" si="3"/>
        <v>2051</v>
      </c>
      <c r="ED22" s="46">
        <f t="shared" si="4"/>
        <v>0</v>
      </c>
      <c r="EE22" s="46">
        <f t="shared" si="5"/>
        <v>0</v>
      </c>
      <c r="EF22" s="46">
        <f t="shared" si="6"/>
        <v>0</v>
      </c>
      <c r="EG22" s="46">
        <f t="shared" si="7"/>
        <v>0</v>
      </c>
      <c r="EH22" s="46">
        <f t="shared" si="8"/>
        <v>0</v>
      </c>
      <c r="EI22" s="46">
        <f t="shared" si="10"/>
        <v>0</v>
      </c>
    </row>
    <row r="23" spans="3:139" ht="12">
      <c r="C23" s="36" t="s">
        <v>150</v>
      </c>
      <c r="D23" s="36" t="s">
        <v>147</v>
      </c>
      <c r="E23" s="36" t="s">
        <v>147</v>
      </c>
      <c r="F23" s="38">
        <f t="shared" si="9"/>
        <v>0</v>
      </c>
      <c r="G23" s="37" t="s">
        <v>148</v>
      </c>
      <c r="H23" s="47"/>
      <c r="I23" s="48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8"/>
      <c r="U23" s="48"/>
      <c r="V23" s="49"/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8"/>
      <c r="AG23" s="48"/>
      <c r="AH23" s="49"/>
      <c r="AI23" s="49"/>
      <c r="AJ23" s="49"/>
      <c r="AK23" s="49"/>
      <c r="AL23" s="49">
        <v>0</v>
      </c>
      <c r="AM23" s="49"/>
      <c r="AN23" s="49">
        <v>0</v>
      </c>
      <c r="AO23" s="49"/>
      <c r="AP23" s="49"/>
      <c r="AQ23" s="49"/>
      <c r="AR23" s="49">
        <v>0</v>
      </c>
      <c r="AS23" s="49">
        <v>0</v>
      </c>
      <c r="AT23" s="49"/>
      <c r="AU23" s="49">
        <v>0</v>
      </c>
      <c r="AV23" s="49">
        <v>0</v>
      </c>
      <c r="AW23" s="49"/>
      <c r="AX23" s="49">
        <v>0</v>
      </c>
      <c r="AY23" s="49"/>
      <c r="AZ23" s="49">
        <v>0</v>
      </c>
      <c r="BA23" s="49">
        <v>0</v>
      </c>
      <c r="BB23" s="49">
        <v>0</v>
      </c>
      <c r="BC23" s="49">
        <v>0</v>
      </c>
      <c r="BD23" s="49">
        <v>0</v>
      </c>
      <c r="BE23" s="49">
        <v>0</v>
      </c>
      <c r="BF23" s="49"/>
      <c r="BG23" s="49"/>
      <c r="BH23" s="49"/>
      <c r="BI23" s="49">
        <v>0</v>
      </c>
      <c r="BJ23" s="49"/>
      <c r="BK23" s="49"/>
      <c r="BL23" s="49">
        <v>0</v>
      </c>
      <c r="BM23" s="49"/>
      <c r="BN23" s="49">
        <v>0</v>
      </c>
      <c r="BO23" s="49"/>
      <c r="BP23" s="50">
        <v>0</v>
      </c>
      <c r="BQ23" s="50">
        <v>0</v>
      </c>
      <c r="BR23" s="50"/>
      <c r="BS23" s="50">
        <v>0</v>
      </c>
      <c r="BT23" s="50">
        <v>0</v>
      </c>
      <c r="BU23" s="50">
        <v>0</v>
      </c>
      <c r="BV23" s="50"/>
      <c r="BW23" s="50">
        <v>0</v>
      </c>
      <c r="BX23" s="50"/>
      <c r="BY23" s="50"/>
      <c r="BZ23" s="50"/>
      <c r="CA23" s="50">
        <v>0</v>
      </c>
      <c r="CB23" s="50">
        <v>0</v>
      </c>
      <c r="CC23" s="50">
        <v>0</v>
      </c>
      <c r="CD23" s="50">
        <v>0</v>
      </c>
      <c r="CE23" s="50">
        <v>0</v>
      </c>
      <c r="CF23" s="50">
        <v>0</v>
      </c>
      <c r="CG23" s="50"/>
      <c r="CH23" s="50">
        <v>0</v>
      </c>
      <c r="CI23" s="50">
        <v>0</v>
      </c>
      <c r="CJ23" s="50">
        <v>0</v>
      </c>
      <c r="CK23" s="50">
        <v>0</v>
      </c>
      <c r="CL23" s="50">
        <v>0</v>
      </c>
      <c r="CM23" s="50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2">
        <v>0</v>
      </c>
      <c r="DG23" s="52">
        <v>0</v>
      </c>
      <c r="DH23" s="52">
        <v>0</v>
      </c>
      <c r="DI23" s="52">
        <v>0</v>
      </c>
      <c r="DJ23" s="52">
        <v>0</v>
      </c>
      <c r="DK23" s="52">
        <v>0</v>
      </c>
      <c r="DL23" s="52">
        <v>0</v>
      </c>
      <c r="DM23" s="52">
        <v>0</v>
      </c>
      <c r="DN23" s="52">
        <v>0</v>
      </c>
      <c r="DO23" s="52">
        <v>0</v>
      </c>
      <c r="DP23" s="52">
        <v>0</v>
      </c>
      <c r="DQ23" s="52">
        <v>0</v>
      </c>
      <c r="DR23" s="52">
        <v>0</v>
      </c>
      <c r="DS23" s="53">
        <v>0</v>
      </c>
      <c r="DT23" s="53">
        <v>0</v>
      </c>
      <c r="DU23" s="53">
        <v>0</v>
      </c>
      <c r="DV23" s="53">
        <v>0</v>
      </c>
      <c r="DW23" s="53">
        <v>0</v>
      </c>
      <c r="DX23" s="2"/>
      <c r="DY23" s="2"/>
      <c r="DZ23" s="46">
        <f t="shared" si="0"/>
        <v>0</v>
      </c>
      <c r="EA23" s="46">
        <f t="shared" si="1"/>
        <v>0</v>
      </c>
      <c r="EB23" s="46">
        <f t="shared" si="2"/>
        <v>0</v>
      </c>
      <c r="EC23" s="46">
        <f t="shared" si="3"/>
        <v>0</v>
      </c>
      <c r="ED23" s="46">
        <f t="shared" si="4"/>
        <v>0</v>
      </c>
      <c r="EE23" s="46">
        <f t="shared" si="5"/>
        <v>0</v>
      </c>
      <c r="EF23" s="46">
        <f t="shared" si="6"/>
        <v>0</v>
      </c>
      <c r="EG23" s="46">
        <f t="shared" si="7"/>
        <v>0</v>
      </c>
      <c r="EH23" s="46">
        <f t="shared" si="8"/>
        <v>0</v>
      </c>
      <c r="EI23" s="46">
        <f t="shared" si="10"/>
        <v>0</v>
      </c>
    </row>
    <row r="24" spans="3:139" ht="12">
      <c r="C24" s="36" t="s">
        <v>151</v>
      </c>
      <c r="D24" s="36" t="s">
        <v>147</v>
      </c>
      <c r="E24" s="36" t="s">
        <v>147</v>
      </c>
      <c r="F24" s="38">
        <f t="shared" si="9"/>
        <v>0</v>
      </c>
      <c r="G24" s="37" t="s">
        <v>148</v>
      </c>
      <c r="H24" s="47"/>
      <c r="I24" s="48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8"/>
      <c r="U24" s="48"/>
      <c r="V24" s="49"/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8"/>
      <c r="AG24" s="48"/>
      <c r="AH24" s="49"/>
      <c r="AI24" s="49"/>
      <c r="AJ24" s="49"/>
      <c r="AK24" s="49"/>
      <c r="AL24" s="49">
        <v>0</v>
      </c>
      <c r="AM24" s="49"/>
      <c r="AN24" s="49">
        <v>0</v>
      </c>
      <c r="AO24" s="49"/>
      <c r="AP24" s="49"/>
      <c r="AQ24" s="49"/>
      <c r="AR24" s="49">
        <v>0</v>
      </c>
      <c r="AS24" s="49">
        <v>0</v>
      </c>
      <c r="AT24" s="49"/>
      <c r="AU24" s="49">
        <v>0</v>
      </c>
      <c r="AV24" s="49">
        <v>0</v>
      </c>
      <c r="AW24" s="49"/>
      <c r="AX24" s="49">
        <v>0</v>
      </c>
      <c r="AY24" s="49"/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49">
        <v>0</v>
      </c>
      <c r="BF24" s="49"/>
      <c r="BG24" s="49"/>
      <c r="BH24" s="49"/>
      <c r="BI24" s="49">
        <v>0</v>
      </c>
      <c r="BJ24" s="49"/>
      <c r="BK24" s="49"/>
      <c r="BL24" s="49">
        <v>0</v>
      </c>
      <c r="BM24" s="49"/>
      <c r="BN24" s="49">
        <v>0</v>
      </c>
      <c r="BO24" s="49"/>
      <c r="BP24" s="50">
        <v>0</v>
      </c>
      <c r="BQ24" s="50">
        <v>0</v>
      </c>
      <c r="BR24" s="50"/>
      <c r="BS24" s="50">
        <v>0</v>
      </c>
      <c r="BT24" s="50">
        <v>0</v>
      </c>
      <c r="BU24" s="50">
        <v>0</v>
      </c>
      <c r="BV24" s="50"/>
      <c r="BW24" s="50">
        <v>0</v>
      </c>
      <c r="BX24" s="50"/>
      <c r="BY24" s="50"/>
      <c r="BZ24" s="50"/>
      <c r="CA24" s="50">
        <v>0</v>
      </c>
      <c r="CB24" s="50">
        <v>0</v>
      </c>
      <c r="CC24" s="50">
        <v>0</v>
      </c>
      <c r="CD24" s="50">
        <v>0</v>
      </c>
      <c r="CE24" s="50">
        <v>0</v>
      </c>
      <c r="CF24" s="50">
        <v>0</v>
      </c>
      <c r="CG24" s="50"/>
      <c r="CH24" s="50">
        <v>0</v>
      </c>
      <c r="CI24" s="50">
        <v>0</v>
      </c>
      <c r="CJ24" s="50">
        <v>0</v>
      </c>
      <c r="CK24" s="50">
        <v>0</v>
      </c>
      <c r="CL24" s="50">
        <v>0</v>
      </c>
      <c r="CM24" s="50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2">
        <v>0</v>
      </c>
      <c r="DG24" s="52">
        <v>0</v>
      </c>
      <c r="DH24" s="52">
        <v>0</v>
      </c>
      <c r="DI24" s="52">
        <v>0</v>
      </c>
      <c r="DJ24" s="52">
        <v>0</v>
      </c>
      <c r="DK24" s="52">
        <v>0</v>
      </c>
      <c r="DL24" s="52">
        <v>0</v>
      </c>
      <c r="DM24" s="52">
        <v>0</v>
      </c>
      <c r="DN24" s="52">
        <v>0</v>
      </c>
      <c r="DO24" s="52">
        <v>0</v>
      </c>
      <c r="DP24" s="52">
        <v>0</v>
      </c>
      <c r="DQ24" s="52">
        <v>0</v>
      </c>
      <c r="DR24" s="52">
        <v>0</v>
      </c>
      <c r="DS24" s="53">
        <v>0</v>
      </c>
      <c r="DT24" s="53">
        <v>0</v>
      </c>
      <c r="DU24" s="53">
        <v>0</v>
      </c>
      <c r="DV24" s="53">
        <v>0</v>
      </c>
      <c r="DW24" s="53">
        <v>0</v>
      </c>
      <c r="DX24" s="2"/>
      <c r="DY24" s="2"/>
      <c r="DZ24" s="46">
        <f t="shared" si="0"/>
        <v>0</v>
      </c>
      <c r="EA24" s="46">
        <f t="shared" si="1"/>
        <v>0</v>
      </c>
      <c r="EB24" s="46">
        <f t="shared" si="2"/>
        <v>0</v>
      </c>
      <c r="EC24" s="46">
        <f t="shared" si="3"/>
        <v>0</v>
      </c>
      <c r="ED24" s="46">
        <f t="shared" si="4"/>
        <v>0</v>
      </c>
      <c r="EE24" s="46">
        <f t="shared" si="5"/>
        <v>0</v>
      </c>
      <c r="EF24" s="46">
        <f t="shared" si="6"/>
        <v>0</v>
      </c>
      <c r="EG24" s="46">
        <f t="shared" si="7"/>
        <v>0</v>
      </c>
      <c r="EH24" s="46">
        <f t="shared" si="8"/>
        <v>0</v>
      </c>
      <c r="EI24" s="46">
        <f t="shared" si="10"/>
        <v>0</v>
      </c>
    </row>
    <row r="25" spans="3:139" ht="12">
      <c r="C25" s="36" t="s">
        <v>152</v>
      </c>
      <c r="D25" s="36" t="s">
        <v>147</v>
      </c>
      <c r="E25" s="36" t="s">
        <v>147</v>
      </c>
      <c r="F25" s="38">
        <f t="shared" si="9"/>
        <v>7335</v>
      </c>
      <c r="G25" s="37" t="s">
        <v>148</v>
      </c>
      <c r="H25" s="47"/>
      <c r="I25" s="48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8"/>
      <c r="U25" s="48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8"/>
      <c r="AG25" s="48">
        <v>1200</v>
      </c>
      <c r="AH25" s="49">
        <v>1075</v>
      </c>
      <c r="AI25" s="49">
        <v>1695</v>
      </c>
      <c r="AJ25" s="49">
        <v>697</v>
      </c>
      <c r="AK25" s="49"/>
      <c r="AL25" s="49">
        <v>0</v>
      </c>
      <c r="AM25" s="49">
        <v>100</v>
      </c>
      <c r="AN25" s="49">
        <v>840</v>
      </c>
      <c r="AO25" s="49">
        <v>719</v>
      </c>
      <c r="AP25" s="49">
        <v>400</v>
      </c>
      <c r="AQ25" s="49">
        <v>100</v>
      </c>
      <c r="AR25" s="49">
        <v>400</v>
      </c>
      <c r="AS25" s="49">
        <v>0</v>
      </c>
      <c r="AT25" s="49">
        <v>100</v>
      </c>
      <c r="AU25" s="49">
        <v>0</v>
      </c>
      <c r="AV25" s="49">
        <v>0</v>
      </c>
      <c r="AW25" s="49"/>
      <c r="AX25" s="49">
        <v>0</v>
      </c>
      <c r="AY25" s="49"/>
      <c r="AZ25" s="49">
        <v>0</v>
      </c>
      <c r="BA25" s="49">
        <v>0</v>
      </c>
      <c r="BB25" s="49">
        <v>0</v>
      </c>
      <c r="BC25" s="49">
        <v>0</v>
      </c>
      <c r="BD25" s="49">
        <v>0</v>
      </c>
      <c r="BE25" s="49">
        <v>0</v>
      </c>
      <c r="BF25" s="49"/>
      <c r="BG25" s="49"/>
      <c r="BH25" s="49"/>
      <c r="BI25" s="49">
        <v>0</v>
      </c>
      <c r="BJ25" s="49"/>
      <c r="BK25" s="49"/>
      <c r="BL25" s="49">
        <v>0</v>
      </c>
      <c r="BM25" s="49"/>
      <c r="BN25" s="49">
        <v>0</v>
      </c>
      <c r="BO25" s="49"/>
      <c r="BP25" s="50">
        <v>0</v>
      </c>
      <c r="BQ25" s="50">
        <v>0</v>
      </c>
      <c r="BR25" s="50"/>
      <c r="BS25" s="50">
        <v>0</v>
      </c>
      <c r="BT25" s="50">
        <v>0</v>
      </c>
      <c r="BU25" s="50">
        <v>0</v>
      </c>
      <c r="BV25" s="50"/>
      <c r="BW25" s="50">
        <v>0</v>
      </c>
      <c r="BX25" s="50"/>
      <c r="BY25" s="50"/>
      <c r="BZ25" s="50"/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/>
      <c r="CH25" s="50">
        <v>0</v>
      </c>
      <c r="CI25" s="50">
        <v>0</v>
      </c>
      <c r="CJ25" s="50">
        <v>0</v>
      </c>
      <c r="CK25" s="50">
        <v>0</v>
      </c>
      <c r="CL25" s="50">
        <v>0</v>
      </c>
      <c r="CM25" s="50">
        <v>9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2">
        <v>0</v>
      </c>
      <c r="DG25" s="52">
        <v>0</v>
      </c>
      <c r="DH25" s="52">
        <v>0</v>
      </c>
      <c r="DI25" s="52">
        <v>0</v>
      </c>
      <c r="DJ25" s="52">
        <v>0</v>
      </c>
      <c r="DK25" s="52">
        <v>0</v>
      </c>
      <c r="DL25" s="52">
        <v>0</v>
      </c>
      <c r="DM25" s="52">
        <v>0</v>
      </c>
      <c r="DN25" s="52">
        <v>0</v>
      </c>
      <c r="DO25" s="52">
        <v>0</v>
      </c>
      <c r="DP25" s="52">
        <v>0</v>
      </c>
      <c r="DQ25" s="52">
        <v>0</v>
      </c>
      <c r="DR25" s="52">
        <v>0</v>
      </c>
      <c r="DS25" s="53">
        <v>0</v>
      </c>
      <c r="DT25" s="53">
        <v>0</v>
      </c>
      <c r="DU25" s="53">
        <v>0</v>
      </c>
      <c r="DV25" s="53">
        <v>0</v>
      </c>
      <c r="DW25" s="53">
        <v>0</v>
      </c>
      <c r="DX25" s="2"/>
      <c r="DY25" s="2"/>
      <c r="DZ25" s="46">
        <f t="shared" si="0"/>
        <v>0</v>
      </c>
      <c r="EA25" s="46">
        <f t="shared" si="1"/>
        <v>0</v>
      </c>
      <c r="EB25" s="46">
        <f t="shared" si="2"/>
        <v>6826</v>
      </c>
      <c r="EC25" s="46">
        <f t="shared" si="3"/>
        <v>500</v>
      </c>
      <c r="ED25" s="46">
        <f t="shared" si="4"/>
        <v>0</v>
      </c>
      <c r="EE25" s="46">
        <f t="shared" si="5"/>
        <v>0</v>
      </c>
      <c r="EF25" s="46">
        <f t="shared" si="6"/>
        <v>9</v>
      </c>
      <c r="EG25" s="46">
        <f t="shared" si="7"/>
        <v>0</v>
      </c>
      <c r="EH25" s="46">
        <f t="shared" si="8"/>
        <v>0</v>
      </c>
      <c r="EI25" s="46">
        <f t="shared" si="10"/>
        <v>0</v>
      </c>
    </row>
    <row r="26" spans="3:139" ht="12">
      <c r="C26" s="36" t="s">
        <v>153</v>
      </c>
      <c r="D26" s="36" t="s">
        <v>154</v>
      </c>
      <c r="E26" s="36" t="s">
        <v>155</v>
      </c>
      <c r="F26" s="38">
        <f t="shared" si="9"/>
        <v>123834</v>
      </c>
      <c r="G26" s="37" t="s">
        <v>131</v>
      </c>
      <c r="H26" s="47"/>
      <c r="I26" s="4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8"/>
      <c r="U26" s="48"/>
      <c r="V26" s="49"/>
      <c r="W26" s="49"/>
      <c r="X26" s="49"/>
      <c r="Y26" s="49"/>
      <c r="Z26" s="49">
        <v>0</v>
      </c>
      <c r="AA26" s="49">
        <v>4240</v>
      </c>
      <c r="AB26" s="49">
        <v>2460</v>
      </c>
      <c r="AC26" s="49">
        <v>4897</v>
      </c>
      <c r="AD26" s="49">
        <v>3480</v>
      </c>
      <c r="AE26" s="49">
        <v>1700</v>
      </c>
      <c r="AF26" s="48">
        <v>3102</v>
      </c>
      <c r="AG26" s="48">
        <v>2194</v>
      </c>
      <c r="AH26" s="49">
        <v>2075</v>
      </c>
      <c r="AI26" s="49">
        <v>2478</v>
      </c>
      <c r="AJ26" s="49">
        <v>920</v>
      </c>
      <c r="AK26" s="49">
        <v>200</v>
      </c>
      <c r="AL26" s="49">
        <v>1000</v>
      </c>
      <c r="AM26" s="49">
        <v>440</v>
      </c>
      <c r="AN26" s="49">
        <v>320</v>
      </c>
      <c r="AO26" s="49">
        <v>700</v>
      </c>
      <c r="AP26" s="49">
        <v>301</v>
      </c>
      <c r="AQ26" s="49">
        <v>67</v>
      </c>
      <c r="AR26" s="49">
        <v>200</v>
      </c>
      <c r="AS26" s="49">
        <v>300</v>
      </c>
      <c r="AT26" s="49">
        <v>1197</v>
      </c>
      <c r="AU26" s="49">
        <v>0</v>
      </c>
      <c r="AV26" s="49">
        <v>0</v>
      </c>
      <c r="AW26" s="49"/>
      <c r="AX26" s="49">
        <v>0</v>
      </c>
      <c r="AY26" s="49"/>
      <c r="AZ26" s="49">
        <v>460</v>
      </c>
      <c r="BA26" s="49">
        <v>2600</v>
      </c>
      <c r="BB26" s="49">
        <v>2099</v>
      </c>
      <c r="BC26" s="49">
        <f>3000+700</f>
        <v>3700</v>
      </c>
      <c r="BD26" s="49">
        <v>1700</v>
      </c>
      <c r="BE26" s="49">
        <v>4200</v>
      </c>
      <c r="BF26" s="49">
        <v>3690</v>
      </c>
      <c r="BG26" s="49">
        <v>4520</v>
      </c>
      <c r="BH26" s="49">
        <v>1800</v>
      </c>
      <c r="BI26" s="49">
        <v>320</v>
      </c>
      <c r="BJ26" s="49">
        <v>4380</v>
      </c>
      <c r="BK26" s="49">
        <v>5600</v>
      </c>
      <c r="BL26" s="49">
        <v>3920</v>
      </c>
      <c r="BM26" s="49">
        <v>4897</v>
      </c>
      <c r="BN26" s="49">
        <v>2360</v>
      </c>
      <c r="BO26" s="49">
        <v>3960</v>
      </c>
      <c r="BP26" s="50">
        <v>3960</v>
      </c>
      <c r="BQ26" s="50">
        <v>3220</v>
      </c>
      <c r="BR26" s="50">
        <v>4900</v>
      </c>
      <c r="BS26" s="50">
        <v>3560</v>
      </c>
      <c r="BT26" s="50">
        <v>2400</v>
      </c>
      <c r="BU26" s="50">
        <v>0</v>
      </c>
      <c r="BV26" s="50">
        <v>600</v>
      </c>
      <c r="BW26" s="50">
        <v>816</v>
      </c>
      <c r="BX26" s="50">
        <v>1300</v>
      </c>
      <c r="BY26" s="50">
        <v>5257</v>
      </c>
      <c r="BZ26" s="50">
        <v>2100</v>
      </c>
      <c r="CA26" s="50">
        <v>2400</v>
      </c>
      <c r="CB26" s="50">
        <v>4880</v>
      </c>
      <c r="CC26" s="50">
        <v>279</v>
      </c>
      <c r="CD26" s="50">
        <v>3196</v>
      </c>
      <c r="CE26" s="50">
        <v>900</v>
      </c>
      <c r="CF26" s="50">
        <v>720</v>
      </c>
      <c r="CG26" s="50">
        <v>760</v>
      </c>
      <c r="CH26" s="50">
        <v>-4</v>
      </c>
      <c r="CI26" s="50">
        <v>4</v>
      </c>
      <c r="CJ26" s="50">
        <v>0</v>
      </c>
      <c r="CK26" s="50">
        <v>0</v>
      </c>
      <c r="CL26" s="50">
        <v>0</v>
      </c>
      <c r="CM26" s="50">
        <v>0</v>
      </c>
      <c r="CN26" s="51">
        <v>0</v>
      </c>
      <c r="CO26" s="51">
        <v>-3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36</v>
      </c>
      <c r="DB26" s="51">
        <v>0</v>
      </c>
      <c r="DC26" s="51">
        <v>0</v>
      </c>
      <c r="DD26" s="51">
        <v>0</v>
      </c>
      <c r="DE26" s="51">
        <v>0</v>
      </c>
      <c r="DF26" s="52">
        <v>0</v>
      </c>
      <c r="DG26" s="52">
        <v>0</v>
      </c>
      <c r="DH26" s="52">
        <v>0</v>
      </c>
      <c r="DI26" s="52">
        <v>0</v>
      </c>
      <c r="DJ26" s="52">
        <v>0</v>
      </c>
      <c r="DK26" s="52">
        <v>76</v>
      </c>
      <c r="DL26" s="52">
        <v>0</v>
      </c>
      <c r="DM26" s="52">
        <v>0</v>
      </c>
      <c r="DN26" s="52">
        <v>0</v>
      </c>
      <c r="DO26" s="52">
        <v>0</v>
      </c>
      <c r="DP26" s="52">
        <v>0</v>
      </c>
      <c r="DQ26" s="52">
        <v>0</v>
      </c>
      <c r="DR26" s="52">
        <v>0</v>
      </c>
      <c r="DS26" s="53">
        <v>0</v>
      </c>
      <c r="DT26" s="53">
        <v>0</v>
      </c>
      <c r="DU26" s="53">
        <v>0</v>
      </c>
      <c r="DV26" s="53">
        <v>0</v>
      </c>
      <c r="DW26" s="53">
        <v>0</v>
      </c>
      <c r="DX26" s="2"/>
      <c r="DY26" s="2"/>
      <c r="DZ26" s="46">
        <f t="shared" si="0"/>
        <v>0</v>
      </c>
      <c r="EA26" s="46">
        <f t="shared" si="1"/>
        <v>16777</v>
      </c>
      <c r="EB26" s="46">
        <f t="shared" si="2"/>
        <v>13797</v>
      </c>
      <c r="EC26" s="46">
        <f t="shared" si="3"/>
        <v>10556</v>
      </c>
      <c r="ED26" s="46">
        <f t="shared" si="4"/>
        <v>41347</v>
      </c>
      <c r="EE26" s="46">
        <f t="shared" si="5"/>
        <v>30513</v>
      </c>
      <c r="EF26" s="46">
        <f t="shared" si="6"/>
        <v>10735</v>
      </c>
      <c r="EG26" s="46">
        <f t="shared" si="7"/>
        <v>-3</v>
      </c>
      <c r="EH26" s="46">
        <f t="shared" si="8"/>
        <v>36</v>
      </c>
      <c r="EI26" s="46">
        <f t="shared" si="10"/>
        <v>0</v>
      </c>
    </row>
    <row r="27" spans="3:139" ht="12">
      <c r="C27" s="36" t="s">
        <v>156</v>
      </c>
      <c r="D27" s="36" t="s">
        <v>154</v>
      </c>
      <c r="E27" s="36" t="s">
        <v>155</v>
      </c>
      <c r="F27" s="38">
        <f t="shared" si="9"/>
        <v>217247</v>
      </c>
      <c r="G27" s="37" t="s">
        <v>131</v>
      </c>
      <c r="H27" s="47"/>
      <c r="I27" s="48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8"/>
      <c r="U27" s="48"/>
      <c r="V27" s="49"/>
      <c r="W27" s="49"/>
      <c r="X27" s="49"/>
      <c r="Y27" s="49"/>
      <c r="Z27" s="49"/>
      <c r="AA27" s="49">
        <v>0</v>
      </c>
      <c r="AB27" s="49">
        <v>2240</v>
      </c>
      <c r="AC27" s="49">
        <v>1399</v>
      </c>
      <c r="AD27" s="49">
        <v>400</v>
      </c>
      <c r="AE27" s="49">
        <v>100</v>
      </c>
      <c r="AF27" s="48">
        <v>700</v>
      </c>
      <c r="AG27" s="48">
        <v>1500</v>
      </c>
      <c r="AH27" s="49">
        <v>1800</v>
      </c>
      <c r="AI27" s="49">
        <v>2040</v>
      </c>
      <c r="AJ27" s="49">
        <v>1058</v>
      </c>
      <c r="AK27" s="49">
        <v>2469</v>
      </c>
      <c r="AL27" s="49">
        <v>699</v>
      </c>
      <c r="AM27" s="49">
        <v>960</v>
      </c>
      <c r="AN27" s="49">
        <v>1580</v>
      </c>
      <c r="AO27" s="49">
        <v>800</v>
      </c>
      <c r="AP27" s="49">
        <v>300</v>
      </c>
      <c r="AQ27" s="49">
        <v>115</v>
      </c>
      <c r="AR27" s="49">
        <v>300</v>
      </c>
      <c r="AS27" s="49">
        <v>500</v>
      </c>
      <c r="AT27" s="49">
        <v>600</v>
      </c>
      <c r="AU27" s="49">
        <v>500</v>
      </c>
      <c r="AV27" s="49">
        <v>1300</v>
      </c>
      <c r="AW27" s="49">
        <v>1600</v>
      </c>
      <c r="AX27" s="49">
        <v>400</v>
      </c>
      <c r="AY27" s="49">
        <v>1811</v>
      </c>
      <c r="AZ27" s="49">
        <v>4097</v>
      </c>
      <c r="BA27" s="49">
        <v>2998</v>
      </c>
      <c r="BB27" s="49">
        <v>2300</v>
      </c>
      <c r="BC27" s="49">
        <f>2300+300</f>
        <v>2600</v>
      </c>
      <c r="BD27" s="49">
        <v>3420</v>
      </c>
      <c r="BE27" s="49">
        <v>2380</v>
      </c>
      <c r="BF27" s="49">
        <v>3200</v>
      </c>
      <c r="BG27" s="49">
        <v>4900</v>
      </c>
      <c r="BH27" s="49">
        <v>2400</v>
      </c>
      <c r="BI27" s="49">
        <v>2700</v>
      </c>
      <c r="BJ27" s="49">
        <v>3760</v>
      </c>
      <c r="BK27" s="49">
        <v>2100</v>
      </c>
      <c r="BL27" s="49">
        <v>4100</v>
      </c>
      <c r="BM27" s="49">
        <v>3160</v>
      </c>
      <c r="BN27" s="49">
        <v>880</v>
      </c>
      <c r="BO27" s="49">
        <v>800</v>
      </c>
      <c r="BP27" s="50">
        <v>3400</v>
      </c>
      <c r="BQ27" s="50">
        <v>3199</v>
      </c>
      <c r="BR27" s="50">
        <v>6600</v>
      </c>
      <c r="BS27" s="50">
        <v>6200</v>
      </c>
      <c r="BT27" s="50">
        <v>2900</v>
      </c>
      <c r="BU27" s="50">
        <v>2500</v>
      </c>
      <c r="BV27" s="50">
        <v>4300</v>
      </c>
      <c r="BW27" s="50">
        <v>4600</v>
      </c>
      <c r="BX27" s="50">
        <v>2300</v>
      </c>
      <c r="BY27" s="50">
        <v>4400</v>
      </c>
      <c r="BZ27" s="50">
        <v>5660</v>
      </c>
      <c r="CA27" s="50">
        <v>2500</v>
      </c>
      <c r="CB27" s="50">
        <v>3260</v>
      </c>
      <c r="CC27" s="50">
        <v>4772</v>
      </c>
      <c r="CD27" s="50">
        <v>3529</v>
      </c>
      <c r="CE27" s="50">
        <v>1440</v>
      </c>
      <c r="CF27" s="50">
        <v>1580</v>
      </c>
      <c r="CG27" s="50">
        <v>2380</v>
      </c>
      <c r="CH27" s="50">
        <v>1731</v>
      </c>
      <c r="CI27" s="50">
        <v>2028</v>
      </c>
      <c r="CJ27" s="50">
        <v>2360</v>
      </c>
      <c r="CK27" s="50">
        <v>3000</v>
      </c>
      <c r="CL27" s="50">
        <v>5045</v>
      </c>
      <c r="CM27" s="50">
        <v>1804</v>
      </c>
      <c r="CN27" s="51">
        <v>1919</v>
      </c>
      <c r="CO27" s="51">
        <v>2782</v>
      </c>
      <c r="CP27" s="51">
        <v>3221</v>
      </c>
      <c r="CQ27" s="51">
        <v>814</v>
      </c>
      <c r="CR27" s="51">
        <v>1148</v>
      </c>
      <c r="CS27" s="51">
        <v>2566</v>
      </c>
      <c r="CT27" s="51">
        <v>3405</v>
      </c>
      <c r="CU27" s="51">
        <v>2220</v>
      </c>
      <c r="CV27" s="51">
        <v>1711</v>
      </c>
      <c r="CW27" s="51">
        <v>440</v>
      </c>
      <c r="CX27" s="51">
        <v>1120</v>
      </c>
      <c r="CY27" s="51">
        <v>0</v>
      </c>
      <c r="CZ27" s="51">
        <v>2600</v>
      </c>
      <c r="DA27" s="51">
        <v>1249</v>
      </c>
      <c r="DB27" s="51">
        <v>2493</v>
      </c>
      <c r="DC27" s="51">
        <v>1339</v>
      </c>
      <c r="DD27" s="51">
        <v>2514</v>
      </c>
      <c r="DE27" s="51">
        <v>55</v>
      </c>
      <c r="DF27" s="52">
        <v>2876</v>
      </c>
      <c r="DG27" s="52">
        <v>3655</v>
      </c>
      <c r="DH27" s="52">
        <v>3277</v>
      </c>
      <c r="DI27" s="52">
        <v>3015</v>
      </c>
      <c r="DJ27" s="52">
        <v>2443</v>
      </c>
      <c r="DK27" s="52">
        <v>809</v>
      </c>
      <c r="DL27" s="52">
        <v>3972</v>
      </c>
      <c r="DM27" s="52">
        <v>3615</v>
      </c>
      <c r="DN27" s="52">
        <v>2077</v>
      </c>
      <c r="DO27" s="52">
        <v>1861</v>
      </c>
      <c r="DP27" s="52">
        <v>3576</v>
      </c>
      <c r="DQ27" s="52">
        <v>2021</v>
      </c>
      <c r="DR27" s="52">
        <v>2195</v>
      </c>
      <c r="DS27" s="53">
        <v>3862</v>
      </c>
      <c r="DT27" s="53">
        <v>3862</v>
      </c>
      <c r="DU27" s="53">
        <v>2317</v>
      </c>
      <c r="DV27" s="53">
        <v>1777</v>
      </c>
      <c r="DW27" s="53">
        <v>1120</v>
      </c>
      <c r="DX27" s="2"/>
      <c r="DY27" s="2"/>
      <c r="DZ27" s="46">
        <f t="shared" si="0"/>
        <v>0</v>
      </c>
      <c r="EA27" s="46">
        <f t="shared" si="1"/>
        <v>4139</v>
      </c>
      <c r="EB27" s="46">
        <f t="shared" si="2"/>
        <v>14021</v>
      </c>
      <c r="EC27" s="46">
        <f t="shared" si="3"/>
        <v>19006</v>
      </c>
      <c r="ED27" s="46">
        <f t="shared" si="4"/>
        <v>33800</v>
      </c>
      <c r="EE27" s="46">
        <f t="shared" si="5"/>
        <v>48559</v>
      </c>
      <c r="EF27" s="46">
        <f t="shared" si="6"/>
        <v>32929</v>
      </c>
      <c r="EG27" s="46">
        <f t="shared" si="7"/>
        <v>21346</v>
      </c>
      <c r="EH27" s="46">
        <f t="shared" si="8"/>
        <v>25516</v>
      </c>
      <c r="EI27" s="46">
        <f t="shared" si="10"/>
        <v>11525</v>
      </c>
    </row>
    <row r="28" spans="3:139" ht="12">
      <c r="C28" s="36" t="s">
        <v>157</v>
      </c>
      <c r="D28" s="36" t="s">
        <v>825</v>
      </c>
      <c r="E28" s="36" t="s">
        <v>155</v>
      </c>
      <c r="F28" s="38">
        <f t="shared" si="9"/>
        <v>3004</v>
      </c>
      <c r="G28" s="37" t="s">
        <v>131</v>
      </c>
      <c r="H28" s="47"/>
      <c r="I28" s="48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8"/>
      <c r="U28" s="48"/>
      <c r="V28" s="49"/>
      <c r="W28" s="49"/>
      <c r="X28" s="49"/>
      <c r="Y28" s="49"/>
      <c r="Z28" s="49"/>
      <c r="AA28" s="49"/>
      <c r="AB28" s="49"/>
      <c r="AC28" s="49">
        <v>60</v>
      </c>
      <c r="AD28" s="49">
        <v>60</v>
      </c>
      <c r="AE28" s="49">
        <v>0</v>
      </c>
      <c r="AF28" s="48">
        <v>100</v>
      </c>
      <c r="AG28" s="48"/>
      <c r="AH28" s="49"/>
      <c r="AI28" s="49"/>
      <c r="AJ28" s="49"/>
      <c r="AK28" s="49">
        <v>300</v>
      </c>
      <c r="AL28" s="49">
        <v>0</v>
      </c>
      <c r="AM28" s="49"/>
      <c r="AN28" s="49">
        <v>0</v>
      </c>
      <c r="AO28" s="49">
        <v>100</v>
      </c>
      <c r="AP28" s="49"/>
      <c r="AQ28" s="49"/>
      <c r="AR28" s="49">
        <v>200</v>
      </c>
      <c r="AS28" s="49">
        <v>0</v>
      </c>
      <c r="AT28" s="49"/>
      <c r="AU28" s="49">
        <v>0</v>
      </c>
      <c r="AV28" s="49">
        <v>200</v>
      </c>
      <c r="AW28" s="49">
        <v>200</v>
      </c>
      <c r="AX28" s="49">
        <v>400</v>
      </c>
      <c r="AY28" s="49"/>
      <c r="AZ28" s="49">
        <v>0</v>
      </c>
      <c r="BA28" s="49">
        <v>200</v>
      </c>
      <c r="BB28" s="49">
        <v>0</v>
      </c>
      <c r="BC28" s="49">
        <v>100</v>
      </c>
      <c r="BD28" s="49">
        <v>0</v>
      </c>
      <c r="BE28" s="49">
        <v>0</v>
      </c>
      <c r="BF28" s="49"/>
      <c r="BG28" s="49">
        <v>400</v>
      </c>
      <c r="BH28" s="49">
        <v>120</v>
      </c>
      <c r="BI28" s="49">
        <v>0</v>
      </c>
      <c r="BJ28" s="49"/>
      <c r="BK28" s="49"/>
      <c r="BL28" s="49">
        <v>0</v>
      </c>
      <c r="BM28" s="49">
        <v>200</v>
      </c>
      <c r="BN28" s="49">
        <v>124</v>
      </c>
      <c r="BO28" s="49">
        <v>220</v>
      </c>
      <c r="BP28" s="50">
        <v>0</v>
      </c>
      <c r="BQ28" s="50">
        <v>0</v>
      </c>
      <c r="BR28" s="50"/>
      <c r="BS28" s="50">
        <v>0</v>
      </c>
      <c r="BT28" s="50">
        <v>0</v>
      </c>
      <c r="BU28" s="50">
        <v>0</v>
      </c>
      <c r="BV28" s="50"/>
      <c r="BW28" s="50">
        <v>0</v>
      </c>
      <c r="BX28" s="50"/>
      <c r="BY28" s="50"/>
      <c r="BZ28" s="50"/>
      <c r="CA28" s="50">
        <v>20</v>
      </c>
      <c r="CB28" s="50">
        <v>0</v>
      </c>
      <c r="CC28" s="50">
        <v>0</v>
      </c>
      <c r="CD28" s="50">
        <v>0</v>
      </c>
      <c r="CE28" s="50">
        <v>0</v>
      </c>
      <c r="CF28" s="50">
        <v>0</v>
      </c>
      <c r="CG28" s="50"/>
      <c r="CH28" s="50">
        <v>0</v>
      </c>
      <c r="CI28" s="50">
        <v>0</v>
      </c>
      <c r="CJ28" s="50">
        <v>0</v>
      </c>
      <c r="CK28" s="50">
        <v>0</v>
      </c>
      <c r="CL28" s="50">
        <v>0</v>
      </c>
      <c r="CM28" s="50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2">
        <v>0</v>
      </c>
      <c r="DG28" s="52">
        <v>0</v>
      </c>
      <c r="DH28" s="52">
        <v>0</v>
      </c>
      <c r="DI28" s="52">
        <v>0</v>
      </c>
      <c r="DJ28" s="52">
        <v>0</v>
      </c>
      <c r="DK28" s="52">
        <v>0</v>
      </c>
      <c r="DL28" s="52">
        <v>0</v>
      </c>
      <c r="DM28" s="52">
        <v>0</v>
      </c>
      <c r="DN28" s="52">
        <v>0</v>
      </c>
      <c r="DO28" s="52">
        <v>0</v>
      </c>
      <c r="DP28" s="52">
        <v>0</v>
      </c>
      <c r="DQ28" s="52">
        <v>0</v>
      </c>
      <c r="DR28" s="52">
        <v>0</v>
      </c>
      <c r="DS28" s="53">
        <v>0</v>
      </c>
      <c r="DT28" s="53">
        <v>0</v>
      </c>
      <c r="DU28" s="53">
        <v>0</v>
      </c>
      <c r="DV28" s="53">
        <v>0</v>
      </c>
      <c r="DW28" s="53">
        <v>0</v>
      </c>
      <c r="DX28" s="2"/>
      <c r="DY28" s="2"/>
      <c r="DZ28" s="46">
        <f t="shared" si="0"/>
        <v>0</v>
      </c>
      <c r="EA28" s="46">
        <f t="shared" si="1"/>
        <v>120</v>
      </c>
      <c r="EB28" s="46">
        <f t="shared" si="2"/>
        <v>500</v>
      </c>
      <c r="EC28" s="46">
        <f t="shared" si="3"/>
        <v>1300</v>
      </c>
      <c r="ED28" s="46">
        <f t="shared" si="4"/>
        <v>1064</v>
      </c>
      <c r="EE28" s="46">
        <f t="shared" si="5"/>
        <v>20</v>
      </c>
      <c r="EF28" s="46">
        <f t="shared" si="6"/>
        <v>0</v>
      </c>
      <c r="EG28" s="46">
        <f t="shared" si="7"/>
        <v>0</v>
      </c>
      <c r="EH28" s="46">
        <f t="shared" si="8"/>
        <v>0</v>
      </c>
      <c r="EI28" s="46">
        <f t="shared" si="10"/>
        <v>0</v>
      </c>
    </row>
    <row r="29" spans="3:139" ht="12">
      <c r="C29" s="36" t="s">
        <v>158</v>
      </c>
      <c r="D29" s="36" t="s">
        <v>154</v>
      </c>
      <c r="E29" s="36" t="s">
        <v>155</v>
      </c>
      <c r="F29" s="38">
        <f t="shared" si="9"/>
        <v>246488</v>
      </c>
      <c r="G29" s="37" t="s">
        <v>131</v>
      </c>
      <c r="H29" s="47"/>
      <c r="I29" s="48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8"/>
      <c r="U29" s="48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8"/>
      <c r="AG29" s="48"/>
      <c r="AH29" s="49"/>
      <c r="AI29" s="49"/>
      <c r="AJ29" s="49">
        <v>99</v>
      </c>
      <c r="AK29" s="49">
        <v>7035</v>
      </c>
      <c r="AL29" s="49">
        <v>11502</v>
      </c>
      <c r="AM29" s="49">
        <v>9111</v>
      </c>
      <c r="AN29" s="49">
        <v>9698</v>
      </c>
      <c r="AO29" s="49">
        <v>9392</v>
      </c>
      <c r="AP29" s="49">
        <v>5200</v>
      </c>
      <c r="AQ29" s="49">
        <v>3499</v>
      </c>
      <c r="AR29" s="49">
        <v>7040</v>
      </c>
      <c r="AS29" s="49">
        <v>11701</v>
      </c>
      <c r="AT29" s="49">
        <v>10330</v>
      </c>
      <c r="AU29" s="49">
        <v>2907</v>
      </c>
      <c r="AV29" s="49">
        <v>5099</v>
      </c>
      <c r="AW29" s="49">
        <v>3880</v>
      </c>
      <c r="AX29" s="49">
        <v>5685</v>
      </c>
      <c r="AY29" s="49">
        <v>11463</v>
      </c>
      <c r="AZ29" s="49">
        <v>8989</v>
      </c>
      <c r="BA29" s="49">
        <v>8574</v>
      </c>
      <c r="BB29" s="49">
        <v>5339</v>
      </c>
      <c r="BC29" s="49">
        <f>3159+1398</f>
        <v>4557</v>
      </c>
      <c r="BD29" s="49">
        <v>4480</v>
      </c>
      <c r="BE29" s="49">
        <v>7820</v>
      </c>
      <c r="BF29" s="49">
        <v>11280</v>
      </c>
      <c r="BG29" s="49">
        <v>11620</v>
      </c>
      <c r="BH29" s="49">
        <v>2720</v>
      </c>
      <c r="BI29" s="49">
        <v>7540</v>
      </c>
      <c r="BJ29" s="49">
        <v>6880</v>
      </c>
      <c r="BK29" s="49">
        <v>10760</v>
      </c>
      <c r="BL29" s="49">
        <v>5260</v>
      </c>
      <c r="BM29" s="49">
        <v>8600</v>
      </c>
      <c r="BN29" s="49">
        <v>5300</v>
      </c>
      <c r="BO29" s="49">
        <v>2900</v>
      </c>
      <c r="BP29" s="50">
        <v>2000</v>
      </c>
      <c r="BQ29" s="50">
        <v>2300</v>
      </c>
      <c r="BR29" s="50">
        <v>1500</v>
      </c>
      <c r="BS29" s="50">
        <v>2200</v>
      </c>
      <c r="BT29" s="50">
        <v>1000</v>
      </c>
      <c r="BU29" s="50">
        <v>1420</v>
      </c>
      <c r="BV29" s="50">
        <v>1900</v>
      </c>
      <c r="BW29" s="50">
        <v>1100</v>
      </c>
      <c r="BX29" s="50">
        <v>3600</v>
      </c>
      <c r="BY29" s="50">
        <v>700</v>
      </c>
      <c r="BZ29" s="50">
        <v>1140</v>
      </c>
      <c r="CA29" s="50">
        <v>200</v>
      </c>
      <c r="CB29" s="50">
        <v>100</v>
      </c>
      <c r="CC29" s="50">
        <v>-212</v>
      </c>
      <c r="CD29" s="50">
        <v>138</v>
      </c>
      <c r="CE29" s="50">
        <v>1</v>
      </c>
      <c r="CF29" s="50">
        <v>0</v>
      </c>
      <c r="CG29" s="50"/>
      <c r="CH29" s="50">
        <v>120</v>
      </c>
      <c r="CI29" s="50">
        <v>0</v>
      </c>
      <c r="CJ29" s="50">
        <v>0</v>
      </c>
      <c r="CK29" s="50">
        <v>11</v>
      </c>
      <c r="CL29" s="50">
        <v>120</v>
      </c>
      <c r="CM29" s="50">
        <v>-5</v>
      </c>
      <c r="CN29" s="51">
        <v>0</v>
      </c>
      <c r="CO29" s="51">
        <v>0</v>
      </c>
      <c r="CP29" s="51">
        <v>0</v>
      </c>
      <c r="CQ29" s="51">
        <v>100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200</v>
      </c>
      <c r="CX29" s="51">
        <v>0</v>
      </c>
      <c r="CY29" s="51">
        <v>0</v>
      </c>
      <c r="CZ29" s="51">
        <v>0</v>
      </c>
      <c r="DA29" s="51">
        <v>146</v>
      </c>
      <c r="DB29" s="51">
        <v>0</v>
      </c>
      <c r="DC29" s="51">
        <v>59</v>
      </c>
      <c r="DD29" s="51">
        <v>0</v>
      </c>
      <c r="DE29" s="51">
        <v>0</v>
      </c>
      <c r="DF29" s="52">
        <v>0</v>
      </c>
      <c r="DG29" s="52">
        <v>0</v>
      </c>
      <c r="DH29" s="52">
        <v>0</v>
      </c>
      <c r="DI29" s="52">
        <v>0</v>
      </c>
      <c r="DJ29" s="52">
        <v>0</v>
      </c>
      <c r="DK29" s="52">
        <v>189</v>
      </c>
      <c r="DL29" s="52">
        <v>0</v>
      </c>
      <c r="DM29" s="52">
        <v>197</v>
      </c>
      <c r="DN29" s="52">
        <v>0</v>
      </c>
      <c r="DO29" s="52">
        <v>0</v>
      </c>
      <c r="DP29" s="52">
        <v>4</v>
      </c>
      <c r="DQ29" s="52">
        <v>0</v>
      </c>
      <c r="DR29" s="52">
        <v>158</v>
      </c>
      <c r="DS29" s="53">
        <v>4</v>
      </c>
      <c r="DT29" s="53">
        <v>4</v>
      </c>
      <c r="DU29" s="53">
        <v>2</v>
      </c>
      <c r="DV29" s="53">
        <v>2</v>
      </c>
      <c r="DW29" s="53">
        <v>1</v>
      </c>
      <c r="DX29" s="2"/>
      <c r="DY29" s="2"/>
      <c r="DZ29" s="46">
        <f t="shared" si="0"/>
        <v>0</v>
      </c>
      <c r="EA29" s="46">
        <f t="shared" si="1"/>
        <v>0</v>
      </c>
      <c r="EB29" s="46">
        <f t="shared" si="2"/>
        <v>55536</v>
      </c>
      <c r="EC29" s="46">
        <f t="shared" si="3"/>
        <v>85564</v>
      </c>
      <c r="ED29" s="46">
        <f t="shared" si="4"/>
        <v>85160</v>
      </c>
      <c r="EE29" s="46">
        <f t="shared" si="5"/>
        <v>19060</v>
      </c>
      <c r="EF29" s="46">
        <f t="shared" si="6"/>
        <v>273</v>
      </c>
      <c r="EG29" s="46">
        <f t="shared" si="7"/>
        <v>300</v>
      </c>
      <c r="EH29" s="46">
        <f t="shared" si="8"/>
        <v>205</v>
      </c>
      <c r="EI29" s="46">
        <f t="shared" si="10"/>
        <v>197</v>
      </c>
    </row>
    <row r="30" spans="3:139" ht="12">
      <c r="C30" s="36" t="s">
        <v>159</v>
      </c>
      <c r="D30" s="36" t="s">
        <v>154</v>
      </c>
      <c r="E30" s="36" t="s">
        <v>155</v>
      </c>
      <c r="F30" s="38">
        <f t="shared" si="9"/>
        <v>124381</v>
      </c>
      <c r="G30" s="37" t="s">
        <v>131</v>
      </c>
      <c r="H30" s="47"/>
      <c r="I30" s="48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8"/>
      <c r="U30" s="48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8"/>
      <c r="AG30" s="48"/>
      <c r="AH30" s="49"/>
      <c r="AI30" s="49"/>
      <c r="AJ30" s="49">
        <v>3441</v>
      </c>
      <c r="AK30" s="49">
        <v>969</v>
      </c>
      <c r="AL30" s="49">
        <v>3800</v>
      </c>
      <c r="AM30" s="49">
        <v>1808</v>
      </c>
      <c r="AN30" s="49">
        <v>4119</v>
      </c>
      <c r="AO30" s="49">
        <v>6297</v>
      </c>
      <c r="AP30" s="49">
        <v>3000</v>
      </c>
      <c r="AQ30" s="49">
        <v>2780</v>
      </c>
      <c r="AR30" s="49">
        <v>3300</v>
      </c>
      <c r="AS30" s="49">
        <v>3901</v>
      </c>
      <c r="AT30" s="49">
        <v>5977</v>
      </c>
      <c r="AU30" s="49">
        <v>400</v>
      </c>
      <c r="AV30" s="49">
        <v>0</v>
      </c>
      <c r="AW30" s="49">
        <v>1200</v>
      </c>
      <c r="AX30" s="49">
        <v>2900</v>
      </c>
      <c r="AY30" s="49">
        <v>5995</v>
      </c>
      <c r="AZ30" s="49">
        <v>3770</v>
      </c>
      <c r="BA30" s="49">
        <v>2677</v>
      </c>
      <c r="BB30" s="49">
        <v>4836</v>
      </c>
      <c r="BC30" s="49">
        <f>2100+300</f>
        <v>2400</v>
      </c>
      <c r="BD30" s="49">
        <v>2760</v>
      </c>
      <c r="BE30" s="49">
        <v>2300</v>
      </c>
      <c r="BF30" s="49">
        <v>2268</v>
      </c>
      <c r="BG30" s="49">
        <v>4660</v>
      </c>
      <c r="BH30" s="49">
        <v>880</v>
      </c>
      <c r="BI30" s="49">
        <v>340</v>
      </c>
      <c r="BJ30" s="49">
        <v>3900</v>
      </c>
      <c r="BK30" s="49">
        <v>2780</v>
      </c>
      <c r="BL30" s="49">
        <v>3020</v>
      </c>
      <c r="BM30" s="49">
        <v>2479</v>
      </c>
      <c r="BN30" s="49">
        <v>1540</v>
      </c>
      <c r="BO30" s="49">
        <v>3140</v>
      </c>
      <c r="BP30" s="50">
        <v>2940</v>
      </c>
      <c r="BQ30" s="50">
        <v>2200</v>
      </c>
      <c r="BR30" s="50">
        <v>2400</v>
      </c>
      <c r="BS30" s="50">
        <v>3280</v>
      </c>
      <c r="BT30" s="50">
        <v>2200</v>
      </c>
      <c r="BU30" s="50">
        <v>0</v>
      </c>
      <c r="BV30" s="50">
        <v>700</v>
      </c>
      <c r="BW30" s="50">
        <v>0</v>
      </c>
      <c r="BX30" s="50">
        <v>2400</v>
      </c>
      <c r="BY30" s="50">
        <v>2200</v>
      </c>
      <c r="BZ30" s="50">
        <v>1560</v>
      </c>
      <c r="CA30" s="50">
        <v>1100</v>
      </c>
      <c r="CB30" s="50">
        <v>2480</v>
      </c>
      <c r="CC30" s="50">
        <v>1464</v>
      </c>
      <c r="CD30" s="50">
        <v>3720</v>
      </c>
      <c r="CE30" s="50">
        <v>939</v>
      </c>
      <c r="CF30" s="50">
        <v>560</v>
      </c>
      <c r="CG30" s="50">
        <v>280</v>
      </c>
      <c r="CH30" s="50">
        <v>-3</v>
      </c>
      <c r="CI30" s="50">
        <v>2</v>
      </c>
      <c r="CJ30" s="50">
        <v>0</v>
      </c>
      <c r="CK30" s="50">
        <v>0</v>
      </c>
      <c r="CL30" s="50">
        <v>0</v>
      </c>
      <c r="CM30" s="50">
        <v>0</v>
      </c>
      <c r="CN30" s="51">
        <v>0</v>
      </c>
      <c r="CO30" s="51">
        <v>0</v>
      </c>
      <c r="CP30" s="51">
        <v>26</v>
      </c>
      <c r="CQ30" s="51">
        <v>0</v>
      </c>
      <c r="CR30" s="51">
        <v>20</v>
      </c>
      <c r="CS30" s="51">
        <v>80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138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2">
        <v>0</v>
      </c>
      <c r="DG30" s="52">
        <v>58</v>
      </c>
      <c r="DH30" s="52">
        <v>0</v>
      </c>
      <c r="DI30" s="52">
        <v>0</v>
      </c>
      <c r="DJ30" s="52">
        <v>0</v>
      </c>
      <c r="DK30" s="52">
        <v>0</v>
      </c>
      <c r="DL30" s="52">
        <v>0</v>
      </c>
      <c r="DM30" s="52">
        <v>0</v>
      </c>
      <c r="DN30" s="52">
        <v>0</v>
      </c>
      <c r="DO30" s="52">
        <v>0</v>
      </c>
      <c r="DP30" s="52">
        <v>0</v>
      </c>
      <c r="DQ30" s="52">
        <v>0</v>
      </c>
      <c r="DR30" s="52">
        <v>0</v>
      </c>
      <c r="DS30" s="53">
        <v>0</v>
      </c>
      <c r="DT30" s="53">
        <v>0</v>
      </c>
      <c r="DU30" s="53">
        <v>0</v>
      </c>
      <c r="DV30" s="53">
        <v>0</v>
      </c>
      <c r="DW30" s="53">
        <v>0</v>
      </c>
      <c r="DX30" s="2"/>
      <c r="DY30" s="2"/>
      <c r="DZ30" s="46">
        <f t="shared" si="0"/>
        <v>0</v>
      </c>
      <c r="EA30" s="46">
        <f t="shared" si="1"/>
        <v>0</v>
      </c>
      <c r="EB30" s="46">
        <f t="shared" si="2"/>
        <v>26214</v>
      </c>
      <c r="EC30" s="46">
        <f t="shared" si="3"/>
        <v>37356</v>
      </c>
      <c r="ED30" s="46">
        <f t="shared" si="4"/>
        <v>30067</v>
      </c>
      <c r="EE30" s="46">
        <f t="shared" si="5"/>
        <v>20980</v>
      </c>
      <c r="EF30" s="46">
        <f t="shared" si="6"/>
        <v>9442</v>
      </c>
      <c r="EG30" s="46">
        <f t="shared" si="7"/>
        <v>264</v>
      </c>
      <c r="EH30" s="46">
        <f t="shared" si="8"/>
        <v>58</v>
      </c>
      <c r="EI30" s="46">
        <f t="shared" si="10"/>
        <v>0</v>
      </c>
    </row>
    <row r="31" spans="3:139" ht="12">
      <c r="C31" s="36" t="s">
        <v>160</v>
      </c>
      <c r="D31" s="36" t="s">
        <v>154</v>
      </c>
      <c r="E31" s="36" t="s">
        <v>155</v>
      </c>
      <c r="F31" s="38">
        <f t="shared" si="9"/>
        <v>3913</v>
      </c>
      <c r="G31" s="37" t="s">
        <v>131</v>
      </c>
      <c r="H31" s="47"/>
      <c r="I31" s="48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8"/>
      <c r="U31" s="48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8"/>
      <c r="AG31" s="48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>
        <v>200</v>
      </c>
      <c r="AZ31" s="49">
        <v>200</v>
      </c>
      <c r="BA31" s="49">
        <v>299</v>
      </c>
      <c r="BB31" s="49">
        <v>100</v>
      </c>
      <c r="BC31" s="49">
        <f>200+100</f>
        <v>300</v>
      </c>
      <c r="BD31" s="49">
        <v>0</v>
      </c>
      <c r="BE31" s="49">
        <v>200</v>
      </c>
      <c r="BF31" s="49"/>
      <c r="BG31" s="49">
        <v>120</v>
      </c>
      <c r="BH31" s="49"/>
      <c r="BI31" s="49">
        <v>0</v>
      </c>
      <c r="BJ31" s="49">
        <v>100</v>
      </c>
      <c r="BK31" s="49">
        <v>380</v>
      </c>
      <c r="BL31" s="49">
        <v>400</v>
      </c>
      <c r="BM31" s="49">
        <v>280</v>
      </c>
      <c r="BN31" s="49">
        <v>18</v>
      </c>
      <c r="BO31" s="49">
        <v>20</v>
      </c>
      <c r="BP31" s="50">
        <v>120</v>
      </c>
      <c r="BQ31" s="50">
        <v>260</v>
      </c>
      <c r="BR31" s="50">
        <v>160</v>
      </c>
      <c r="BS31" s="50">
        <v>320</v>
      </c>
      <c r="BT31" s="50">
        <v>0</v>
      </c>
      <c r="BU31" s="50">
        <v>0</v>
      </c>
      <c r="BV31" s="50">
        <v>300</v>
      </c>
      <c r="BW31" s="50">
        <v>0</v>
      </c>
      <c r="BX31" s="50"/>
      <c r="BY31" s="50">
        <v>140</v>
      </c>
      <c r="BZ31" s="50"/>
      <c r="CA31" s="50">
        <v>68</v>
      </c>
      <c r="CB31" s="50">
        <v>0</v>
      </c>
      <c r="CC31" s="50">
        <v>-85</v>
      </c>
      <c r="CD31" s="50">
        <v>0</v>
      </c>
      <c r="CE31" s="50">
        <v>0</v>
      </c>
      <c r="CF31" s="50">
        <v>0</v>
      </c>
      <c r="CG31" s="50"/>
      <c r="CH31" s="50">
        <v>-16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1">
        <v>0</v>
      </c>
      <c r="CO31" s="51">
        <v>0</v>
      </c>
      <c r="CP31" s="51">
        <v>29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2">
        <v>0</v>
      </c>
      <c r="DG31" s="52">
        <v>0</v>
      </c>
      <c r="DH31" s="52">
        <v>0</v>
      </c>
      <c r="DI31" s="52">
        <v>0</v>
      </c>
      <c r="DJ31" s="52">
        <v>0</v>
      </c>
      <c r="DK31" s="52">
        <v>0</v>
      </c>
      <c r="DL31" s="52">
        <v>0</v>
      </c>
      <c r="DM31" s="52">
        <v>0</v>
      </c>
      <c r="DN31" s="52">
        <v>0</v>
      </c>
      <c r="DO31" s="52">
        <v>0</v>
      </c>
      <c r="DP31" s="52">
        <v>0</v>
      </c>
      <c r="DQ31" s="52">
        <v>0</v>
      </c>
      <c r="DR31" s="52">
        <v>0</v>
      </c>
      <c r="DS31" s="53">
        <v>0</v>
      </c>
      <c r="DT31" s="53">
        <v>0</v>
      </c>
      <c r="DU31" s="53">
        <v>0</v>
      </c>
      <c r="DV31" s="53">
        <v>0</v>
      </c>
      <c r="DW31" s="53">
        <v>0</v>
      </c>
      <c r="DX31" s="2"/>
      <c r="DY31" s="2"/>
      <c r="DZ31" s="46">
        <f t="shared" si="0"/>
        <v>0</v>
      </c>
      <c r="EA31" s="46">
        <f t="shared" si="1"/>
        <v>0</v>
      </c>
      <c r="EB31" s="46">
        <f t="shared" si="2"/>
        <v>0</v>
      </c>
      <c r="EC31" s="46">
        <f t="shared" si="3"/>
        <v>1099</v>
      </c>
      <c r="ED31" s="46">
        <f t="shared" si="4"/>
        <v>1518</v>
      </c>
      <c r="EE31" s="46">
        <f t="shared" si="5"/>
        <v>1368</v>
      </c>
      <c r="EF31" s="46">
        <f t="shared" si="6"/>
        <v>-101</v>
      </c>
      <c r="EG31" s="46">
        <f t="shared" si="7"/>
        <v>29</v>
      </c>
      <c r="EH31" s="46">
        <f t="shared" si="8"/>
        <v>0</v>
      </c>
      <c r="EI31" s="46">
        <f t="shared" si="10"/>
        <v>0</v>
      </c>
    </row>
    <row r="32" spans="3:139" ht="12">
      <c r="C32" s="36" t="s">
        <v>161</v>
      </c>
      <c r="D32" s="36" t="s">
        <v>154</v>
      </c>
      <c r="E32" s="36" t="s">
        <v>155</v>
      </c>
      <c r="F32" s="38">
        <f t="shared" si="9"/>
        <v>198775</v>
      </c>
      <c r="G32" s="37" t="s">
        <v>131</v>
      </c>
      <c r="H32" s="47"/>
      <c r="I32" s="48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8"/>
      <c r="U32" s="48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8"/>
      <c r="AG32" s="48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50"/>
      <c r="BQ32" s="50"/>
      <c r="BR32" s="50">
        <v>8000</v>
      </c>
      <c r="BS32" s="50">
        <v>10900</v>
      </c>
      <c r="BT32" s="50">
        <v>5700</v>
      </c>
      <c r="BU32" s="50">
        <v>4760</v>
      </c>
      <c r="BV32" s="50">
        <v>5420</v>
      </c>
      <c r="BW32" s="50">
        <v>4700</v>
      </c>
      <c r="BX32" s="50">
        <v>12380</v>
      </c>
      <c r="BY32" s="50">
        <v>5060</v>
      </c>
      <c r="BZ32" s="50">
        <v>8256</v>
      </c>
      <c r="CA32" s="50">
        <v>3400</v>
      </c>
      <c r="CB32" s="50">
        <v>5360</v>
      </c>
      <c r="CC32" s="50">
        <v>11137</v>
      </c>
      <c r="CD32" s="50">
        <v>6156</v>
      </c>
      <c r="CE32" s="50">
        <v>3939</v>
      </c>
      <c r="CF32" s="50">
        <v>2498</v>
      </c>
      <c r="CG32" s="50">
        <v>2460</v>
      </c>
      <c r="CH32" s="50">
        <v>5772</v>
      </c>
      <c r="CI32" s="50">
        <v>2095</v>
      </c>
      <c r="CJ32" s="50">
        <v>6043</v>
      </c>
      <c r="CK32" s="50">
        <v>11447</v>
      </c>
      <c r="CL32" s="50">
        <v>9857</v>
      </c>
      <c r="CM32" s="50">
        <v>3063</v>
      </c>
      <c r="CN32" s="51">
        <v>6462</v>
      </c>
      <c r="CO32" s="51">
        <v>7805</v>
      </c>
      <c r="CP32" s="51">
        <v>6268</v>
      </c>
      <c r="CQ32" s="51">
        <v>8960</v>
      </c>
      <c r="CR32" s="51">
        <v>7232</v>
      </c>
      <c r="CS32" s="51">
        <v>6299</v>
      </c>
      <c r="CT32" s="51">
        <v>9217</v>
      </c>
      <c r="CU32" s="51">
        <v>3460</v>
      </c>
      <c r="CV32" s="51">
        <v>4538</v>
      </c>
      <c r="CW32" s="51">
        <v>20</v>
      </c>
      <c r="CX32" s="51">
        <v>20</v>
      </c>
      <c r="CY32" s="51">
        <v>0</v>
      </c>
      <c r="CZ32" s="51">
        <v>0</v>
      </c>
      <c r="DA32" s="51">
        <v>0</v>
      </c>
      <c r="DB32" s="51">
        <v>0</v>
      </c>
      <c r="DC32" s="51">
        <v>0</v>
      </c>
      <c r="DD32" s="51">
        <v>0</v>
      </c>
      <c r="DE32" s="51">
        <v>0</v>
      </c>
      <c r="DF32" s="52">
        <v>0</v>
      </c>
      <c r="DG32" s="52">
        <v>0</v>
      </c>
      <c r="DH32" s="52">
        <v>0</v>
      </c>
      <c r="DI32" s="52">
        <v>0</v>
      </c>
      <c r="DJ32" s="52">
        <v>0</v>
      </c>
      <c r="DK32" s="52">
        <v>0</v>
      </c>
      <c r="DL32" s="52">
        <v>0</v>
      </c>
      <c r="DM32" s="52">
        <v>15</v>
      </c>
      <c r="DN32" s="52">
        <v>0</v>
      </c>
      <c r="DO32" s="52">
        <v>76</v>
      </c>
      <c r="DP32" s="52">
        <v>0</v>
      </c>
      <c r="DQ32" s="52">
        <v>0</v>
      </c>
      <c r="DR32" s="52">
        <v>0</v>
      </c>
      <c r="DS32" s="53">
        <v>0</v>
      </c>
      <c r="DT32" s="53">
        <v>0</v>
      </c>
      <c r="DU32" s="53">
        <v>0</v>
      </c>
      <c r="DV32" s="53">
        <v>0</v>
      </c>
      <c r="DW32" s="53">
        <v>0</v>
      </c>
      <c r="DX32" s="2"/>
      <c r="DY32" s="2"/>
      <c r="DZ32" s="46">
        <f t="shared" si="0"/>
        <v>0</v>
      </c>
      <c r="EA32" s="46">
        <f t="shared" si="1"/>
        <v>0</v>
      </c>
      <c r="EB32" s="46">
        <f t="shared" si="2"/>
        <v>0</v>
      </c>
      <c r="EC32" s="46">
        <f t="shared" si="3"/>
        <v>0</v>
      </c>
      <c r="ED32" s="46">
        <f t="shared" si="4"/>
        <v>0</v>
      </c>
      <c r="EE32" s="46">
        <f t="shared" si="5"/>
        <v>68576</v>
      </c>
      <c r="EF32" s="46">
        <f t="shared" si="6"/>
        <v>69827</v>
      </c>
      <c r="EG32" s="46">
        <f t="shared" si="7"/>
        <v>60281</v>
      </c>
      <c r="EH32" s="46">
        <f t="shared" si="8"/>
        <v>0</v>
      </c>
      <c r="EI32" s="46">
        <f t="shared" si="10"/>
        <v>91</v>
      </c>
    </row>
    <row r="33" spans="3:139" ht="12">
      <c r="C33" s="36" t="s">
        <v>162</v>
      </c>
      <c r="D33" s="36" t="s">
        <v>154</v>
      </c>
      <c r="E33" s="36" t="s">
        <v>155</v>
      </c>
      <c r="F33" s="38">
        <f t="shared" si="9"/>
        <v>18076</v>
      </c>
      <c r="G33" s="37" t="s">
        <v>131</v>
      </c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8"/>
      <c r="U33" s="48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8"/>
      <c r="AG33" s="48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50"/>
      <c r="BQ33" s="50"/>
      <c r="BR33" s="50"/>
      <c r="BS33" s="50">
        <v>900</v>
      </c>
      <c r="BT33" s="50">
        <v>1600</v>
      </c>
      <c r="BU33" s="50">
        <v>2500</v>
      </c>
      <c r="BV33" s="50">
        <v>1300</v>
      </c>
      <c r="BW33" s="50">
        <v>2700</v>
      </c>
      <c r="BX33" s="50">
        <v>600</v>
      </c>
      <c r="BY33" s="50">
        <v>4500</v>
      </c>
      <c r="BZ33" s="50"/>
      <c r="CA33" s="50">
        <v>0</v>
      </c>
      <c r="CB33" s="50">
        <v>0</v>
      </c>
      <c r="CC33" s="50">
        <v>100</v>
      </c>
      <c r="CD33" s="50">
        <v>1079</v>
      </c>
      <c r="CE33" s="50">
        <v>920</v>
      </c>
      <c r="CF33" s="50">
        <v>1028</v>
      </c>
      <c r="CG33" s="50">
        <v>800</v>
      </c>
      <c r="CH33" s="50">
        <v>-8</v>
      </c>
      <c r="CI33" s="50">
        <v>5</v>
      </c>
      <c r="CJ33" s="50">
        <v>0</v>
      </c>
      <c r="CK33" s="50">
        <v>0</v>
      </c>
      <c r="CL33" s="50">
        <v>0</v>
      </c>
      <c r="CM33" s="50">
        <v>0</v>
      </c>
      <c r="CN33" s="51">
        <v>0</v>
      </c>
      <c r="CO33" s="51">
        <v>0</v>
      </c>
      <c r="CP33" s="51">
        <v>20</v>
      </c>
      <c r="CQ33" s="51">
        <v>0</v>
      </c>
      <c r="CR33" s="51">
        <v>0</v>
      </c>
      <c r="CS33" s="51">
        <v>0</v>
      </c>
      <c r="CT33" s="51">
        <v>12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</v>
      </c>
      <c r="DC33" s="51">
        <v>0</v>
      </c>
      <c r="DD33" s="51">
        <v>20</v>
      </c>
      <c r="DE33" s="51">
        <v>0</v>
      </c>
      <c r="DF33" s="52">
        <v>0</v>
      </c>
      <c r="DG33" s="52">
        <v>0</v>
      </c>
      <c r="DH33" s="52">
        <v>0</v>
      </c>
      <c r="DI33" s="52">
        <v>0</v>
      </c>
      <c r="DJ33" s="52">
        <v>0</v>
      </c>
      <c r="DK33" s="52">
        <v>0</v>
      </c>
      <c r="DL33" s="52">
        <v>0</v>
      </c>
      <c r="DM33" s="52">
        <v>0</v>
      </c>
      <c r="DN33" s="52">
        <v>0</v>
      </c>
      <c r="DO33" s="52">
        <v>0</v>
      </c>
      <c r="DP33" s="52">
        <v>0</v>
      </c>
      <c r="DQ33" s="52">
        <v>0</v>
      </c>
      <c r="DR33" s="52">
        <v>0</v>
      </c>
      <c r="DS33" s="53">
        <v>0</v>
      </c>
      <c r="DT33" s="53">
        <v>0</v>
      </c>
      <c r="DU33" s="53">
        <v>0</v>
      </c>
      <c r="DV33" s="53">
        <v>0</v>
      </c>
      <c r="DW33" s="53">
        <v>0</v>
      </c>
      <c r="DX33" s="2"/>
      <c r="DY33" s="2"/>
      <c r="DZ33" s="46">
        <f t="shared" si="0"/>
        <v>0</v>
      </c>
      <c r="EA33" s="46">
        <f t="shared" si="1"/>
        <v>0</v>
      </c>
      <c r="EB33" s="46">
        <f t="shared" si="2"/>
        <v>0</v>
      </c>
      <c r="EC33" s="46">
        <f t="shared" si="3"/>
        <v>0</v>
      </c>
      <c r="ED33" s="46">
        <f t="shared" si="4"/>
        <v>0</v>
      </c>
      <c r="EE33" s="46">
        <f t="shared" si="5"/>
        <v>14100</v>
      </c>
      <c r="EF33" s="46">
        <f t="shared" si="6"/>
        <v>3924</v>
      </c>
      <c r="EG33" s="46">
        <f t="shared" si="7"/>
        <v>32</v>
      </c>
      <c r="EH33" s="46">
        <f t="shared" si="8"/>
        <v>20</v>
      </c>
      <c r="EI33" s="46">
        <f t="shared" si="10"/>
        <v>0</v>
      </c>
    </row>
    <row r="34" spans="3:139" ht="12">
      <c r="C34" s="36" t="s">
        <v>163</v>
      </c>
      <c r="D34" s="36" t="s">
        <v>154</v>
      </c>
      <c r="E34" s="36" t="s">
        <v>155</v>
      </c>
      <c r="F34" s="38">
        <f t="shared" si="9"/>
        <v>142021</v>
      </c>
      <c r="G34" s="37" t="s">
        <v>131</v>
      </c>
      <c r="H34" s="47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8"/>
      <c r="U34" s="48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8"/>
      <c r="AG34" s="48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1"/>
      <c r="CO34" s="51"/>
      <c r="CP34" s="51"/>
      <c r="CQ34" s="51"/>
      <c r="CR34" s="51"/>
      <c r="CS34" s="51"/>
      <c r="CT34" s="51"/>
      <c r="CU34" s="51"/>
      <c r="CV34" s="51">
        <v>3300</v>
      </c>
      <c r="CW34" s="51">
        <v>9620</v>
      </c>
      <c r="CX34" s="51">
        <v>6660</v>
      </c>
      <c r="CY34" s="51">
        <v>5260</v>
      </c>
      <c r="CZ34" s="51">
        <v>2600</v>
      </c>
      <c r="DA34" s="51">
        <v>12803</v>
      </c>
      <c r="DB34" s="51">
        <v>7861</v>
      </c>
      <c r="DC34" s="51">
        <v>7767</v>
      </c>
      <c r="DD34" s="51">
        <v>8866</v>
      </c>
      <c r="DE34" s="51">
        <v>4677</v>
      </c>
      <c r="DF34" s="52">
        <v>6837</v>
      </c>
      <c r="DG34" s="52">
        <v>6783</v>
      </c>
      <c r="DH34" s="52">
        <v>8661</v>
      </c>
      <c r="DI34" s="52">
        <v>7460</v>
      </c>
      <c r="DJ34" s="52">
        <v>7264</v>
      </c>
      <c r="DK34" s="52">
        <v>4548</v>
      </c>
      <c r="DL34" s="52">
        <v>8836</v>
      </c>
      <c r="DM34" s="52">
        <v>5415</v>
      </c>
      <c r="DN34" s="52">
        <v>3829</v>
      </c>
      <c r="DO34" s="52">
        <v>1621</v>
      </c>
      <c r="DP34" s="52">
        <v>6848</v>
      </c>
      <c r="DQ34" s="52">
        <v>4505</v>
      </c>
      <c r="DR34" s="52">
        <v>5413</v>
      </c>
      <c r="DS34" s="53">
        <v>7396</v>
      </c>
      <c r="DT34" s="53">
        <v>7396</v>
      </c>
      <c r="DU34" s="53">
        <v>4438</v>
      </c>
      <c r="DV34" s="53">
        <v>3402</v>
      </c>
      <c r="DW34" s="53">
        <v>2145</v>
      </c>
      <c r="DX34" s="2"/>
      <c r="DY34" s="2"/>
      <c r="DZ34" s="46">
        <f t="shared" si="0"/>
        <v>0</v>
      </c>
      <c r="EA34" s="46">
        <f t="shared" si="1"/>
        <v>0</v>
      </c>
      <c r="EB34" s="46">
        <f t="shared" si="2"/>
        <v>0</v>
      </c>
      <c r="EC34" s="46">
        <f t="shared" si="3"/>
        <v>0</v>
      </c>
      <c r="ED34" s="46">
        <f t="shared" si="4"/>
        <v>0</v>
      </c>
      <c r="EE34" s="46">
        <f t="shared" si="5"/>
        <v>0</v>
      </c>
      <c r="EF34" s="46">
        <f t="shared" si="6"/>
        <v>0</v>
      </c>
      <c r="EG34" s="46">
        <f t="shared" si="7"/>
        <v>24840</v>
      </c>
      <c r="EH34" s="46">
        <f t="shared" si="8"/>
        <v>81579</v>
      </c>
      <c r="EI34" s="46">
        <f t="shared" si="10"/>
        <v>19701</v>
      </c>
    </row>
    <row r="35" spans="3:139" ht="12">
      <c r="C35" s="36" t="s">
        <v>164</v>
      </c>
      <c r="D35" s="36" t="s">
        <v>165</v>
      </c>
      <c r="E35" s="36" t="s">
        <v>166</v>
      </c>
      <c r="F35" s="38">
        <f t="shared" si="9"/>
        <v>0</v>
      </c>
      <c r="G35" s="37" t="s">
        <v>167</v>
      </c>
      <c r="H35" s="47"/>
      <c r="I35" s="48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8"/>
      <c r="U35" s="48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8"/>
      <c r="AG35" s="48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50"/>
      <c r="BQ35" s="50"/>
      <c r="BR35" s="50"/>
      <c r="BS35" s="50">
        <v>0</v>
      </c>
      <c r="BT35" s="50">
        <v>0</v>
      </c>
      <c r="BU35" s="50">
        <v>0</v>
      </c>
      <c r="BV35" s="50"/>
      <c r="BW35" s="50">
        <v>0</v>
      </c>
      <c r="BX35" s="50"/>
      <c r="BY35" s="50"/>
      <c r="BZ35" s="50"/>
      <c r="CA35" s="50">
        <v>0</v>
      </c>
      <c r="CB35" s="50">
        <v>0</v>
      </c>
      <c r="CC35" s="50">
        <v>0</v>
      </c>
      <c r="CD35" s="50">
        <v>0</v>
      </c>
      <c r="CE35" s="50">
        <v>0</v>
      </c>
      <c r="CF35" s="50">
        <v>0</v>
      </c>
      <c r="CG35" s="50"/>
      <c r="CH35" s="50">
        <v>0</v>
      </c>
      <c r="CI35" s="50">
        <v>0</v>
      </c>
      <c r="CJ35" s="50">
        <v>0</v>
      </c>
      <c r="CK35" s="50">
        <v>0</v>
      </c>
      <c r="CL35" s="50">
        <v>0</v>
      </c>
      <c r="CM35" s="50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2">
        <v>0</v>
      </c>
      <c r="DG35" s="52">
        <v>0</v>
      </c>
      <c r="DH35" s="52">
        <v>0</v>
      </c>
      <c r="DI35" s="52">
        <v>0</v>
      </c>
      <c r="DJ35" s="52">
        <v>0</v>
      </c>
      <c r="DK35" s="52">
        <v>0</v>
      </c>
      <c r="DL35" s="52">
        <v>0</v>
      </c>
      <c r="DM35" s="52">
        <v>0</v>
      </c>
      <c r="DN35" s="52">
        <v>0</v>
      </c>
      <c r="DO35" s="52">
        <v>0</v>
      </c>
      <c r="DP35" s="52">
        <v>0</v>
      </c>
      <c r="DQ35" s="52">
        <v>0</v>
      </c>
      <c r="DR35" s="52">
        <v>0</v>
      </c>
      <c r="DS35" s="53">
        <v>0</v>
      </c>
      <c r="DT35" s="53">
        <v>0</v>
      </c>
      <c r="DU35" s="53">
        <v>0</v>
      </c>
      <c r="DV35" s="53">
        <v>0</v>
      </c>
      <c r="DW35" s="53">
        <v>0</v>
      </c>
      <c r="DX35" s="2"/>
      <c r="DY35" s="2"/>
      <c r="DZ35" s="46">
        <f t="shared" si="0"/>
        <v>0</v>
      </c>
      <c r="EA35" s="46">
        <f t="shared" si="1"/>
        <v>0</v>
      </c>
      <c r="EB35" s="46">
        <f t="shared" si="2"/>
        <v>0</v>
      </c>
      <c r="EC35" s="46">
        <f t="shared" si="3"/>
        <v>0</v>
      </c>
      <c r="ED35" s="46">
        <f t="shared" si="4"/>
        <v>0</v>
      </c>
      <c r="EE35" s="46">
        <f t="shared" si="5"/>
        <v>0</v>
      </c>
      <c r="EF35" s="46">
        <f t="shared" si="6"/>
        <v>0</v>
      </c>
      <c r="EG35" s="46">
        <f t="shared" si="7"/>
        <v>0</v>
      </c>
      <c r="EH35" s="46">
        <f t="shared" si="8"/>
        <v>0</v>
      </c>
      <c r="EI35" s="46">
        <f t="shared" si="10"/>
        <v>0</v>
      </c>
    </row>
    <row r="36" spans="3:139" ht="12">
      <c r="C36" s="36" t="s">
        <v>168</v>
      </c>
      <c r="D36" s="36" t="s">
        <v>165</v>
      </c>
      <c r="E36" s="36" t="s">
        <v>166</v>
      </c>
      <c r="F36" s="38">
        <f t="shared" si="9"/>
        <v>0</v>
      </c>
      <c r="G36" s="37" t="s">
        <v>167</v>
      </c>
      <c r="H36" s="47"/>
      <c r="I36" s="48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8"/>
      <c r="U36" s="48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8"/>
      <c r="AG36" s="48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50"/>
      <c r="BQ36" s="50"/>
      <c r="BR36" s="50"/>
      <c r="BS36" s="50">
        <v>0</v>
      </c>
      <c r="BT36" s="50">
        <v>0</v>
      </c>
      <c r="BU36" s="50">
        <v>0</v>
      </c>
      <c r="BV36" s="50"/>
      <c r="BW36" s="50">
        <v>0</v>
      </c>
      <c r="BX36" s="50"/>
      <c r="BY36" s="50"/>
      <c r="BZ36" s="50"/>
      <c r="CA36" s="50">
        <v>0</v>
      </c>
      <c r="CB36" s="50">
        <v>0</v>
      </c>
      <c r="CC36" s="50">
        <v>0</v>
      </c>
      <c r="CD36" s="50">
        <v>0</v>
      </c>
      <c r="CE36" s="50">
        <v>0</v>
      </c>
      <c r="CF36" s="50">
        <v>0</v>
      </c>
      <c r="CG36" s="50"/>
      <c r="CH36" s="50">
        <v>0</v>
      </c>
      <c r="CI36" s="50">
        <v>0</v>
      </c>
      <c r="CJ36" s="50">
        <v>0</v>
      </c>
      <c r="CK36" s="50">
        <v>0</v>
      </c>
      <c r="CL36" s="50">
        <v>0</v>
      </c>
      <c r="CM36" s="50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2">
        <v>0</v>
      </c>
      <c r="DG36" s="52">
        <v>0</v>
      </c>
      <c r="DH36" s="52">
        <v>0</v>
      </c>
      <c r="DI36" s="52">
        <v>0</v>
      </c>
      <c r="DJ36" s="52">
        <v>0</v>
      </c>
      <c r="DK36" s="52">
        <v>0</v>
      </c>
      <c r="DL36" s="52">
        <v>0</v>
      </c>
      <c r="DM36" s="52">
        <v>0</v>
      </c>
      <c r="DN36" s="52">
        <v>0</v>
      </c>
      <c r="DO36" s="52">
        <v>0</v>
      </c>
      <c r="DP36" s="52">
        <v>0</v>
      </c>
      <c r="DQ36" s="52">
        <v>0</v>
      </c>
      <c r="DR36" s="52">
        <v>0</v>
      </c>
      <c r="DS36" s="53">
        <v>0</v>
      </c>
      <c r="DT36" s="53">
        <v>0</v>
      </c>
      <c r="DU36" s="53">
        <v>0</v>
      </c>
      <c r="DV36" s="53">
        <v>0</v>
      </c>
      <c r="DW36" s="53">
        <v>0</v>
      </c>
      <c r="DX36" s="2"/>
      <c r="DY36" s="2"/>
      <c r="DZ36" s="46">
        <f t="shared" si="0"/>
        <v>0</v>
      </c>
      <c r="EA36" s="46">
        <f t="shared" si="1"/>
        <v>0</v>
      </c>
      <c r="EB36" s="46">
        <f t="shared" si="2"/>
        <v>0</v>
      </c>
      <c r="EC36" s="46">
        <f t="shared" si="3"/>
        <v>0</v>
      </c>
      <c r="ED36" s="46">
        <f t="shared" si="4"/>
        <v>0</v>
      </c>
      <c r="EE36" s="46">
        <f t="shared" si="5"/>
        <v>0</v>
      </c>
      <c r="EF36" s="46">
        <f t="shared" si="6"/>
        <v>0</v>
      </c>
      <c r="EG36" s="46">
        <f t="shared" si="7"/>
        <v>0</v>
      </c>
      <c r="EH36" s="46">
        <f t="shared" si="8"/>
        <v>0</v>
      </c>
      <c r="EI36" s="46">
        <f t="shared" si="10"/>
        <v>0</v>
      </c>
    </row>
    <row r="37" spans="3:139" ht="12">
      <c r="C37" s="36" t="s">
        <v>169</v>
      </c>
      <c r="D37" s="36" t="s">
        <v>165</v>
      </c>
      <c r="E37" s="36" t="s">
        <v>166</v>
      </c>
      <c r="F37" s="38">
        <f t="shared" si="9"/>
        <v>0</v>
      </c>
      <c r="G37" s="37" t="s">
        <v>167</v>
      </c>
      <c r="H37" s="47"/>
      <c r="I37" s="48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8"/>
      <c r="U37" s="48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8"/>
      <c r="AG37" s="48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50"/>
      <c r="BQ37" s="50"/>
      <c r="BR37" s="50"/>
      <c r="BS37" s="50">
        <v>0</v>
      </c>
      <c r="BT37" s="50">
        <v>0</v>
      </c>
      <c r="BU37" s="50">
        <v>0</v>
      </c>
      <c r="BV37" s="50"/>
      <c r="BW37" s="50">
        <v>0</v>
      </c>
      <c r="BX37" s="50"/>
      <c r="BY37" s="50"/>
      <c r="BZ37" s="50"/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/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2">
        <v>0</v>
      </c>
      <c r="DG37" s="52">
        <v>0</v>
      </c>
      <c r="DH37" s="52">
        <v>0</v>
      </c>
      <c r="DI37" s="52">
        <v>0</v>
      </c>
      <c r="DJ37" s="52">
        <v>0</v>
      </c>
      <c r="DK37" s="52">
        <v>0</v>
      </c>
      <c r="DL37" s="52">
        <v>0</v>
      </c>
      <c r="DM37" s="52">
        <v>0</v>
      </c>
      <c r="DN37" s="52">
        <v>0</v>
      </c>
      <c r="DO37" s="52">
        <v>0</v>
      </c>
      <c r="DP37" s="52">
        <v>0</v>
      </c>
      <c r="DQ37" s="52">
        <v>0</v>
      </c>
      <c r="DR37" s="52">
        <v>0</v>
      </c>
      <c r="DS37" s="53">
        <v>0</v>
      </c>
      <c r="DT37" s="53">
        <v>0</v>
      </c>
      <c r="DU37" s="53">
        <v>0</v>
      </c>
      <c r="DV37" s="53">
        <v>0</v>
      </c>
      <c r="DW37" s="53">
        <v>0</v>
      </c>
      <c r="DX37" s="2"/>
      <c r="DY37" s="2"/>
      <c r="DZ37" s="46">
        <f t="shared" si="0"/>
        <v>0</v>
      </c>
      <c r="EA37" s="46">
        <f t="shared" si="1"/>
        <v>0</v>
      </c>
      <c r="EB37" s="46">
        <f t="shared" si="2"/>
        <v>0</v>
      </c>
      <c r="EC37" s="46">
        <f t="shared" si="3"/>
        <v>0</v>
      </c>
      <c r="ED37" s="46">
        <f t="shared" si="4"/>
        <v>0</v>
      </c>
      <c r="EE37" s="46">
        <f t="shared" si="5"/>
        <v>0</v>
      </c>
      <c r="EF37" s="46">
        <f t="shared" si="6"/>
        <v>0</v>
      </c>
      <c r="EG37" s="46">
        <f t="shared" si="7"/>
        <v>0</v>
      </c>
      <c r="EH37" s="46">
        <f t="shared" si="8"/>
        <v>0</v>
      </c>
      <c r="EI37" s="46">
        <f t="shared" si="10"/>
        <v>0</v>
      </c>
    </row>
    <row r="38" spans="3:139" ht="12">
      <c r="C38" s="36" t="s">
        <v>170</v>
      </c>
      <c r="D38" s="36" t="s">
        <v>165</v>
      </c>
      <c r="E38" s="36" t="s">
        <v>166</v>
      </c>
      <c r="F38" s="38">
        <f t="shared" si="9"/>
        <v>0</v>
      </c>
      <c r="G38" s="37" t="s">
        <v>167</v>
      </c>
      <c r="H38" s="47"/>
      <c r="I38" s="48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8"/>
      <c r="U38" s="48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8"/>
      <c r="AG38" s="48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50"/>
      <c r="BQ38" s="50"/>
      <c r="BR38" s="50"/>
      <c r="BS38" s="50">
        <v>0</v>
      </c>
      <c r="BT38" s="50">
        <v>0</v>
      </c>
      <c r="BU38" s="50">
        <v>0</v>
      </c>
      <c r="BV38" s="50"/>
      <c r="BW38" s="50">
        <v>0</v>
      </c>
      <c r="BX38" s="50"/>
      <c r="BY38" s="50"/>
      <c r="BZ38" s="50"/>
      <c r="CA38" s="50">
        <v>0</v>
      </c>
      <c r="CB38" s="50">
        <v>0</v>
      </c>
      <c r="CC38" s="50">
        <v>0</v>
      </c>
      <c r="CD38" s="50">
        <v>0</v>
      </c>
      <c r="CE38" s="50">
        <v>0</v>
      </c>
      <c r="CF38" s="50">
        <v>0</v>
      </c>
      <c r="CG38" s="50"/>
      <c r="CH38" s="50">
        <v>0</v>
      </c>
      <c r="CI38" s="50">
        <v>0</v>
      </c>
      <c r="CJ38" s="50">
        <v>0</v>
      </c>
      <c r="CK38" s="50">
        <v>0</v>
      </c>
      <c r="CL38" s="50">
        <v>0</v>
      </c>
      <c r="CM38" s="50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2">
        <v>0</v>
      </c>
      <c r="DG38" s="52">
        <v>0</v>
      </c>
      <c r="DH38" s="52">
        <v>0</v>
      </c>
      <c r="DI38" s="52">
        <v>0</v>
      </c>
      <c r="DJ38" s="52">
        <v>0</v>
      </c>
      <c r="DK38" s="52">
        <v>0</v>
      </c>
      <c r="DL38" s="52">
        <v>0</v>
      </c>
      <c r="DM38" s="52">
        <v>0</v>
      </c>
      <c r="DN38" s="52">
        <v>0</v>
      </c>
      <c r="DO38" s="52">
        <v>0</v>
      </c>
      <c r="DP38" s="52">
        <v>0</v>
      </c>
      <c r="DQ38" s="52">
        <v>0</v>
      </c>
      <c r="DR38" s="52">
        <v>0</v>
      </c>
      <c r="DS38" s="53">
        <v>0</v>
      </c>
      <c r="DT38" s="53">
        <v>0</v>
      </c>
      <c r="DU38" s="53">
        <v>0</v>
      </c>
      <c r="DV38" s="53">
        <v>0</v>
      </c>
      <c r="DW38" s="53">
        <v>0</v>
      </c>
      <c r="DX38" s="2"/>
      <c r="DY38" s="2"/>
      <c r="DZ38" s="46">
        <f t="shared" si="0"/>
        <v>0</v>
      </c>
      <c r="EA38" s="46">
        <f t="shared" si="1"/>
        <v>0</v>
      </c>
      <c r="EB38" s="46">
        <f t="shared" si="2"/>
        <v>0</v>
      </c>
      <c r="EC38" s="46">
        <f t="shared" si="3"/>
        <v>0</v>
      </c>
      <c r="ED38" s="46">
        <f t="shared" si="4"/>
        <v>0</v>
      </c>
      <c r="EE38" s="46">
        <f t="shared" si="5"/>
        <v>0</v>
      </c>
      <c r="EF38" s="46">
        <f t="shared" si="6"/>
        <v>0</v>
      </c>
      <c r="EG38" s="46">
        <f t="shared" si="7"/>
        <v>0</v>
      </c>
      <c r="EH38" s="46">
        <f t="shared" si="8"/>
        <v>0</v>
      </c>
      <c r="EI38" s="46">
        <f t="shared" si="10"/>
        <v>0</v>
      </c>
    </row>
    <row r="39" spans="3:139" ht="12">
      <c r="C39" s="36" t="s">
        <v>171</v>
      </c>
      <c r="D39" s="36" t="s">
        <v>165</v>
      </c>
      <c r="E39" s="36" t="s">
        <v>166</v>
      </c>
      <c r="F39" s="38">
        <f t="shared" si="9"/>
        <v>0</v>
      </c>
      <c r="G39" s="37" t="s">
        <v>167</v>
      </c>
      <c r="H39" s="47"/>
      <c r="I39" s="48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8"/>
      <c r="U39" s="48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8"/>
      <c r="AG39" s="48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50"/>
      <c r="BQ39" s="50"/>
      <c r="BR39" s="50"/>
      <c r="BS39" s="50">
        <v>0</v>
      </c>
      <c r="BT39" s="50">
        <v>0</v>
      </c>
      <c r="BU39" s="50">
        <v>0</v>
      </c>
      <c r="BV39" s="50"/>
      <c r="BW39" s="50">
        <v>0</v>
      </c>
      <c r="BX39" s="50"/>
      <c r="BY39" s="50"/>
      <c r="BZ39" s="50"/>
      <c r="CA39" s="50">
        <v>0</v>
      </c>
      <c r="CB39" s="50">
        <v>0</v>
      </c>
      <c r="CC39" s="50">
        <v>0</v>
      </c>
      <c r="CD39" s="50">
        <v>0</v>
      </c>
      <c r="CE39" s="50">
        <v>0</v>
      </c>
      <c r="CF39" s="50">
        <v>0</v>
      </c>
      <c r="CG39" s="50"/>
      <c r="CH39" s="50">
        <v>0</v>
      </c>
      <c r="CI39" s="50">
        <v>0</v>
      </c>
      <c r="CJ39" s="50">
        <v>0</v>
      </c>
      <c r="CK39" s="50">
        <v>0</v>
      </c>
      <c r="CL39" s="50">
        <v>0</v>
      </c>
      <c r="CM39" s="50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2">
        <v>0</v>
      </c>
      <c r="DG39" s="52">
        <v>0</v>
      </c>
      <c r="DH39" s="52">
        <v>0</v>
      </c>
      <c r="DI39" s="52">
        <v>0</v>
      </c>
      <c r="DJ39" s="52">
        <v>0</v>
      </c>
      <c r="DK39" s="52">
        <v>0</v>
      </c>
      <c r="DL39" s="52">
        <v>0</v>
      </c>
      <c r="DM39" s="52">
        <v>0</v>
      </c>
      <c r="DN39" s="52">
        <v>0</v>
      </c>
      <c r="DO39" s="52">
        <v>0</v>
      </c>
      <c r="DP39" s="52">
        <v>0</v>
      </c>
      <c r="DQ39" s="52">
        <v>0</v>
      </c>
      <c r="DR39" s="52">
        <v>0</v>
      </c>
      <c r="DS39" s="53">
        <v>0</v>
      </c>
      <c r="DT39" s="53">
        <v>0</v>
      </c>
      <c r="DU39" s="53">
        <v>0</v>
      </c>
      <c r="DV39" s="53">
        <v>0</v>
      </c>
      <c r="DW39" s="53">
        <v>0</v>
      </c>
      <c r="DX39" s="2"/>
      <c r="DY39" s="2"/>
      <c r="DZ39" s="46">
        <f t="shared" si="0"/>
        <v>0</v>
      </c>
      <c r="EA39" s="46">
        <f t="shared" si="1"/>
        <v>0</v>
      </c>
      <c r="EB39" s="46">
        <f t="shared" si="2"/>
        <v>0</v>
      </c>
      <c r="EC39" s="46">
        <f t="shared" si="3"/>
        <v>0</v>
      </c>
      <c r="ED39" s="46">
        <f t="shared" si="4"/>
        <v>0</v>
      </c>
      <c r="EE39" s="46">
        <f t="shared" si="5"/>
        <v>0</v>
      </c>
      <c r="EF39" s="46">
        <f t="shared" si="6"/>
        <v>0</v>
      </c>
      <c r="EG39" s="46">
        <f t="shared" si="7"/>
        <v>0</v>
      </c>
      <c r="EH39" s="46">
        <f t="shared" si="8"/>
        <v>0</v>
      </c>
      <c r="EI39" s="46">
        <f t="shared" si="10"/>
        <v>0</v>
      </c>
    </row>
    <row r="40" spans="3:139" ht="12">
      <c r="C40" s="36" t="s">
        <v>172</v>
      </c>
      <c r="D40" s="36" t="s">
        <v>165</v>
      </c>
      <c r="E40" s="36" t="s">
        <v>166</v>
      </c>
      <c r="F40" s="38">
        <f t="shared" si="9"/>
        <v>20</v>
      </c>
      <c r="G40" s="37" t="s">
        <v>167</v>
      </c>
      <c r="H40" s="47"/>
      <c r="I40" s="48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8"/>
      <c r="U40" s="48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8"/>
      <c r="AG40" s="48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>
        <v>20</v>
      </c>
      <c r="AY40" s="49"/>
      <c r="AZ40" s="49">
        <v>0</v>
      </c>
      <c r="BA40" s="49">
        <v>0</v>
      </c>
      <c r="BB40" s="49">
        <v>0</v>
      </c>
      <c r="BC40" s="49">
        <v>0</v>
      </c>
      <c r="BD40" s="49">
        <v>0</v>
      </c>
      <c r="BE40" s="49">
        <v>0</v>
      </c>
      <c r="BF40" s="49"/>
      <c r="BG40" s="49"/>
      <c r="BH40" s="49"/>
      <c r="BI40" s="49">
        <v>0</v>
      </c>
      <c r="BJ40" s="49"/>
      <c r="BK40" s="49"/>
      <c r="BL40" s="49">
        <v>0</v>
      </c>
      <c r="BM40" s="49"/>
      <c r="BN40" s="49">
        <v>0</v>
      </c>
      <c r="BO40" s="49"/>
      <c r="BP40" s="50">
        <v>0</v>
      </c>
      <c r="BQ40" s="50">
        <v>0</v>
      </c>
      <c r="BR40" s="50"/>
      <c r="BS40" s="50">
        <v>0</v>
      </c>
      <c r="BT40" s="50">
        <v>0</v>
      </c>
      <c r="BU40" s="50">
        <v>0</v>
      </c>
      <c r="BV40" s="50"/>
      <c r="BW40" s="50">
        <v>0</v>
      </c>
      <c r="BX40" s="50"/>
      <c r="BY40" s="50"/>
      <c r="BZ40" s="50"/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/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2">
        <v>0</v>
      </c>
      <c r="DG40" s="52">
        <v>0</v>
      </c>
      <c r="DH40" s="52">
        <v>0</v>
      </c>
      <c r="DI40" s="52">
        <v>0</v>
      </c>
      <c r="DJ40" s="52">
        <v>0</v>
      </c>
      <c r="DK40" s="52">
        <v>0</v>
      </c>
      <c r="DL40" s="52">
        <v>0</v>
      </c>
      <c r="DM40" s="52">
        <v>0</v>
      </c>
      <c r="DN40" s="52">
        <v>0</v>
      </c>
      <c r="DO40" s="52">
        <v>0</v>
      </c>
      <c r="DP40" s="52">
        <v>0</v>
      </c>
      <c r="DQ40" s="52">
        <v>0</v>
      </c>
      <c r="DR40" s="52">
        <v>0</v>
      </c>
      <c r="DS40" s="54">
        <v>0</v>
      </c>
      <c r="DT40" s="54">
        <v>0</v>
      </c>
      <c r="DU40" s="54">
        <v>0</v>
      </c>
      <c r="DV40" s="54">
        <v>0</v>
      </c>
      <c r="DW40" s="54">
        <v>0</v>
      </c>
      <c r="DX40" s="2"/>
      <c r="DY40" s="2"/>
      <c r="DZ40" s="46">
        <f t="shared" si="0"/>
        <v>0</v>
      </c>
      <c r="EA40" s="46">
        <f t="shared" si="1"/>
        <v>0</v>
      </c>
      <c r="EB40" s="46">
        <f t="shared" si="2"/>
        <v>0</v>
      </c>
      <c r="EC40" s="46">
        <f t="shared" si="3"/>
        <v>20</v>
      </c>
      <c r="ED40" s="46">
        <f t="shared" si="4"/>
        <v>0</v>
      </c>
      <c r="EE40" s="46">
        <f t="shared" si="5"/>
        <v>0</v>
      </c>
      <c r="EF40" s="46">
        <f t="shared" si="6"/>
        <v>0</v>
      </c>
      <c r="EG40" s="46">
        <f t="shared" si="7"/>
        <v>0</v>
      </c>
      <c r="EH40" s="46">
        <f t="shared" si="8"/>
        <v>0</v>
      </c>
      <c r="EI40" s="46">
        <f t="shared" si="10"/>
        <v>0</v>
      </c>
    </row>
    <row r="41" spans="3:139" ht="12">
      <c r="C41" s="36" t="s">
        <v>173</v>
      </c>
      <c r="D41" s="36" t="s">
        <v>165</v>
      </c>
      <c r="E41" s="36" t="s">
        <v>166</v>
      </c>
      <c r="F41" s="38">
        <f t="shared" si="9"/>
        <v>179</v>
      </c>
      <c r="G41" s="37" t="s">
        <v>167</v>
      </c>
      <c r="H41" s="47"/>
      <c r="I41" s="48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8"/>
      <c r="U41" s="48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8"/>
      <c r="AG41" s="48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>
        <v>180</v>
      </c>
      <c r="AY41" s="49"/>
      <c r="AZ41" s="49">
        <v>0</v>
      </c>
      <c r="BA41" s="49">
        <v>0</v>
      </c>
      <c r="BB41" s="49">
        <v>0</v>
      </c>
      <c r="BC41" s="49">
        <v>0</v>
      </c>
      <c r="BD41" s="49">
        <v>0</v>
      </c>
      <c r="BE41" s="49">
        <v>0</v>
      </c>
      <c r="BF41" s="49"/>
      <c r="BG41" s="49"/>
      <c r="BH41" s="49"/>
      <c r="BI41" s="49">
        <v>0</v>
      </c>
      <c r="BJ41" s="49"/>
      <c r="BK41" s="49"/>
      <c r="BL41" s="49">
        <v>0</v>
      </c>
      <c r="BM41" s="49"/>
      <c r="BN41" s="49">
        <v>0</v>
      </c>
      <c r="BO41" s="49"/>
      <c r="BP41" s="50">
        <v>0</v>
      </c>
      <c r="BQ41" s="50">
        <v>0</v>
      </c>
      <c r="BR41" s="50"/>
      <c r="BS41" s="50">
        <v>0</v>
      </c>
      <c r="BT41" s="50">
        <v>0</v>
      </c>
      <c r="BU41" s="50">
        <v>0</v>
      </c>
      <c r="BV41" s="50"/>
      <c r="BW41" s="50">
        <v>0</v>
      </c>
      <c r="BX41" s="50"/>
      <c r="BY41" s="50"/>
      <c r="BZ41" s="50"/>
      <c r="CA41" s="50">
        <v>0</v>
      </c>
      <c r="CB41" s="50">
        <v>0</v>
      </c>
      <c r="CC41" s="50">
        <v>0</v>
      </c>
      <c r="CD41" s="50">
        <v>-1</v>
      </c>
      <c r="CE41" s="50">
        <v>0</v>
      </c>
      <c r="CF41" s="50">
        <v>0</v>
      </c>
      <c r="CG41" s="50"/>
      <c r="CH41" s="50">
        <v>0</v>
      </c>
      <c r="CI41" s="50">
        <v>0</v>
      </c>
      <c r="CJ41" s="50">
        <v>0</v>
      </c>
      <c r="CK41" s="50">
        <v>0</v>
      </c>
      <c r="CL41" s="50">
        <v>0</v>
      </c>
      <c r="CM41" s="50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2">
        <v>0</v>
      </c>
      <c r="DG41" s="52">
        <v>0</v>
      </c>
      <c r="DH41" s="52">
        <v>0</v>
      </c>
      <c r="DI41" s="52">
        <v>0</v>
      </c>
      <c r="DJ41" s="52">
        <v>0</v>
      </c>
      <c r="DK41" s="52">
        <v>0</v>
      </c>
      <c r="DL41" s="52">
        <v>0</v>
      </c>
      <c r="DM41" s="52">
        <v>0</v>
      </c>
      <c r="DN41" s="52">
        <v>0</v>
      </c>
      <c r="DO41" s="52">
        <v>0</v>
      </c>
      <c r="DP41" s="52">
        <v>0</v>
      </c>
      <c r="DQ41" s="52">
        <v>0</v>
      </c>
      <c r="DR41" s="52">
        <v>0</v>
      </c>
      <c r="DS41" s="53">
        <v>0</v>
      </c>
      <c r="DT41" s="53">
        <v>0</v>
      </c>
      <c r="DU41" s="53">
        <v>0</v>
      </c>
      <c r="DV41" s="53">
        <v>0</v>
      </c>
      <c r="DW41" s="53">
        <v>0</v>
      </c>
      <c r="DX41" s="2"/>
      <c r="DY41" s="2"/>
      <c r="DZ41" s="46">
        <f t="shared" si="0"/>
        <v>0</v>
      </c>
      <c r="EA41" s="46">
        <f t="shared" si="1"/>
        <v>0</v>
      </c>
      <c r="EB41" s="46">
        <f t="shared" si="2"/>
        <v>0</v>
      </c>
      <c r="EC41" s="46">
        <f t="shared" si="3"/>
        <v>180</v>
      </c>
      <c r="ED41" s="46">
        <f t="shared" si="4"/>
        <v>0</v>
      </c>
      <c r="EE41" s="46">
        <f t="shared" si="5"/>
        <v>0</v>
      </c>
      <c r="EF41" s="46">
        <f t="shared" si="6"/>
        <v>-1</v>
      </c>
      <c r="EG41" s="46">
        <f t="shared" si="7"/>
        <v>0</v>
      </c>
      <c r="EH41" s="46">
        <f t="shared" si="8"/>
        <v>0</v>
      </c>
      <c r="EI41" s="46">
        <f t="shared" si="10"/>
        <v>0</v>
      </c>
    </row>
    <row r="42" spans="3:139" ht="12">
      <c r="C42" s="36" t="s">
        <v>174</v>
      </c>
      <c r="D42" s="36" t="s">
        <v>175</v>
      </c>
      <c r="E42" s="36" t="s">
        <v>176</v>
      </c>
      <c r="F42" s="38">
        <f t="shared" si="9"/>
        <v>40610</v>
      </c>
      <c r="G42" s="37" t="s">
        <v>167</v>
      </c>
      <c r="H42" s="47"/>
      <c r="I42" s="48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8"/>
      <c r="U42" s="48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8"/>
      <c r="AG42" s="48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50"/>
      <c r="BQ42" s="50"/>
      <c r="BR42" s="50"/>
      <c r="BS42" s="50"/>
      <c r="BT42" s="50">
        <v>10</v>
      </c>
      <c r="BU42" s="50">
        <v>0</v>
      </c>
      <c r="BV42" s="50"/>
      <c r="BW42" s="50">
        <v>0</v>
      </c>
      <c r="BX42" s="50"/>
      <c r="BY42" s="50"/>
      <c r="BZ42" s="50"/>
      <c r="CA42" s="50">
        <v>3960</v>
      </c>
      <c r="CB42" s="50">
        <v>320</v>
      </c>
      <c r="CC42" s="50">
        <v>359</v>
      </c>
      <c r="CD42" s="50">
        <v>700</v>
      </c>
      <c r="CE42" s="50">
        <v>140</v>
      </c>
      <c r="CF42" s="50">
        <v>340</v>
      </c>
      <c r="CG42" s="50">
        <v>1480</v>
      </c>
      <c r="CH42" s="50">
        <v>406</v>
      </c>
      <c r="CI42" s="50">
        <v>340</v>
      </c>
      <c r="CJ42" s="50">
        <v>1100</v>
      </c>
      <c r="CK42" s="50">
        <v>1797</v>
      </c>
      <c r="CL42" s="50">
        <v>843</v>
      </c>
      <c r="CM42" s="50">
        <v>1600</v>
      </c>
      <c r="CN42" s="51">
        <v>2557</v>
      </c>
      <c r="CO42" s="51">
        <v>3204</v>
      </c>
      <c r="CP42" s="51">
        <v>1679</v>
      </c>
      <c r="CQ42" s="51">
        <v>4246</v>
      </c>
      <c r="CR42" s="51">
        <v>2108</v>
      </c>
      <c r="CS42" s="51">
        <v>860</v>
      </c>
      <c r="CT42" s="51">
        <v>1240</v>
      </c>
      <c r="CU42" s="51">
        <v>1680</v>
      </c>
      <c r="CV42" s="51">
        <v>1940</v>
      </c>
      <c r="CW42" s="51">
        <v>2752</v>
      </c>
      <c r="CX42" s="51">
        <v>1035</v>
      </c>
      <c r="CY42" s="51">
        <v>740</v>
      </c>
      <c r="CZ42" s="51">
        <v>1700</v>
      </c>
      <c r="DA42" s="51">
        <v>159</v>
      </c>
      <c r="DB42" s="51">
        <v>608</v>
      </c>
      <c r="DC42" s="51">
        <v>684</v>
      </c>
      <c r="DD42" s="51">
        <v>3</v>
      </c>
      <c r="DE42" s="51">
        <v>1</v>
      </c>
      <c r="DF42" s="52">
        <v>0</v>
      </c>
      <c r="DG42" s="52">
        <v>0</v>
      </c>
      <c r="DH42" s="52">
        <v>0</v>
      </c>
      <c r="DI42" s="52">
        <v>0</v>
      </c>
      <c r="DJ42" s="52">
        <v>0</v>
      </c>
      <c r="DK42" s="52">
        <v>0</v>
      </c>
      <c r="DL42" s="52">
        <v>0</v>
      </c>
      <c r="DM42" s="52">
        <v>0</v>
      </c>
      <c r="DN42" s="52">
        <v>0</v>
      </c>
      <c r="DO42" s="52">
        <v>19</v>
      </c>
      <c r="DP42" s="52">
        <v>0</v>
      </c>
      <c r="DQ42" s="52">
        <v>0</v>
      </c>
      <c r="DR42" s="52">
        <v>108</v>
      </c>
      <c r="DS42" s="53">
        <v>0</v>
      </c>
      <c r="DT42" s="53">
        <v>0</v>
      </c>
      <c r="DU42" s="53">
        <v>0</v>
      </c>
      <c r="DV42" s="53">
        <v>0</v>
      </c>
      <c r="DW42" s="53">
        <v>0</v>
      </c>
      <c r="DX42" s="2"/>
      <c r="DY42" s="2"/>
      <c r="DZ42" s="46">
        <f t="shared" si="0"/>
        <v>0</v>
      </c>
      <c r="EA42" s="46">
        <f t="shared" si="1"/>
        <v>0</v>
      </c>
      <c r="EB42" s="46">
        <f t="shared" si="2"/>
        <v>0</v>
      </c>
      <c r="EC42" s="46">
        <f t="shared" si="3"/>
        <v>0</v>
      </c>
      <c r="ED42" s="46">
        <f t="shared" si="4"/>
        <v>0</v>
      </c>
      <c r="EE42" s="46">
        <f t="shared" si="5"/>
        <v>3970</v>
      </c>
      <c r="EF42" s="46">
        <f t="shared" si="6"/>
        <v>9425</v>
      </c>
      <c r="EG42" s="46">
        <f t="shared" si="7"/>
        <v>24041</v>
      </c>
      <c r="EH42" s="46">
        <f t="shared" si="8"/>
        <v>3155</v>
      </c>
      <c r="EI42" s="46">
        <f t="shared" si="10"/>
        <v>19</v>
      </c>
    </row>
    <row r="43" spans="3:139" ht="12">
      <c r="C43" s="36" t="s">
        <v>177</v>
      </c>
      <c r="D43" s="36" t="s">
        <v>165</v>
      </c>
      <c r="E43" s="36" t="s">
        <v>166</v>
      </c>
      <c r="F43" s="38">
        <f t="shared" si="9"/>
        <v>5317</v>
      </c>
      <c r="G43" s="37" t="s">
        <v>167</v>
      </c>
      <c r="H43" s="47"/>
      <c r="I43" s="48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8"/>
      <c r="U43" s="48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8"/>
      <c r="AG43" s="48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>
        <v>40</v>
      </c>
      <c r="BA43" s="49">
        <v>0</v>
      </c>
      <c r="BB43" s="49">
        <v>20</v>
      </c>
      <c r="BC43" s="49">
        <v>400</v>
      </c>
      <c r="BD43" s="49">
        <v>780</v>
      </c>
      <c r="BE43" s="49">
        <v>0</v>
      </c>
      <c r="BF43" s="49">
        <v>300</v>
      </c>
      <c r="BG43" s="49">
        <v>300</v>
      </c>
      <c r="BH43" s="49">
        <v>100</v>
      </c>
      <c r="BI43" s="49">
        <v>0</v>
      </c>
      <c r="BJ43" s="49">
        <v>820</v>
      </c>
      <c r="BK43" s="49"/>
      <c r="BL43" s="49">
        <v>100</v>
      </c>
      <c r="BM43" s="49"/>
      <c r="BN43" s="49">
        <v>0</v>
      </c>
      <c r="BO43" s="49">
        <v>160</v>
      </c>
      <c r="BP43" s="50">
        <v>0</v>
      </c>
      <c r="BQ43" s="50">
        <v>340</v>
      </c>
      <c r="BR43" s="50">
        <v>460</v>
      </c>
      <c r="BS43" s="50">
        <v>0</v>
      </c>
      <c r="BT43" s="50">
        <v>600</v>
      </c>
      <c r="BU43" s="50">
        <v>0</v>
      </c>
      <c r="BV43" s="50">
        <v>0</v>
      </c>
      <c r="BW43" s="50">
        <v>200</v>
      </c>
      <c r="BX43" s="50"/>
      <c r="BY43" s="50"/>
      <c r="BZ43" s="50">
        <v>394</v>
      </c>
      <c r="CA43" s="50">
        <v>0</v>
      </c>
      <c r="CB43" s="50">
        <v>0</v>
      </c>
      <c r="CC43" s="50">
        <v>27</v>
      </c>
      <c r="CD43" s="50">
        <v>196</v>
      </c>
      <c r="CE43" s="50">
        <v>0</v>
      </c>
      <c r="CF43" s="50">
        <v>0</v>
      </c>
      <c r="CG43" s="50">
        <v>80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2">
        <v>0</v>
      </c>
      <c r="DG43" s="52">
        <v>0</v>
      </c>
      <c r="DH43" s="52">
        <v>0</v>
      </c>
      <c r="DI43" s="52">
        <v>0</v>
      </c>
      <c r="DJ43" s="52">
        <v>0</v>
      </c>
      <c r="DK43" s="52">
        <v>0</v>
      </c>
      <c r="DL43" s="52">
        <v>0</v>
      </c>
      <c r="DM43" s="52">
        <v>0</v>
      </c>
      <c r="DN43" s="52">
        <v>0</v>
      </c>
      <c r="DO43" s="52">
        <v>0</v>
      </c>
      <c r="DP43" s="52">
        <v>0</v>
      </c>
      <c r="DQ43" s="52">
        <v>0</v>
      </c>
      <c r="DR43" s="52">
        <v>0</v>
      </c>
      <c r="DS43" s="53">
        <v>0</v>
      </c>
      <c r="DT43" s="53">
        <v>0</v>
      </c>
      <c r="DU43" s="53">
        <v>0</v>
      </c>
      <c r="DV43" s="53">
        <v>0</v>
      </c>
      <c r="DW43" s="53">
        <v>0</v>
      </c>
      <c r="DX43" s="2"/>
      <c r="DY43" s="2"/>
      <c r="DZ43" s="46">
        <f t="shared" si="0"/>
        <v>0</v>
      </c>
      <c r="EA43" s="46">
        <f t="shared" si="1"/>
        <v>0</v>
      </c>
      <c r="EB43" s="46">
        <f t="shared" si="2"/>
        <v>0</v>
      </c>
      <c r="EC43" s="46">
        <f t="shared" si="3"/>
        <v>460</v>
      </c>
      <c r="ED43" s="46">
        <f t="shared" si="4"/>
        <v>2560</v>
      </c>
      <c r="EE43" s="46">
        <f t="shared" si="5"/>
        <v>1994</v>
      </c>
      <c r="EF43" s="46">
        <f t="shared" si="6"/>
        <v>303</v>
      </c>
      <c r="EG43" s="46">
        <f t="shared" si="7"/>
        <v>0</v>
      </c>
      <c r="EH43" s="46">
        <f t="shared" si="8"/>
        <v>0</v>
      </c>
      <c r="EI43" s="46">
        <f t="shared" si="10"/>
        <v>0</v>
      </c>
    </row>
    <row r="44" spans="3:139" ht="12">
      <c r="C44" s="36" t="s">
        <v>178</v>
      </c>
      <c r="D44" s="36" t="s">
        <v>175</v>
      </c>
      <c r="E44" s="36" t="s">
        <v>176</v>
      </c>
      <c r="F44" s="38">
        <f t="shared" si="9"/>
        <v>20</v>
      </c>
      <c r="G44" s="37" t="s">
        <v>167</v>
      </c>
      <c r="H44" s="47"/>
      <c r="I44" s="48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8"/>
      <c r="U44" s="48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8"/>
      <c r="AG44" s="48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50"/>
      <c r="BQ44" s="50"/>
      <c r="BR44" s="50"/>
      <c r="BS44" s="50"/>
      <c r="BT44" s="50">
        <v>10</v>
      </c>
      <c r="BU44" s="50">
        <v>0</v>
      </c>
      <c r="BV44" s="50"/>
      <c r="BW44" s="50">
        <v>0</v>
      </c>
      <c r="BX44" s="50"/>
      <c r="BY44" s="50"/>
      <c r="BZ44" s="50">
        <v>10</v>
      </c>
      <c r="CA44" s="50">
        <v>0</v>
      </c>
      <c r="CB44" s="50">
        <v>0</v>
      </c>
      <c r="CC44" s="50">
        <v>0</v>
      </c>
      <c r="CD44" s="50">
        <v>0</v>
      </c>
      <c r="CE44" s="50">
        <v>0</v>
      </c>
      <c r="CF44" s="50">
        <v>0</v>
      </c>
      <c r="CG44" s="50"/>
      <c r="CH44" s="50">
        <v>0</v>
      </c>
      <c r="CI44" s="50">
        <v>0</v>
      </c>
      <c r="CJ44" s="50">
        <v>0</v>
      </c>
      <c r="CK44" s="50">
        <v>0</v>
      </c>
      <c r="CL44" s="50">
        <v>0</v>
      </c>
      <c r="CM44" s="50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2">
        <v>0</v>
      </c>
      <c r="DG44" s="52">
        <v>0</v>
      </c>
      <c r="DH44" s="52">
        <v>0</v>
      </c>
      <c r="DI44" s="52">
        <v>0</v>
      </c>
      <c r="DJ44" s="52">
        <v>0</v>
      </c>
      <c r="DK44" s="52">
        <v>0</v>
      </c>
      <c r="DL44" s="52">
        <v>0</v>
      </c>
      <c r="DM44" s="52">
        <v>0</v>
      </c>
      <c r="DN44" s="52">
        <v>0</v>
      </c>
      <c r="DO44" s="52">
        <v>0</v>
      </c>
      <c r="DP44" s="52">
        <v>0</v>
      </c>
      <c r="DQ44" s="52">
        <v>0</v>
      </c>
      <c r="DR44" s="52">
        <v>0</v>
      </c>
      <c r="DS44" s="53">
        <v>0</v>
      </c>
      <c r="DT44" s="53">
        <v>0</v>
      </c>
      <c r="DU44" s="53">
        <v>0</v>
      </c>
      <c r="DV44" s="53">
        <v>0</v>
      </c>
      <c r="DW44" s="53">
        <v>0</v>
      </c>
      <c r="DX44" s="2"/>
      <c r="DY44" s="2"/>
      <c r="DZ44" s="46">
        <f t="shared" si="0"/>
        <v>0</v>
      </c>
      <c r="EA44" s="46">
        <f t="shared" si="1"/>
        <v>0</v>
      </c>
      <c r="EB44" s="46">
        <f t="shared" si="2"/>
        <v>0</v>
      </c>
      <c r="EC44" s="46">
        <f t="shared" si="3"/>
        <v>0</v>
      </c>
      <c r="ED44" s="46">
        <f t="shared" si="4"/>
        <v>0</v>
      </c>
      <c r="EE44" s="46">
        <f t="shared" si="5"/>
        <v>20</v>
      </c>
      <c r="EF44" s="46">
        <f t="shared" si="6"/>
        <v>0</v>
      </c>
      <c r="EG44" s="46">
        <f t="shared" si="7"/>
        <v>0</v>
      </c>
      <c r="EH44" s="46">
        <f t="shared" si="8"/>
        <v>0</v>
      </c>
      <c r="EI44" s="46">
        <f t="shared" si="10"/>
        <v>0</v>
      </c>
    </row>
    <row r="45" spans="3:139" ht="12">
      <c r="C45" s="36" t="s">
        <v>179</v>
      </c>
      <c r="D45" s="36" t="s">
        <v>175</v>
      </c>
      <c r="E45" s="36" t="s">
        <v>176</v>
      </c>
      <c r="F45" s="38">
        <f t="shared" si="9"/>
        <v>1290</v>
      </c>
      <c r="G45" s="37" t="s">
        <v>167</v>
      </c>
      <c r="H45" s="47"/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8"/>
      <c r="U45" s="48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8"/>
      <c r="AG45" s="48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50"/>
      <c r="BQ45" s="50"/>
      <c r="BR45" s="50"/>
      <c r="BS45" s="50"/>
      <c r="BT45" s="50">
        <v>10</v>
      </c>
      <c r="BU45" s="50">
        <v>0</v>
      </c>
      <c r="BV45" s="50"/>
      <c r="BW45" s="50">
        <v>0</v>
      </c>
      <c r="BX45" s="50"/>
      <c r="BY45" s="50"/>
      <c r="BZ45" s="50"/>
      <c r="CA45" s="50">
        <v>0</v>
      </c>
      <c r="CB45" s="50">
        <v>0</v>
      </c>
      <c r="CC45" s="50">
        <v>0</v>
      </c>
      <c r="CD45" s="50">
        <v>354</v>
      </c>
      <c r="CE45" s="50">
        <v>0</v>
      </c>
      <c r="CF45" s="50">
        <v>0</v>
      </c>
      <c r="CG45" s="50">
        <v>80</v>
      </c>
      <c r="CH45" s="50">
        <v>134</v>
      </c>
      <c r="CI45" s="50">
        <v>4</v>
      </c>
      <c r="CJ45" s="50">
        <v>0</v>
      </c>
      <c r="CK45" s="50">
        <v>149</v>
      </c>
      <c r="CL45" s="50">
        <v>188</v>
      </c>
      <c r="CM45" s="50">
        <v>353</v>
      </c>
      <c r="CN45" s="51">
        <v>18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2">
        <v>0</v>
      </c>
      <c r="DG45" s="52">
        <v>0</v>
      </c>
      <c r="DH45" s="52">
        <v>0</v>
      </c>
      <c r="DI45" s="52">
        <v>0</v>
      </c>
      <c r="DJ45" s="52">
        <v>0</v>
      </c>
      <c r="DK45" s="52">
        <v>0</v>
      </c>
      <c r="DL45" s="52">
        <v>0</v>
      </c>
      <c r="DM45" s="52">
        <v>0</v>
      </c>
      <c r="DN45" s="52">
        <v>0</v>
      </c>
      <c r="DO45" s="52">
        <v>0</v>
      </c>
      <c r="DP45" s="52">
        <v>0</v>
      </c>
      <c r="DQ45" s="52">
        <v>0</v>
      </c>
      <c r="DR45" s="52">
        <v>0</v>
      </c>
      <c r="DS45" s="53">
        <v>0</v>
      </c>
      <c r="DT45" s="53">
        <v>0</v>
      </c>
      <c r="DU45" s="53">
        <v>0</v>
      </c>
      <c r="DV45" s="53">
        <v>0</v>
      </c>
      <c r="DW45" s="53">
        <v>0</v>
      </c>
      <c r="DX45" s="2"/>
      <c r="DY45" s="2"/>
      <c r="DZ45" s="46">
        <f t="shared" si="0"/>
        <v>0</v>
      </c>
      <c r="EA45" s="46">
        <f t="shared" si="1"/>
        <v>0</v>
      </c>
      <c r="EB45" s="46">
        <f t="shared" si="2"/>
        <v>0</v>
      </c>
      <c r="EC45" s="46">
        <f t="shared" si="3"/>
        <v>0</v>
      </c>
      <c r="ED45" s="46">
        <f t="shared" si="4"/>
        <v>0</v>
      </c>
      <c r="EE45" s="46">
        <f t="shared" si="5"/>
        <v>10</v>
      </c>
      <c r="EF45" s="46">
        <f t="shared" si="6"/>
        <v>1262</v>
      </c>
      <c r="EG45" s="46">
        <f t="shared" si="7"/>
        <v>18</v>
      </c>
      <c r="EH45" s="46">
        <f t="shared" si="8"/>
        <v>0</v>
      </c>
      <c r="EI45" s="46">
        <f t="shared" si="10"/>
        <v>0</v>
      </c>
    </row>
    <row r="46" spans="3:139" ht="12">
      <c r="C46" s="36" t="s">
        <v>180</v>
      </c>
      <c r="D46" s="36" t="s">
        <v>165</v>
      </c>
      <c r="E46" s="36" t="s">
        <v>166</v>
      </c>
      <c r="F46" s="38">
        <f t="shared" si="9"/>
        <v>536494</v>
      </c>
      <c r="G46" s="37" t="s">
        <v>167</v>
      </c>
      <c r="H46" s="47"/>
      <c r="I46" s="48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8"/>
      <c r="U46" s="48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8"/>
      <c r="AG46" s="48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>
        <v>80</v>
      </c>
      <c r="BC46" s="49">
        <v>420</v>
      </c>
      <c r="BD46" s="49">
        <v>0</v>
      </c>
      <c r="BE46" s="49">
        <v>0</v>
      </c>
      <c r="BF46" s="49"/>
      <c r="BG46" s="49">
        <v>11400</v>
      </c>
      <c r="BH46" s="49">
        <v>31980</v>
      </c>
      <c r="BI46" s="49">
        <v>26960</v>
      </c>
      <c r="BJ46" s="49">
        <v>13520</v>
      </c>
      <c r="BK46" s="49">
        <v>10660</v>
      </c>
      <c r="BL46" s="49">
        <v>20540</v>
      </c>
      <c r="BM46" s="49">
        <v>13239</v>
      </c>
      <c r="BN46" s="49">
        <v>14460</v>
      </c>
      <c r="BO46" s="49">
        <v>13800</v>
      </c>
      <c r="BP46" s="50">
        <v>18218</v>
      </c>
      <c r="BQ46" s="50">
        <v>14634</v>
      </c>
      <c r="BR46" s="50">
        <v>7620</v>
      </c>
      <c r="BS46" s="50">
        <v>5600</v>
      </c>
      <c r="BT46" s="50">
        <v>9610</v>
      </c>
      <c r="BU46" s="50">
        <v>14520</v>
      </c>
      <c r="BV46" s="50">
        <v>7400</v>
      </c>
      <c r="BW46" s="50">
        <v>7100</v>
      </c>
      <c r="BX46" s="50">
        <v>17060</v>
      </c>
      <c r="BY46" s="50">
        <v>28160</v>
      </c>
      <c r="BZ46" s="50">
        <v>29111</v>
      </c>
      <c r="CA46" s="50">
        <v>20780</v>
      </c>
      <c r="CB46" s="50">
        <v>27400</v>
      </c>
      <c r="CC46" s="50">
        <v>24189</v>
      </c>
      <c r="CD46" s="50">
        <v>6615</v>
      </c>
      <c r="CE46" s="50">
        <v>1239</v>
      </c>
      <c r="CF46" s="50">
        <v>5360</v>
      </c>
      <c r="CG46" s="50">
        <v>2737</v>
      </c>
      <c r="CH46" s="50">
        <v>5422</v>
      </c>
      <c r="CI46" s="50">
        <v>3517</v>
      </c>
      <c r="CJ46" s="50">
        <v>7240</v>
      </c>
      <c r="CK46" s="50">
        <v>9815</v>
      </c>
      <c r="CL46" s="50">
        <v>5157</v>
      </c>
      <c r="CM46" s="50">
        <v>7150</v>
      </c>
      <c r="CN46" s="51">
        <v>6475</v>
      </c>
      <c r="CO46" s="51">
        <v>5380</v>
      </c>
      <c r="CP46" s="51">
        <v>5860</v>
      </c>
      <c r="CQ46" s="51">
        <v>7340</v>
      </c>
      <c r="CR46" s="51">
        <v>6589</v>
      </c>
      <c r="CS46" s="51">
        <v>4195</v>
      </c>
      <c r="CT46" s="51">
        <v>6622</v>
      </c>
      <c r="CU46" s="51">
        <v>7380</v>
      </c>
      <c r="CV46" s="51">
        <v>5960</v>
      </c>
      <c r="CW46" s="51">
        <v>10937</v>
      </c>
      <c r="CX46" s="51">
        <v>5926</v>
      </c>
      <c r="CY46" s="51">
        <v>4060</v>
      </c>
      <c r="CZ46" s="51">
        <v>11760</v>
      </c>
      <c r="DA46" s="51">
        <v>3385</v>
      </c>
      <c r="DB46" s="51">
        <v>1716</v>
      </c>
      <c r="DC46" s="51">
        <v>190</v>
      </c>
      <c r="DD46" s="51">
        <v>5</v>
      </c>
      <c r="DE46" s="51">
        <v>0</v>
      </c>
      <c r="DF46" s="52">
        <v>1</v>
      </c>
      <c r="DG46" s="52">
        <v>0</v>
      </c>
      <c r="DH46" s="52">
        <v>0</v>
      </c>
      <c r="DI46" s="52">
        <v>0</v>
      </c>
      <c r="DJ46" s="52">
        <v>0</v>
      </c>
      <c r="DK46" s="52">
        <v>0</v>
      </c>
      <c r="DL46" s="52">
        <v>0</v>
      </c>
      <c r="DM46" s="52">
        <v>0</v>
      </c>
      <c r="DN46" s="52">
        <v>0</v>
      </c>
      <c r="DO46" s="52">
        <v>0</v>
      </c>
      <c r="DP46" s="52">
        <v>0</v>
      </c>
      <c r="DQ46" s="52">
        <v>0</v>
      </c>
      <c r="DR46" s="52">
        <v>0</v>
      </c>
      <c r="DS46" s="54">
        <v>0</v>
      </c>
      <c r="DT46" s="54">
        <v>0</v>
      </c>
      <c r="DU46" s="54">
        <v>0</v>
      </c>
      <c r="DV46" s="54">
        <v>0</v>
      </c>
      <c r="DW46" s="54">
        <v>0</v>
      </c>
      <c r="DX46" s="2"/>
      <c r="DY46" s="2"/>
      <c r="DZ46" s="46">
        <f t="shared" si="0"/>
        <v>0</v>
      </c>
      <c r="EA46" s="46">
        <f t="shared" si="1"/>
        <v>0</v>
      </c>
      <c r="EB46" s="46">
        <f t="shared" si="2"/>
        <v>0</v>
      </c>
      <c r="EC46" s="46">
        <f t="shared" si="3"/>
        <v>500</v>
      </c>
      <c r="ED46" s="46">
        <f t="shared" si="4"/>
        <v>156559</v>
      </c>
      <c r="EE46" s="46">
        <f t="shared" si="5"/>
        <v>179813</v>
      </c>
      <c r="EF46" s="46">
        <f t="shared" si="6"/>
        <v>105841</v>
      </c>
      <c r="EG46" s="46">
        <f t="shared" si="7"/>
        <v>76724</v>
      </c>
      <c r="EH46" s="46">
        <f t="shared" si="8"/>
        <v>17057</v>
      </c>
      <c r="EI46" s="46">
        <f t="shared" si="10"/>
        <v>0</v>
      </c>
    </row>
    <row r="47" spans="3:139" ht="12">
      <c r="C47" s="36" t="s">
        <v>181</v>
      </c>
      <c r="D47" s="36" t="s">
        <v>165</v>
      </c>
      <c r="E47" s="36" t="s">
        <v>166</v>
      </c>
      <c r="F47" s="38">
        <f t="shared" si="9"/>
        <v>0</v>
      </c>
      <c r="G47" s="37" t="s">
        <v>167</v>
      </c>
      <c r="H47" s="47"/>
      <c r="I47" s="48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8"/>
      <c r="U47" s="48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8"/>
      <c r="AG47" s="48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>
        <v>0</v>
      </c>
      <c r="CC47" s="50">
        <v>0</v>
      </c>
      <c r="CD47" s="50">
        <v>0</v>
      </c>
      <c r="CE47" s="50">
        <v>0</v>
      </c>
      <c r="CF47" s="50">
        <v>0</v>
      </c>
      <c r="CG47" s="50"/>
      <c r="CH47" s="50">
        <v>0</v>
      </c>
      <c r="CI47" s="50">
        <v>0</v>
      </c>
      <c r="CJ47" s="50">
        <v>0</v>
      </c>
      <c r="CK47" s="50">
        <v>0</v>
      </c>
      <c r="CL47" s="50">
        <v>0</v>
      </c>
      <c r="CM47" s="50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2">
        <v>0</v>
      </c>
      <c r="DG47" s="52">
        <v>0</v>
      </c>
      <c r="DH47" s="52">
        <v>0</v>
      </c>
      <c r="DI47" s="52">
        <v>0</v>
      </c>
      <c r="DJ47" s="52">
        <v>0</v>
      </c>
      <c r="DK47" s="52">
        <v>0</v>
      </c>
      <c r="DL47" s="52">
        <v>0</v>
      </c>
      <c r="DM47" s="52">
        <v>0</v>
      </c>
      <c r="DN47" s="52">
        <v>0</v>
      </c>
      <c r="DO47" s="52">
        <v>0</v>
      </c>
      <c r="DP47" s="52">
        <v>0</v>
      </c>
      <c r="DQ47" s="52">
        <v>0</v>
      </c>
      <c r="DR47" s="52">
        <v>0</v>
      </c>
      <c r="DS47" s="54">
        <v>0</v>
      </c>
      <c r="DT47" s="54">
        <v>0</v>
      </c>
      <c r="DU47" s="54">
        <v>0</v>
      </c>
      <c r="DV47" s="54">
        <v>0</v>
      </c>
      <c r="DW47" s="54">
        <v>0</v>
      </c>
      <c r="DX47" s="2"/>
      <c r="DY47" s="2"/>
      <c r="DZ47" s="46">
        <f t="shared" si="0"/>
        <v>0</v>
      </c>
      <c r="EA47" s="46">
        <f t="shared" si="1"/>
        <v>0</v>
      </c>
      <c r="EB47" s="46">
        <f t="shared" si="2"/>
        <v>0</v>
      </c>
      <c r="EC47" s="46">
        <f t="shared" si="3"/>
        <v>0</v>
      </c>
      <c r="ED47" s="46">
        <f t="shared" si="4"/>
        <v>0</v>
      </c>
      <c r="EE47" s="46">
        <f t="shared" si="5"/>
        <v>0</v>
      </c>
      <c r="EF47" s="46">
        <f t="shared" si="6"/>
        <v>0</v>
      </c>
      <c r="EG47" s="46">
        <f t="shared" si="7"/>
        <v>0</v>
      </c>
      <c r="EH47" s="46">
        <f t="shared" si="8"/>
        <v>0</v>
      </c>
      <c r="EI47" s="46">
        <f t="shared" si="10"/>
        <v>0</v>
      </c>
    </row>
    <row r="48" spans="3:139" ht="12">
      <c r="C48" s="36" t="s">
        <v>182</v>
      </c>
      <c r="D48" s="36" t="s">
        <v>175</v>
      </c>
      <c r="E48" s="36" t="s">
        <v>176</v>
      </c>
      <c r="F48" s="38">
        <f t="shared" si="9"/>
        <v>375294</v>
      </c>
      <c r="G48" s="37" t="s">
        <v>167</v>
      </c>
      <c r="H48" s="47"/>
      <c r="I48" s="48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8"/>
      <c r="U48" s="48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8"/>
      <c r="AG48" s="48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50"/>
      <c r="BQ48" s="50"/>
      <c r="BR48" s="50"/>
      <c r="BS48" s="50"/>
      <c r="BT48" s="50"/>
      <c r="BU48" s="50"/>
      <c r="BV48" s="50"/>
      <c r="BW48" s="50"/>
      <c r="BX48" s="50">
        <v>10</v>
      </c>
      <c r="BY48" s="50"/>
      <c r="BZ48" s="50"/>
      <c r="CA48" s="50">
        <v>0</v>
      </c>
      <c r="CB48" s="50">
        <v>2480</v>
      </c>
      <c r="CC48" s="50">
        <v>4028</v>
      </c>
      <c r="CD48" s="50">
        <v>10395</v>
      </c>
      <c r="CE48" s="50">
        <v>6200</v>
      </c>
      <c r="CF48" s="50">
        <v>8798</v>
      </c>
      <c r="CG48" s="50">
        <v>7300</v>
      </c>
      <c r="CH48" s="50">
        <v>8019</v>
      </c>
      <c r="CI48" s="50">
        <v>8516</v>
      </c>
      <c r="CJ48" s="50">
        <v>6337</v>
      </c>
      <c r="CK48" s="50">
        <v>10536</v>
      </c>
      <c r="CL48" s="50">
        <v>13410</v>
      </c>
      <c r="CM48" s="50">
        <v>4319</v>
      </c>
      <c r="CN48" s="51">
        <v>12403</v>
      </c>
      <c r="CO48" s="51">
        <v>8734</v>
      </c>
      <c r="CP48" s="51">
        <v>8045</v>
      </c>
      <c r="CQ48" s="51">
        <v>9200</v>
      </c>
      <c r="CR48" s="51">
        <v>9340</v>
      </c>
      <c r="CS48" s="51">
        <v>10775</v>
      </c>
      <c r="CT48" s="51">
        <v>11000</v>
      </c>
      <c r="CU48" s="51">
        <v>15400</v>
      </c>
      <c r="CV48" s="51">
        <v>12768</v>
      </c>
      <c r="CW48" s="51">
        <v>9520</v>
      </c>
      <c r="CX48" s="51">
        <v>10533</v>
      </c>
      <c r="CY48" s="51">
        <v>7420</v>
      </c>
      <c r="CZ48" s="51">
        <v>7840</v>
      </c>
      <c r="DA48" s="51">
        <v>8982</v>
      </c>
      <c r="DB48" s="51">
        <v>5647</v>
      </c>
      <c r="DC48" s="51">
        <v>12188</v>
      </c>
      <c r="DD48" s="51">
        <v>5713</v>
      </c>
      <c r="DE48" s="51">
        <v>9537</v>
      </c>
      <c r="DF48" s="52">
        <v>8062</v>
      </c>
      <c r="DG48" s="52">
        <v>8008</v>
      </c>
      <c r="DH48" s="52">
        <v>8633</v>
      </c>
      <c r="DI48" s="52">
        <v>14231</v>
      </c>
      <c r="DJ48" s="52">
        <v>8532</v>
      </c>
      <c r="DK48" s="52">
        <v>15201</v>
      </c>
      <c r="DL48" s="52">
        <v>8173</v>
      </c>
      <c r="DM48" s="52">
        <v>3973</v>
      </c>
      <c r="DN48" s="52">
        <v>9700</v>
      </c>
      <c r="DO48" s="52">
        <v>6822</v>
      </c>
      <c r="DP48" s="52">
        <v>11607</v>
      </c>
      <c r="DQ48" s="52">
        <v>6959</v>
      </c>
      <c r="DR48" s="52">
        <v>2458</v>
      </c>
      <c r="DS48" s="54">
        <v>12536</v>
      </c>
      <c r="DT48" s="54">
        <v>12536</v>
      </c>
      <c r="DU48" s="54">
        <v>7522</v>
      </c>
      <c r="DV48" s="54">
        <v>5767</v>
      </c>
      <c r="DW48" s="54">
        <v>3635</v>
      </c>
      <c r="DX48" s="2"/>
      <c r="DY48" s="2"/>
      <c r="DZ48" s="46">
        <f t="shared" si="0"/>
        <v>0</v>
      </c>
      <c r="EA48" s="46">
        <f t="shared" si="1"/>
        <v>0</v>
      </c>
      <c r="EB48" s="46">
        <f t="shared" si="2"/>
        <v>0</v>
      </c>
      <c r="EC48" s="46">
        <f t="shared" si="3"/>
        <v>0</v>
      </c>
      <c r="ED48" s="46">
        <f t="shared" si="4"/>
        <v>0</v>
      </c>
      <c r="EE48" s="46">
        <f t="shared" si="5"/>
        <v>10</v>
      </c>
      <c r="EF48" s="46">
        <f t="shared" si="6"/>
        <v>90338</v>
      </c>
      <c r="EG48" s="46">
        <f t="shared" si="7"/>
        <v>125138</v>
      </c>
      <c r="EH48" s="46">
        <f t="shared" si="8"/>
        <v>97373</v>
      </c>
      <c r="EI48" s="46">
        <f t="shared" si="10"/>
        <v>28668</v>
      </c>
    </row>
    <row r="49" spans="3:139" ht="12">
      <c r="C49" s="36" t="s">
        <v>183</v>
      </c>
      <c r="D49" s="36" t="s">
        <v>175</v>
      </c>
      <c r="E49" s="36" t="s">
        <v>176</v>
      </c>
      <c r="F49" s="38">
        <f t="shared" si="9"/>
        <v>371100</v>
      </c>
      <c r="G49" s="37" t="s">
        <v>167</v>
      </c>
      <c r="H49" s="47"/>
      <c r="I49" s="48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8"/>
      <c r="U49" s="48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8"/>
      <c r="AG49" s="48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50"/>
      <c r="BQ49" s="50"/>
      <c r="BR49" s="50"/>
      <c r="BS49" s="50"/>
      <c r="BT49" s="50"/>
      <c r="BU49" s="50"/>
      <c r="BV49" s="50"/>
      <c r="BW49" s="50"/>
      <c r="BX49" s="50">
        <v>10</v>
      </c>
      <c r="BY49" s="50">
        <v>880</v>
      </c>
      <c r="BZ49" s="50">
        <v>1300</v>
      </c>
      <c r="CA49" s="50">
        <v>1820</v>
      </c>
      <c r="CB49" s="50">
        <v>1000</v>
      </c>
      <c r="CC49" s="50">
        <v>6336</v>
      </c>
      <c r="CD49" s="50">
        <v>23119</v>
      </c>
      <c r="CE49" s="50">
        <v>21476</v>
      </c>
      <c r="CF49" s="50">
        <v>24982</v>
      </c>
      <c r="CG49" s="50">
        <v>28699</v>
      </c>
      <c r="CH49" s="50">
        <v>22224</v>
      </c>
      <c r="CI49" s="50">
        <v>28058</v>
      </c>
      <c r="CJ49" s="50">
        <v>12634</v>
      </c>
      <c r="CK49" s="50">
        <v>4756</v>
      </c>
      <c r="CL49" s="50">
        <v>3432</v>
      </c>
      <c r="CM49" s="50">
        <v>2105</v>
      </c>
      <c r="CN49" s="51">
        <v>1703</v>
      </c>
      <c r="CO49" s="51">
        <v>3871</v>
      </c>
      <c r="CP49" s="51">
        <v>4814</v>
      </c>
      <c r="CQ49" s="51">
        <v>3260</v>
      </c>
      <c r="CR49" s="51">
        <v>4919</v>
      </c>
      <c r="CS49" s="51">
        <v>3334</v>
      </c>
      <c r="CT49" s="51">
        <v>6220</v>
      </c>
      <c r="CU49" s="51">
        <v>4160</v>
      </c>
      <c r="CV49" s="51">
        <v>7053</v>
      </c>
      <c r="CW49" s="51">
        <v>3747</v>
      </c>
      <c r="CX49" s="51">
        <v>7100</v>
      </c>
      <c r="CY49" s="51">
        <v>5640</v>
      </c>
      <c r="CZ49" s="51">
        <v>4820</v>
      </c>
      <c r="DA49" s="51">
        <v>3127</v>
      </c>
      <c r="DB49" s="51">
        <v>583</v>
      </c>
      <c r="DC49" s="51">
        <v>5840</v>
      </c>
      <c r="DD49" s="51">
        <v>5241</v>
      </c>
      <c r="DE49" s="51">
        <v>10404</v>
      </c>
      <c r="DF49" s="52">
        <v>11605</v>
      </c>
      <c r="DG49" s="52">
        <v>9394</v>
      </c>
      <c r="DH49" s="52">
        <v>19097</v>
      </c>
      <c r="DI49" s="52">
        <v>15344</v>
      </c>
      <c r="DJ49" s="52">
        <v>15792</v>
      </c>
      <c r="DK49" s="52">
        <v>4401</v>
      </c>
      <c r="DL49" s="52">
        <v>7731</v>
      </c>
      <c r="DM49" s="52">
        <v>5369</v>
      </c>
      <c r="DN49" s="52">
        <v>4134</v>
      </c>
      <c r="DO49" s="52">
        <v>2427</v>
      </c>
      <c r="DP49" s="52">
        <v>3963</v>
      </c>
      <c r="DQ49" s="52">
        <v>3176</v>
      </c>
      <c r="DR49" s="52">
        <v>-7</v>
      </c>
      <c r="DS49" s="54">
        <v>4280</v>
      </c>
      <c r="DT49" s="54">
        <v>4280</v>
      </c>
      <c r="DU49" s="54">
        <v>2568</v>
      </c>
      <c r="DV49" s="54">
        <v>1969</v>
      </c>
      <c r="DW49" s="54">
        <v>1241</v>
      </c>
      <c r="DX49" s="2"/>
      <c r="DY49" s="2"/>
      <c r="DZ49" s="46">
        <f t="shared" si="0"/>
        <v>0</v>
      </c>
      <c r="EA49" s="46">
        <f t="shared" si="1"/>
        <v>0</v>
      </c>
      <c r="EB49" s="46">
        <f t="shared" si="2"/>
        <v>0</v>
      </c>
      <c r="EC49" s="46">
        <f t="shared" si="3"/>
        <v>0</v>
      </c>
      <c r="ED49" s="46">
        <f t="shared" si="4"/>
        <v>0</v>
      </c>
      <c r="EE49" s="46">
        <f t="shared" si="5"/>
        <v>4010</v>
      </c>
      <c r="EF49" s="46">
        <f t="shared" si="6"/>
        <v>178821</v>
      </c>
      <c r="EG49" s="46">
        <f t="shared" si="7"/>
        <v>55821</v>
      </c>
      <c r="EH49" s="46">
        <f t="shared" si="8"/>
        <v>101247</v>
      </c>
      <c r="EI49" s="46">
        <f t="shared" si="10"/>
        <v>19661</v>
      </c>
    </row>
    <row r="50" spans="3:139" ht="12">
      <c r="C50" s="36" t="s">
        <v>184</v>
      </c>
      <c r="D50" s="36" t="s">
        <v>175</v>
      </c>
      <c r="E50" s="36" t="s">
        <v>176</v>
      </c>
      <c r="F50" s="38">
        <f t="shared" si="9"/>
        <v>6255</v>
      </c>
      <c r="G50" s="37" t="s">
        <v>167</v>
      </c>
      <c r="H50" s="47"/>
      <c r="I50" s="48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8"/>
      <c r="U50" s="48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8"/>
      <c r="AG50" s="48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50"/>
      <c r="BQ50" s="50"/>
      <c r="BR50" s="50"/>
      <c r="BS50" s="50"/>
      <c r="BT50" s="50"/>
      <c r="BU50" s="50"/>
      <c r="BV50" s="50"/>
      <c r="BW50" s="50"/>
      <c r="BX50" s="50">
        <v>9</v>
      </c>
      <c r="BY50" s="50"/>
      <c r="BZ50" s="50">
        <v>10</v>
      </c>
      <c r="CA50" s="50">
        <v>0</v>
      </c>
      <c r="CB50" s="50">
        <v>0</v>
      </c>
      <c r="CC50" s="50">
        <v>200</v>
      </c>
      <c r="CD50" s="50">
        <v>0</v>
      </c>
      <c r="CE50" s="50">
        <v>0</v>
      </c>
      <c r="CF50" s="50">
        <v>400</v>
      </c>
      <c r="CG50" s="50">
        <v>798</v>
      </c>
      <c r="CH50" s="50">
        <v>81</v>
      </c>
      <c r="CI50" s="50">
        <v>11</v>
      </c>
      <c r="CJ50" s="50">
        <v>37</v>
      </c>
      <c r="CK50" s="50">
        <v>381</v>
      </c>
      <c r="CL50" s="50">
        <v>4000</v>
      </c>
      <c r="CM50" s="50">
        <v>312</v>
      </c>
      <c r="CN50" s="51">
        <v>28</v>
      </c>
      <c r="CO50" s="51">
        <v>0</v>
      </c>
      <c r="CP50" s="51">
        <v>0</v>
      </c>
      <c r="CQ50" s="51">
        <v>-2</v>
      </c>
      <c r="CR50" s="51">
        <v>-6</v>
      </c>
      <c r="CS50" s="51">
        <v>-4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</v>
      </c>
      <c r="DC50" s="51">
        <v>0</v>
      </c>
      <c r="DD50" s="51">
        <v>0</v>
      </c>
      <c r="DE50" s="51">
        <v>0</v>
      </c>
      <c r="DF50" s="52">
        <v>0</v>
      </c>
      <c r="DG50" s="52">
        <v>0</v>
      </c>
      <c r="DH50" s="52">
        <v>0</v>
      </c>
      <c r="DI50" s="52">
        <v>0</v>
      </c>
      <c r="DJ50" s="52">
        <v>0</v>
      </c>
      <c r="DK50" s="52">
        <v>0</v>
      </c>
      <c r="DL50" s="52">
        <v>0</v>
      </c>
      <c r="DM50" s="52">
        <v>0</v>
      </c>
      <c r="DN50" s="52">
        <v>0</v>
      </c>
      <c r="DO50" s="52">
        <v>0</v>
      </c>
      <c r="DP50" s="52">
        <v>0</v>
      </c>
      <c r="DQ50" s="52">
        <v>0</v>
      </c>
      <c r="DR50" s="52">
        <v>0</v>
      </c>
      <c r="DS50" s="54">
        <v>0</v>
      </c>
      <c r="DT50" s="54">
        <v>0</v>
      </c>
      <c r="DU50" s="54">
        <v>0</v>
      </c>
      <c r="DV50" s="54">
        <v>0</v>
      </c>
      <c r="DW50" s="54">
        <v>0</v>
      </c>
      <c r="DX50" s="2"/>
      <c r="DY50" s="2"/>
      <c r="DZ50" s="46">
        <f t="shared" si="0"/>
        <v>0</v>
      </c>
      <c r="EA50" s="46">
        <f t="shared" si="1"/>
        <v>0</v>
      </c>
      <c r="EB50" s="46">
        <f t="shared" si="2"/>
        <v>0</v>
      </c>
      <c r="EC50" s="46">
        <f t="shared" si="3"/>
        <v>0</v>
      </c>
      <c r="ED50" s="46">
        <f t="shared" si="4"/>
        <v>0</v>
      </c>
      <c r="EE50" s="46">
        <f t="shared" si="5"/>
        <v>19</v>
      </c>
      <c r="EF50" s="46">
        <f t="shared" si="6"/>
        <v>6220</v>
      </c>
      <c r="EG50" s="46">
        <f t="shared" si="7"/>
        <v>16</v>
      </c>
      <c r="EH50" s="46">
        <f t="shared" si="8"/>
        <v>0</v>
      </c>
      <c r="EI50" s="46">
        <f t="shared" si="10"/>
        <v>0</v>
      </c>
    </row>
    <row r="51" spans="3:139" ht="12">
      <c r="C51" s="36" t="s">
        <v>185</v>
      </c>
      <c r="D51" s="36" t="s">
        <v>175</v>
      </c>
      <c r="E51" s="36" t="s">
        <v>176</v>
      </c>
      <c r="F51" s="38">
        <f t="shared" si="9"/>
        <v>560</v>
      </c>
      <c r="G51" s="37" t="s">
        <v>167</v>
      </c>
      <c r="H51" s="47"/>
      <c r="I51" s="48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8"/>
      <c r="U51" s="48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8"/>
      <c r="AG51" s="48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>
        <v>200</v>
      </c>
      <c r="CD51" s="50">
        <v>140</v>
      </c>
      <c r="CE51" s="50">
        <v>0</v>
      </c>
      <c r="CF51" s="50">
        <v>100</v>
      </c>
      <c r="CG51" s="50"/>
      <c r="CH51" s="50">
        <v>0</v>
      </c>
      <c r="CI51" s="50">
        <v>0</v>
      </c>
      <c r="CJ51" s="50">
        <v>0</v>
      </c>
      <c r="CK51" s="50">
        <v>0</v>
      </c>
      <c r="CL51" s="50">
        <v>0</v>
      </c>
      <c r="CM51" s="50">
        <v>120</v>
      </c>
      <c r="CN51" s="51">
        <v>0</v>
      </c>
      <c r="CO51" s="51">
        <v>-1</v>
      </c>
      <c r="CP51" s="51">
        <v>1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</v>
      </c>
      <c r="DF51" s="52">
        <v>0</v>
      </c>
      <c r="DG51" s="52">
        <v>0</v>
      </c>
      <c r="DH51" s="52">
        <v>0</v>
      </c>
      <c r="DI51" s="52">
        <v>0</v>
      </c>
      <c r="DJ51" s="52">
        <v>0</v>
      </c>
      <c r="DK51" s="52">
        <v>0</v>
      </c>
      <c r="DL51" s="52">
        <v>0</v>
      </c>
      <c r="DM51" s="52">
        <v>0</v>
      </c>
      <c r="DN51" s="52">
        <v>0</v>
      </c>
      <c r="DO51" s="52">
        <v>0</v>
      </c>
      <c r="DP51" s="52">
        <v>0</v>
      </c>
      <c r="DQ51" s="52">
        <v>0</v>
      </c>
      <c r="DR51" s="52">
        <v>0</v>
      </c>
      <c r="DS51" s="54">
        <v>0</v>
      </c>
      <c r="DT51" s="54">
        <v>0</v>
      </c>
      <c r="DU51" s="54">
        <v>0</v>
      </c>
      <c r="DV51" s="54">
        <v>0</v>
      </c>
      <c r="DW51" s="54">
        <v>0</v>
      </c>
      <c r="DX51" s="2"/>
      <c r="DY51" s="2"/>
      <c r="DZ51" s="46">
        <f t="shared" si="0"/>
        <v>0</v>
      </c>
      <c r="EA51" s="46">
        <f t="shared" si="1"/>
        <v>0</v>
      </c>
      <c r="EB51" s="46">
        <f t="shared" si="2"/>
        <v>0</v>
      </c>
      <c r="EC51" s="46">
        <f t="shared" si="3"/>
        <v>0</v>
      </c>
      <c r="ED51" s="46">
        <f t="shared" si="4"/>
        <v>0</v>
      </c>
      <c r="EE51" s="46">
        <f t="shared" si="5"/>
        <v>0</v>
      </c>
      <c r="EF51" s="46">
        <f t="shared" si="6"/>
        <v>560</v>
      </c>
      <c r="EG51" s="46">
        <f t="shared" si="7"/>
        <v>0</v>
      </c>
      <c r="EH51" s="46">
        <f t="shared" si="8"/>
        <v>0</v>
      </c>
      <c r="EI51" s="46">
        <f t="shared" si="10"/>
        <v>0</v>
      </c>
    </row>
    <row r="52" spans="3:139" ht="12">
      <c r="C52" s="36" t="s">
        <v>186</v>
      </c>
      <c r="D52" s="36" t="s">
        <v>175</v>
      </c>
      <c r="E52" s="36" t="s">
        <v>176</v>
      </c>
      <c r="F52" s="38">
        <f t="shared" si="9"/>
        <v>458</v>
      </c>
      <c r="G52" s="37" t="s">
        <v>167</v>
      </c>
      <c r="H52" s="47"/>
      <c r="I52" s="48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8"/>
      <c r="U52" s="48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8"/>
      <c r="AG52" s="48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>
        <v>0</v>
      </c>
      <c r="CF52" s="50">
        <v>138</v>
      </c>
      <c r="CG52" s="50"/>
      <c r="CH52" s="50">
        <v>0</v>
      </c>
      <c r="CI52" s="50">
        <v>0</v>
      </c>
      <c r="CJ52" s="50">
        <v>0</v>
      </c>
      <c r="CK52" s="50">
        <v>-4</v>
      </c>
      <c r="CL52" s="50">
        <v>60</v>
      </c>
      <c r="CM52" s="50">
        <v>69</v>
      </c>
      <c r="CN52" s="51">
        <v>14</v>
      </c>
      <c r="CO52" s="51">
        <v>58</v>
      </c>
      <c r="CP52" s="51">
        <v>43</v>
      </c>
      <c r="CQ52" s="51">
        <v>0</v>
      </c>
      <c r="CR52" s="51">
        <v>0</v>
      </c>
      <c r="CS52" s="51">
        <v>80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2">
        <v>0</v>
      </c>
      <c r="DG52" s="52">
        <v>0</v>
      </c>
      <c r="DH52" s="52">
        <v>0</v>
      </c>
      <c r="DI52" s="52">
        <v>0</v>
      </c>
      <c r="DJ52" s="52">
        <v>0</v>
      </c>
      <c r="DK52" s="52">
        <v>0</v>
      </c>
      <c r="DL52" s="52">
        <v>0</v>
      </c>
      <c r="DM52" s="52">
        <v>0</v>
      </c>
      <c r="DN52" s="52">
        <v>0</v>
      </c>
      <c r="DO52" s="52">
        <v>0</v>
      </c>
      <c r="DP52" s="52">
        <v>0</v>
      </c>
      <c r="DQ52" s="52">
        <v>0</v>
      </c>
      <c r="DR52" s="52">
        <v>0</v>
      </c>
      <c r="DS52" s="54">
        <v>0</v>
      </c>
      <c r="DT52" s="54">
        <v>0</v>
      </c>
      <c r="DU52" s="54">
        <v>0</v>
      </c>
      <c r="DV52" s="54">
        <v>0</v>
      </c>
      <c r="DW52" s="54">
        <v>0</v>
      </c>
      <c r="DX52" s="2"/>
      <c r="DY52" s="2"/>
      <c r="DZ52" s="46">
        <f t="shared" si="0"/>
        <v>0</v>
      </c>
      <c r="EA52" s="46">
        <f t="shared" si="1"/>
        <v>0</v>
      </c>
      <c r="EB52" s="46">
        <f t="shared" si="2"/>
        <v>0</v>
      </c>
      <c r="EC52" s="46">
        <f t="shared" si="3"/>
        <v>0</v>
      </c>
      <c r="ED52" s="46">
        <f t="shared" si="4"/>
        <v>0</v>
      </c>
      <c r="EE52" s="46">
        <f t="shared" si="5"/>
        <v>0</v>
      </c>
      <c r="EF52" s="46">
        <f t="shared" si="6"/>
        <v>263</v>
      </c>
      <c r="EG52" s="46">
        <f t="shared" si="7"/>
        <v>195</v>
      </c>
      <c r="EH52" s="46">
        <f t="shared" si="8"/>
        <v>0</v>
      </c>
      <c r="EI52" s="46">
        <f t="shared" si="10"/>
        <v>0</v>
      </c>
    </row>
    <row r="53" spans="3:139" ht="12">
      <c r="C53" s="36" t="s">
        <v>187</v>
      </c>
      <c r="D53" s="36" t="s">
        <v>175</v>
      </c>
      <c r="E53" s="36" t="s">
        <v>176</v>
      </c>
      <c r="F53" s="38">
        <f t="shared" si="9"/>
        <v>4621</v>
      </c>
      <c r="G53" s="37" t="s">
        <v>167</v>
      </c>
      <c r="H53" s="47"/>
      <c r="I53" s="48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8"/>
      <c r="U53" s="48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8"/>
      <c r="AG53" s="48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>
        <v>840</v>
      </c>
      <c r="CK53" s="50">
        <v>777</v>
      </c>
      <c r="CL53" s="50">
        <v>0</v>
      </c>
      <c r="CM53" s="50">
        <v>0</v>
      </c>
      <c r="CN53" s="51">
        <v>22</v>
      </c>
      <c r="CO53" s="51">
        <v>0</v>
      </c>
      <c r="CP53" s="51">
        <v>0</v>
      </c>
      <c r="CQ53" s="51">
        <v>0</v>
      </c>
      <c r="CR53" s="51">
        <v>1745</v>
      </c>
      <c r="CS53" s="51">
        <v>1197</v>
      </c>
      <c r="CT53" s="51">
        <v>40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</v>
      </c>
      <c r="DF53" s="52">
        <v>0</v>
      </c>
      <c r="DG53" s="52">
        <v>0</v>
      </c>
      <c r="DH53" s="52">
        <v>0</v>
      </c>
      <c r="DI53" s="52">
        <v>0</v>
      </c>
      <c r="DJ53" s="52">
        <v>0</v>
      </c>
      <c r="DK53" s="52">
        <v>0</v>
      </c>
      <c r="DL53" s="52">
        <v>0</v>
      </c>
      <c r="DM53" s="52">
        <v>0</v>
      </c>
      <c r="DN53" s="52">
        <v>0</v>
      </c>
      <c r="DO53" s="52">
        <v>0</v>
      </c>
      <c r="DP53" s="52">
        <v>0</v>
      </c>
      <c r="DQ53" s="52">
        <v>0</v>
      </c>
      <c r="DR53" s="52">
        <v>0</v>
      </c>
      <c r="DS53" s="54">
        <v>0</v>
      </c>
      <c r="DT53" s="54">
        <v>0</v>
      </c>
      <c r="DU53" s="54">
        <v>0</v>
      </c>
      <c r="DV53" s="54">
        <v>0</v>
      </c>
      <c r="DW53" s="54">
        <v>0</v>
      </c>
      <c r="DX53" s="2"/>
      <c r="DY53" s="2"/>
      <c r="DZ53" s="46">
        <f t="shared" si="0"/>
        <v>0</v>
      </c>
      <c r="EA53" s="46">
        <f t="shared" si="1"/>
        <v>0</v>
      </c>
      <c r="EB53" s="46">
        <f t="shared" si="2"/>
        <v>0</v>
      </c>
      <c r="EC53" s="46">
        <f t="shared" si="3"/>
        <v>0</v>
      </c>
      <c r="ED53" s="46">
        <f t="shared" si="4"/>
        <v>0</v>
      </c>
      <c r="EE53" s="46">
        <f t="shared" si="5"/>
        <v>0</v>
      </c>
      <c r="EF53" s="46">
        <f t="shared" si="6"/>
        <v>1617</v>
      </c>
      <c r="EG53" s="46">
        <f t="shared" si="7"/>
        <v>3004</v>
      </c>
      <c r="EH53" s="46">
        <f t="shared" si="8"/>
        <v>0</v>
      </c>
      <c r="EI53" s="46">
        <f t="shared" si="10"/>
        <v>0</v>
      </c>
    </row>
    <row r="54" spans="3:139" ht="12">
      <c r="C54" s="36" t="s">
        <v>188</v>
      </c>
      <c r="D54" s="36" t="s">
        <v>165</v>
      </c>
      <c r="E54" s="36" t="s">
        <v>166</v>
      </c>
      <c r="F54" s="38">
        <f t="shared" si="9"/>
        <v>314</v>
      </c>
      <c r="G54" s="37" t="s">
        <v>167</v>
      </c>
      <c r="H54" s="47"/>
      <c r="I54" s="48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8"/>
      <c r="U54" s="48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8"/>
      <c r="AG54" s="48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1">
        <v>220</v>
      </c>
      <c r="CO54" s="51">
        <v>-45</v>
      </c>
      <c r="CP54" s="51">
        <v>20</v>
      </c>
      <c r="CQ54" s="51">
        <v>0</v>
      </c>
      <c r="CR54" s="51">
        <v>60</v>
      </c>
      <c r="CS54" s="51">
        <v>-1</v>
      </c>
      <c r="CT54" s="51">
        <v>0</v>
      </c>
      <c r="CU54" s="51">
        <v>0</v>
      </c>
      <c r="CV54" s="51">
        <v>1</v>
      </c>
      <c r="CW54" s="51">
        <v>60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-1</v>
      </c>
      <c r="DD54" s="51">
        <v>0</v>
      </c>
      <c r="DE54" s="51">
        <v>0</v>
      </c>
      <c r="DF54" s="52">
        <v>0</v>
      </c>
      <c r="DG54" s="52">
        <v>0</v>
      </c>
      <c r="DH54" s="52">
        <v>0</v>
      </c>
      <c r="DI54" s="52">
        <v>0</v>
      </c>
      <c r="DJ54" s="52">
        <v>0</v>
      </c>
      <c r="DK54" s="52">
        <v>0</v>
      </c>
      <c r="DL54" s="52">
        <v>0</v>
      </c>
      <c r="DM54" s="52">
        <v>0</v>
      </c>
      <c r="DN54" s="52">
        <v>0</v>
      </c>
      <c r="DO54" s="52">
        <v>0</v>
      </c>
      <c r="DP54" s="52">
        <v>0</v>
      </c>
      <c r="DQ54" s="52">
        <v>0</v>
      </c>
      <c r="DR54" s="52">
        <v>0</v>
      </c>
      <c r="DS54" s="54">
        <v>0</v>
      </c>
      <c r="DT54" s="54">
        <v>0</v>
      </c>
      <c r="DU54" s="54">
        <v>0</v>
      </c>
      <c r="DV54" s="54">
        <v>0</v>
      </c>
      <c r="DW54" s="54">
        <v>0</v>
      </c>
      <c r="DX54" s="2"/>
      <c r="DY54" s="2"/>
      <c r="DZ54" s="46">
        <f t="shared" si="0"/>
        <v>0</v>
      </c>
      <c r="EA54" s="46">
        <f t="shared" si="1"/>
        <v>0</v>
      </c>
      <c r="EB54" s="46">
        <f t="shared" si="2"/>
        <v>0</v>
      </c>
      <c r="EC54" s="46">
        <f t="shared" si="3"/>
        <v>0</v>
      </c>
      <c r="ED54" s="46">
        <f t="shared" si="4"/>
        <v>0</v>
      </c>
      <c r="EE54" s="46">
        <f t="shared" si="5"/>
        <v>0</v>
      </c>
      <c r="EF54" s="46">
        <f t="shared" si="6"/>
        <v>0</v>
      </c>
      <c r="EG54" s="46">
        <f t="shared" si="7"/>
        <v>315</v>
      </c>
      <c r="EH54" s="46">
        <f t="shared" si="8"/>
        <v>-1</v>
      </c>
      <c r="EI54" s="46">
        <f t="shared" si="10"/>
        <v>0</v>
      </c>
    </row>
    <row r="55" spans="3:139" ht="12">
      <c r="C55" s="36" t="s">
        <v>189</v>
      </c>
      <c r="D55" s="36" t="s">
        <v>175</v>
      </c>
      <c r="E55" s="36" t="s">
        <v>176</v>
      </c>
      <c r="F55" s="38">
        <f t="shared" si="9"/>
        <v>24671</v>
      </c>
      <c r="G55" s="37" t="s">
        <v>167</v>
      </c>
      <c r="H55" s="47"/>
      <c r="I55" s="48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8"/>
      <c r="U55" s="48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8"/>
      <c r="AG55" s="48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>
        <v>5719</v>
      </c>
      <c r="DC55" s="51">
        <v>2383</v>
      </c>
      <c r="DD55" s="51">
        <v>1790</v>
      </c>
      <c r="DE55" s="51">
        <v>740</v>
      </c>
      <c r="DF55" s="52">
        <v>35</v>
      </c>
      <c r="DG55" s="52">
        <v>1334</v>
      </c>
      <c r="DH55" s="52">
        <v>21</v>
      </c>
      <c r="DI55" s="52">
        <v>654</v>
      </c>
      <c r="DJ55" s="52">
        <v>2300</v>
      </c>
      <c r="DK55" s="52">
        <v>1388</v>
      </c>
      <c r="DL55" s="52">
        <v>2977</v>
      </c>
      <c r="DM55" s="52">
        <v>922</v>
      </c>
      <c r="DN55" s="52">
        <v>38</v>
      </c>
      <c r="DO55" s="52">
        <v>1742</v>
      </c>
      <c r="DP55" s="52">
        <v>1172</v>
      </c>
      <c r="DQ55" s="52">
        <v>1456</v>
      </c>
      <c r="DR55" s="52">
        <v>955</v>
      </c>
      <c r="DS55" s="54">
        <v>1266</v>
      </c>
      <c r="DT55" s="54">
        <v>1266</v>
      </c>
      <c r="DU55" s="54">
        <v>760</v>
      </c>
      <c r="DV55" s="54">
        <v>582</v>
      </c>
      <c r="DW55" s="54">
        <v>367</v>
      </c>
      <c r="DX55" s="2"/>
      <c r="DY55" s="2"/>
      <c r="DZ55" s="46"/>
      <c r="EA55" s="46"/>
      <c r="EB55" s="46"/>
      <c r="EC55" s="46"/>
      <c r="ED55" s="46"/>
      <c r="EE55" s="46"/>
      <c r="EF55" s="46"/>
      <c r="EG55" s="46"/>
      <c r="EH55" s="46">
        <f t="shared" si="8"/>
        <v>14976</v>
      </c>
      <c r="EI55" s="46">
        <f t="shared" si="10"/>
        <v>5679</v>
      </c>
    </row>
    <row r="56" spans="3:139" ht="12">
      <c r="C56" s="36" t="s">
        <v>190</v>
      </c>
      <c r="D56" s="36" t="s">
        <v>165</v>
      </c>
      <c r="E56" s="36" t="s">
        <v>166</v>
      </c>
      <c r="F56" s="38">
        <f t="shared" si="9"/>
        <v>84469</v>
      </c>
      <c r="G56" s="37" t="s">
        <v>167</v>
      </c>
      <c r="H56" s="47"/>
      <c r="I56" s="48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8"/>
      <c r="U56" s="48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8"/>
      <c r="AG56" s="48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>
        <v>557</v>
      </c>
      <c r="DC56" s="51">
        <v>7326</v>
      </c>
      <c r="DD56" s="51">
        <v>5837</v>
      </c>
      <c r="DE56" s="51">
        <v>2397</v>
      </c>
      <c r="DF56" s="52">
        <v>6637</v>
      </c>
      <c r="DG56" s="52">
        <v>4362</v>
      </c>
      <c r="DH56" s="52">
        <v>7310</v>
      </c>
      <c r="DI56" s="52">
        <v>6828</v>
      </c>
      <c r="DJ56" s="52">
        <v>6080</v>
      </c>
      <c r="DK56" s="52">
        <v>6379</v>
      </c>
      <c r="DL56" s="52">
        <v>5816</v>
      </c>
      <c r="DM56" s="52">
        <v>8657</v>
      </c>
      <c r="DN56" s="52">
        <v>955</v>
      </c>
      <c r="DO56" s="52">
        <v>6749</v>
      </c>
      <c r="DP56" s="52">
        <v>4271</v>
      </c>
      <c r="DQ56" s="52">
        <v>4308</v>
      </c>
      <c r="DR56" s="52">
        <v>5159</v>
      </c>
      <c r="DS56" s="54">
        <v>4613</v>
      </c>
      <c r="DT56" s="54">
        <v>4613</v>
      </c>
      <c r="DU56" s="54">
        <v>2768</v>
      </c>
      <c r="DV56" s="54">
        <v>2122</v>
      </c>
      <c r="DW56" s="54">
        <v>1338</v>
      </c>
      <c r="DX56" s="2"/>
      <c r="DY56" s="2"/>
      <c r="DZ56" s="46"/>
      <c r="EA56" s="46"/>
      <c r="EB56" s="46"/>
      <c r="EC56" s="46"/>
      <c r="ED56" s="46"/>
      <c r="EE56" s="46"/>
      <c r="EF56" s="46"/>
      <c r="EG56" s="46"/>
      <c r="EH56" s="46">
        <f t="shared" si="8"/>
        <v>47334</v>
      </c>
      <c r="EI56" s="46">
        <f t="shared" si="10"/>
        <v>22177</v>
      </c>
    </row>
    <row r="57" spans="3:139" ht="12">
      <c r="C57" s="36" t="s">
        <v>191</v>
      </c>
      <c r="D57" s="36" t="s">
        <v>192</v>
      </c>
      <c r="E57" s="36" t="s">
        <v>822</v>
      </c>
      <c r="F57" s="38">
        <f t="shared" si="9"/>
        <v>4100</v>
      </c>
      <c r="G57" s="37" t="s">
        <v>167</v>
      </c>
      <c r="H57" s="47"/>
      <c r="I57" s="48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8"/>
      <c r="U57" s="48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8"/>
      <c r="AG57" s="48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2"/>
      <c r="DG57" s="52"/>
      <c r="DH57" s="52"/>
      <c r="DI57" s="52"/>
      <c r="DJ57" s="52"/>
      <c r="DK57" s="52"/>
      <c r="DL57" s="52"/>
      <c r="DM57" s="52">
        <v>48</v>
      </c>
      <c r="DN57" s="52">
        <v>53</v>
      </c>
      <c r="DO57" s="52">
        <v>0</v>
      </c>
      <c r="DP57" s="52">
        <v>19</v>
      </c>
      <c r="DQ57" s="52">
        <v>3980</v>
      </c>
      <c r="DR57" s="52">
        <v>5464</v>
      </c>
      <c r="DS57" s="54">
        <v>21</v>
      </c>
      <c r="DT57" s="54">
        <v>21</v>
      </c>
      <c r="DU57" s="54">
        <v>13</v>
      </c>
      <c r="DV57" s="54">
        <v>10</v>
      </c>
      <c r="DW57" s="54">
        <v>6</v>
      </c>
      <c r="DX57" s="2"/>
      <c r="DY57" s="2"/>
      <c r="DZ57" s="46"/>
      <c r="EA57" s="46"/>
      <c r="EB57" s="46"/>
      <c r="EC57" s="46"/>
      <c r="ED57" s="46"/>
      <c r="EE57" s="46"/>
      <c r="EF57" s="46"/>
      <c r="EG57" s="46"/>
      <c r="EH57" s="46"/>
      <c r="EI57" s="46">
        <f t="shared" si="10"/>
        <v>101</v>
      </c>
    </row>
    <row r="58" spans="3:139" ht="12">
      <c r="C58" s="36" t="s">
        <v>193</v>
      </c>
      <c r="D58" s="36" t="s">
        <v>192</v>
      </c>
      <c r="E58" s="36" t="s">
        <v>822</v>
      </c>
      <c r="F58" s="38">
        <f t="shared" si="9"/>
        <v>0</v>
      </c>
      <c r="G58" s="37" t="s">
        <v>167</v>
      </c>
      <c r="H58" s="47"/>
      <c r="I58" s="48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8"/>
      <c r="U58" s="48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8"/>
      <c r="AG58" s="48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>
        <v>26</v>
      </c>
      <c r="DS58" s="54"/>
      <c r="DT58" s="54"/>
      <c r="DU58" s="54"/>
      <c r="DV58" s="54"/>
      <c r="DW58" s="54"/>
      <c r="DX58" s="2"/>
      <c r="DY58" s="2"/>
      <c r="DZ58" s="46"/>
      <c r="EA58" s="46"/>
      <c r="EB58" s="46"/>
      <c r="EC58" s="46"/>
      <c r="ED58" s="46"/>
      <c r="EE58" s="46"/>
      <c r="EF58" s="46"/>
      <c r="EG58" s="46"/>
      <c r="EH58" s="46"/>
      <c r="EI58" s="46"/>
    </row>
    <row r="59" spans="3:139" ht="12">
      <c r="C59" s="36" t="s">
        <v>194</v>
      </c>
      <c r="D59" s="36" t="s">
        <v>195</v>
      </c>
      <c r="E59" s="36" t="s">
        <v>196</v>
      </c>
      <c r="F59" s="38">
        <f t="shared" si="9"/>
        <v>580</v>
      </c>
      <c r="G59" s="37" t="s">
        <v>197</v>
      </c>
      <c r="H59" s="47"/>
      <c r="I59" s="48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8"/>
      <c r="U59" s="48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8"/>
      <c r="AG59" s="48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>
        <v>100</v>
      </c>
      <c r="AZ59" s="49">
        <v>80</v>
      </c>
      <c r="BA59" s="49">
        <v>300</v>
      </c>
      <c r="BB59" s="49">
        <v>0</v>
      </c>
      <c r="BC59" s="49">
        <v>100</v>
      </c>
      <c r="BD59" s="49">
        <v>0</v>
      </c>
      <c r="BE59" s="49">
        <v>0</v>
      </c>
      <c r="BF59" s="49"/>
      <c r="BG59" s="49"/>
      <c r="BH59" s="49"/>
      <c r="BI59" s="49">
        <v>0</v>
      </c>
      <c r="BJ59" s="49"/>
      <c r="BK59" s="49"/>
      <c r="BL59" s="49">
        <v>0</v>
      </c>
      <c r="BM59" s="49"/>
      <c r="BN59" s="49">
        <v>0</v>
      </c>
      <c r="BO59" s="49"/>
      <c r="BP59" s="50">
        <v>0</v>
      </c>
      <c r="BQ59" s="50">
        <v>0</v>
      </c>
      <c r="BR59" s="50"/>
      <c r="BS59" s="50">
        <v>0</v>
      </c>
      <c r="BT59" s="50">
        <v>0</v>
      </c>
      <c r="BU59" s="50">
        <v>0</v>
      </c>
      <c r="BV59" s="50"/>
      <c r="BW59" s="50">
        <v>0</v>
      </c>
      <c r="BX59" s="50"/>
      <c r="BY59" s="50"/>
      <c r="BZ59" s="50"/>
      <c r="CA59" s="50">
        <v>0</v>
      </c>
      <c r="CB59" s="50">
        <v>0</v>
      </c>
      <c r="CC59" s="50">
        <v>0</v>
      </c>
      <c r="CD59" s="50">
        <v>0</v>
      </c>
      <c r="CE59" s="50">
        <v>0</v>
      </c>
      <c r="CF59" s="50">
        <v>0</v>
      </c>
      <c r="CG59" s="50"/>
      <c r="CH59" s="50">
        <v>0</v>
      </c>
      <c r="CI59" s="50">
        <v>0</v>
      </c>
      <c r="CJ59" s="50">
        <v>0</v>
      </c>
      <c r="CK59" s="50">
        <v>0</v>
      </c>
      <c r="CL59" s="50">
        <v>0</v>
      </c>
      <c r="CM59" s="50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</v>
      </c>
      <c r="DC59" s="51">
        <v>0</v>
      </c>
      <c r="DD59" s="51">
        <v>0</v>
      </c>
      <c r="DE59" s="51">
        <v>0</v>
      </c>
      <c r="DF59" s="52">
        <v>0</v>
      </c>
      <c r="DG59" s="52">
        <v>0</v>
      </c>
      <c r="DH59" s="52">
        <v>0</v>
      </c>
      <c r="DI59" s="52">
        <v>0</v>
      </c>
      <c r="DJ59" s="52">
        <v>0</v>
      </c>
      <c r="DK59" s="52">
        <v>0</v>
      </c>
      <c r="DL59" s="52">
        <v>0</v>
      </c>
      <c r="DM59" s="52">
        <v>0</v>
      </c>
      <c r="DN59" s="52">
        <v>0</v>
      </c>
      <c r="DO59" s="52">
        <v>0</v>
      </c>
      <c r="DP59" s="52">
        <v>0</v>
      </c>
      <c r="DQ59" s="52">
        <v>0</v>
      </c>
      <c r="DR59" s="52">
        <v>0</v>
      </c>
      <c r="DS59" s="53">
        <v>0</v>
      </c>
      <c r="DT59" s="53">
        <v>0</v>
      </c>
      <c r="DU59" s="53">
        <v>0</v>
      </c>
      <c r="DV59" s="53">
        <v>0</v>
      </c>
      <c r="DW59" s="53">
        <v>0</v>
      </c>
      <c r="DX59" s="2"/>
      <c r="DY59" s="2"/>
      <c r="DZ59" s="46">
        <f t="shared" ref="DZ59:DZ122" si="11">SUM(H59:S59)</f>
        <v>0</v>
      </c>
      <c r="EA59" s="46">
        <f t="shared" ref="EA59:EA122" si="12">SUM(T59:AE59)</f>
        <v>0</v>
      </c>
      <c r="EB59" s="46">
        <f t="shared" ref="EB59:EB122" si="13">SUM(AF59:AQ59)</f>
        <v>0</v>
      </c>
      <c r="EC59" s="46">
        <f t="shared" ref="EC59:EC122" si="14">SUM(AR59:BC59)</f>
        <v>580</v>
      </c>
      <c r="ED59" s="46">
        <f t="shared" ref="ED59:ED122" si="15">SUM(BD59:BO59)</f>
        <v>0</v>
      </c>
      <c r="EE59" s="46">
        <f t="shared" ref="EE59:EE122" si="16">SUM(BP59:CA59)</f>
        <v>0</v>
      </c>
      <c r="EF59" s="46">
        <f t="shared" ref="EF59:EF122" si="17">SUM(CB59:CM59)</f>
        <v>0</v>
      </c>
      <c r="EG59" s="46">
        <f t="shared" ref="EG59:EG122" si="18">SUM(CN59:CY59)</f>
        <v>0</v>
      </c>
      <c r="EH59" s="46">
        <f t="shared" si="8"/>
        <v>0</v>
      </c>
      <c r="EI59" s="46">
        <f t="shared" si="10"/>
        <v>0</v>
      </c>
    </row>
    <row r="60" spans="3:139" ht="12">
      <c r="C60" s="36" t="s">
        <v>198</v>
      </c>
      <c r="D60" s="36" t="s">
        <v>195</v>
      </c>
      <c r="E60" s="36" t="s">
        <v>196</v>
      </c>
      <c r="F60" s="38">
        <f t="shared" si="9"/>
        <v>3119</v>
      </c>
      <c r="G60" s="37" t="s">
        <v>197</v>
      </c>
      <c r="H60" s="47"/>
      <c r="I60" s="48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8"/>
      <c r="U60" s="48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8"/>
      <c r="AG60" s="48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>
        <v>20</v>
      </c>
      <c r="AZ60" s="49">
        <v>200</v>
      </c>
      <c r="BA60" s="49">
        <v>300</v>
      </c>
      <c r="BB60" s="49">
        <v>200</v>
      </c>
      <c r="BC60" s="49">
        <v>379</v>
      </c>
      <c r="BD60" s="49">
        <v>200</v>
      </c>
      <c r="BE60" s="49">
        <v>320</v>
      </c>
      <c r="BF60" s="49"/>
      <c r="BG60" s="49">
        <v>1120</v>
      </c>
      <c r="BH60" s="49">
        <v>140</v>
      </c>
      <c r="BI60" s="49">
        <v>0</v>
      </c>
      <c r="BJ60" s="49"/>
      <c r="BK60" s="49">
        <v>220</v>
      </c>
      <c r="BL60" s="49">
        <v>0</v>
      </c>
      <c r="BM60" s="49">
        <v>20</v>
      </c>
      <c r="BN60" s="49">
        <v>0</v>
      </c>
      <c r="BO60" s="49"/>
      <c r="BP60" s="50">
        <v>0</v>
      </c>
      <c r="BQ60" s="50">
        <v>0</v>
      </c>
      <c r="BR60" s="50"/>
      <c r="BS60" s="50">
        <v>0</v>
      </c>
      <c r="BT60" s="50">
        <v>0</v>
      </c>
      <c r="BU60" s="50">
        <v>0</v>
      </c>
      <c r="BV60" s="50"/>
      <c r="BW60" s="50">
        <v>0</v>
      </c>
      <c r="BX60" s="50"/>
      <c r="BY60" s="50"/>
      <c r="BZ60" s="50"/>
      <c r="CA60" s="50">
        <v>0</v>
      </c>
      <c r="CB60" s="50">
        <v>0</v>
      </c>
      <c r="CC60" s="50">
        <v>0</v>
      </c>
      <c r="CD60" s="50">
        <v>0</v>
      </c>
      <c r="CE60" s="50">
        <v>0</v>
      </c>
      <c r="CF60" s="50">
        <v>0</v>
      </c>
      <c r="CG60" s="50"/>
      <c r="CH60" s="50">
        <v>0</v>
      </c>
      <c r="CI60" s="50">
        <v>0</v>
      </c>
      <c r="CJ60" s="50">
        <v>0</v>
      </c>
      <c r="CK60" s="50">
        <v>0</v>
      </c>
      <c r="CL60" s="50">
        <v>0</v>
      </c>
      <c r="CM60" s="50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</v>
      </c>
      <c r="DC60" s="51">
        <v>0</v>
      </c>
      <c r="DD60" s="51">
        <v>0</v>
      </c>
      <c r="DE60" s="51">
        <v>0</v>
      </c>
      <c r="DF60" s="52">
        <v>0</v>
      </c>
      <c r="DG60" s="52">
        <v>0</v>
      </c>
      <c r="DH60" s="52">
        <v>0</v>
      </c>
      <c r="DI60" s="52">
        <v>0</v>
      </c>
      <c r="DJ60" s="52">
        <v>0</v>
      </c>
      <c r="DK60" s="52">
        <v>0</v>
      </c>
      <c r="DL60" s="52">
        <v>0</v>
      </c>
      <c r="DM60" s="52">
        <v>0</v>
      </c>
      <c r="DN60" s="52">
        <v>0</v>
      </c>
      <c r="DO60" s="52">
        <v>0</v>
      </c>
      <c r="DP60" s="52">
        <v>0</v>
      </c>
      <c r="DQ60" s="52">
        <v>0</v>
      </c>
      <c r="DR60" s="52">
        <v>0</v>
      </c>
      <c r="DS60" s="53">
        <v>0</v>
      </c>
      <c r="DT60" s="53">
        <v>0</v>
      </c>
      <c r="DU60" s="53">
        <v>0</v>
      </c>
      <c r="DV60" s="53">
        <v>0</v>
      </c>
      <c r="DW60" s="53">
        <v>0</v>
      </c>
      <c r="DX60" s="2"/>
      <c r="DY60" s="2"/>
      <c r="DZ60" s="46">
        <f t="shared" si="11"/>
        <v>0</v>
      </c>
      <c r="EA60" s="46">
        <f t="shared" si="12"/>
        <v>0</v>
      </c>
      <c r="EB60" s="46">
        <f t="shared" si="13"/>
        <v>0</v>
      </c>
      <c r="EC60" s="46">
        <f t="shared" si="14"/>
        <v>1099</v>
      </c>
      <c r="ED60" s="46">
        <f t="shared" si="15"/>
        <v>2020</v>
      </c>
      <c r="EE60" s="46">
        <f t="shared" si="16"/>
        <v>0</v>
      </c>
      <c r="EF60" s="46">
        <f t="shared" si="17"/>
        <v>0</v>
      </c>
      <c r="EG60" s="46">
        <f t="shared" si="18"/>
        <v>0</v>
      </c>
      <c r="EH60" s="46">
        <f t="shared" si="8"/>
        <v>0</v>
      </c>
      <c r="EI60" s="46">
        <f t="shared" si="10"/>
        <v>0</v>
      </c>
    </row>
    <row r="61" spans="3:139" ht="12">
      <c r="C61" s="36" t="s">
        <v>199</v>
      </c>
      <c r="D61" s="36" t="s">
        <v>195</v>
      </c>
      <c r="E61" s="36" t="s">
        <v>196</v>
      </c>
      <c r="F61" s="38">
        <f t="shared" si="9"/>
        <v>3279</v>
      </c>
      <c r="G61" s="37" t="s">
        <v>197</v>
      </c>
      <c r="H61" s="47"/>
      <c r="I61" s="48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8"/>
      <c r="U61" s="48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8"/>
      <c r="AG61" s="48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>
        <v>19</v>
      </c>
      <c r="AZ61" s="49">
        <v>0</v>
      </c>
      <c r="BA61" s="49">
        <v>0</v>
      </c>
      <c r="BB61" s="49">
        <v>0</v>
      </c>
      <c r="BC61" s="49">
        <v>280</v>
      </c>
      <c r="BD61" s="49">
        <v>200</v>
      </c>
      <c r="BE61" s="49">
        <v>300</v>
      </c>
      <c r="BF61" s="49">
        <v>180</v>
      </c>
      <c r="BG61" s="49">
        <v>420</v>
      </c>
      <c r="BH61" s="49">
        <v>300</v>
      </c>
      <c r="BI61" s="49">
        <v>0</v>
      </c>
      <c r="BJ61" s="49">
        <v>460</v>
      </c>
      <c r="BK61" s="49"/>
      <c r="BL61" s="49">
        <v>120</v>
      </c>
      <c r="BM61" s="49">
        <v>220</v>
      </c>
      <c r="BN61" s="49">
        <v>0</v>
      </c>
      <c r="BO61" s="49"/>
      <c r="BP61" s="50">
        <v>780</v>
      </c>
      <c r="BQ61" s="50">
        <v>0</v>
      </c>
      <c r="BR61" s="50"/>
      <c r="BS61" s="50">
        <v>0</v>
      </c>
      <c r="BT61" s="50">
        <v>0</v>
      </c>
      <c r="BU61" s="50">
        <v>0</v>
      </c>
      <c r="BV61" s="50"/>
      <c r="BW61" s="50">
        <v>0</v>
      </c>
      <c r="BX61" s="50"/>
      <c r="BY61" s="50"/>
      <c r="BZ61" s="50"/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/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0</v>
      </c>
      <c r="DD61" s="51">
        <v>0</v>
      </c>
      <c r="DE61" s="51">
        <v>0</v>
      </c>
      <c r="DF61" s="52">
        <v>0</v>
      </c>
      <c r="DG61" s="52">
        <v>0</v>
      </c>
      <c r="DH61" s="52">
        <v>0</v>
      </c>
      <c r="DI61" s="52">
        <v>0</v>
      </c>
      <c r="DJ61" s="52">
        <v>0</v>
      </c>
      <c r="DK61" s="52">
        <v>0</v>
      </c>
      <c r="DL61" s="52">
        <v>0</v>
      </c>
      <c r="DM61" s="52">
        <v>0</v>
      </c>
      <c r="DN61" s="52">
        <v>0</v>
      </c>
      <c r="DO61" s="52">
        <v>0</v>
      </c>
      <c r="DP61" s="52">
        <v>0</v>
      </c>
      <c r="DQ61" s="52">
        <v>0</v>
      </c>
      <c r="DR61" s="52">
        <v>0</v>
      </c>
      <c r="DS61" s="53">
        <v>0</v>
      </c>
      <c r="DT61" s="53">
        <v>0</v>
      </c>
      <c r="DU61" s="53">
        <v>0</v>
      </c>
      <c r="DV61" s="53">
        <v>0</v>
      </c>
      <c r="DW61" s="53">
        <v>0</v>
      </c>
      <c r="DX61" s="2"/>
      <c r="DY61" s="2"/>
      <c r="DZ61" s="46">
        <f t="shared" si="11"/>
        <v>0</v>
      </c>
      <c r="EA61" s="46">
        <f t="shared" si="12"/>
        <v>0</v>
      </c>
      <c r="EB61" s="46">
        <f t="shared" si="13"/>
        <v>0</v>
      </c>
      <c r="EC61" s="46">
        <f t="shared" si="14"/>
        <v>299</v>
      </c>
      <c r="ED61" s="46">
        <f t="shared" si="15"/>
        <v>2200</v>
      </c>
      <c r="EE61" s="46">
        <f t="shared" si="16"/>
        <v>780</v>
      </c>
      <c r="EF61" s="46">
        <f t="shared" si="17"/>
        <v>0</v>
      </c>
      <c r="EG61" s="46">
        <f t="shared" si="18"/>
        <v>0</v>
      </c>
      <c r="EH61" s="46">
        <f t="shared" si="8"/>
        <v>0</v>
      </c>
      <c r="EI61" s="46">
        <f t="shared" si="10"/>
        <v>0</v>
      </c>
    </row>
    <row r="62" spans="3:139" ht="12">
      <c r="C62" s="36" t="s">
        <v>200</v>
      </c>
      <c r="D62" s="36" t="s">
        <v>201</v>
      </c>
      <c r="E62" s="36" t="s">
        <v>202</v>
      </c>
      <c r="F62" s="38">
        <f t="shared" si="9"/>
        <v>3659</v>
      </c>
      <c r="G62" s="37" t="s">
        <v>197</v>
      </c>
      <c r="H62" s="47"/>
      <c r="I62" s="48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8"/>
      <c r="U62" s="48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8"/>
      <c r="AG62" s="48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>
        <v>0</v>
      </c>
      <c r="AZ62" s="49">
        <v>119</v>
      </c>
      <c r="BA62" s="49">
        <v>280</v>
      </c>
      <c r="BB62" s="49">
        <v>300</v>
      </c>
      <c r="BC62" s="49">
        <v>200</v>
      </c>
      <c r="BD62" s="49">
        <v>300</v>
      </c>
      <c r="BE62" s="49">
        <v>400</v>
      </c>
      <c r="BF62" s="49">
        <v>80</v>
      </c>
      <c r="BG62" s="49">
        <v>520</v>
      </c>
      <c r="BH62" s="49">
        <v>100</v>
      </c>
      <c r="BI62" s="49">
        <v>200</v>
      </c>
      <c r="BJ62" s="49">
        <v>200</v>
      </c>
      <c r="BK62" s="49"/>
      <c r="BL62" s="49">
        <v>300</v>
      </c>
      <c r="BM62" s="49"/>
      <c r="BN62" s="49">
        <v>200</v>
      </c>
      <c r="BO62" s="49"/>
      <c r="BP62" s="50">
        <v>460</v>
      </c>
      <c r="BQ62" s="50">
        <v>0</v>
      </c>
      <c r="BR62" s="50"/>
      <c r="BS62" s="50">
        <v>0</v>
      </c>
      <c r="BT62" s="50">
        <v>0</v>
      </c>
      <c r="BU62" s="50">
        <v>0</v>
      </c>
      <c r="BV62" s="50"/>
      <c r="BW62" s="50">
        <v>0</v>
      </c>
      <c r="BX62" s="50"/>
      <c r="BY62" s="50"/>
      <c r="BZ62" s="50"/>
      <c r="CA62" s="50">
        <v>0</v>
      </c>
      <c r="CB62" s="50">
        <v>0</v>
      </c>
      <c r="CC62" s="50">
        <v>0</v>
      </c>
      <c r="CD62" s="50">
        <v>0</v>
      </c>
      <c r="CE62" s="50">
        <v>0</v>
      </c>
      <c r="CF62" s="50">
        <v>0</v>
      </c>
      <c r="CG62" s="50"/>
      <c r="CH62" s="50">
        <v>0</v>
      </c>
      <c r="CI62" s="50">
        <v>0</v>
      </c>
      <c r="CJ62" s="50">
        <v>0</v>
      </c>
      <c r="CK62" s="50">
        <v>0</v>
      </c>
      <c r="CL62" s="50">
        <v>0</v>
      </c>
      <c r="CM62" s="50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</v>
      </c>
      <c r="DC62" s="51">
        <v>0</v>
      </c>
      <c r="DD62" s="51">
        <v>0</v>
      </c>
      <c r="DE62" s="51">
        <v>0</v>
      </c>
      <c r="DF62" s="52">
        <v>0</v>
      </c>
      <c r="DG62" s="52">
        <v>0</v>
      </c>
      <c r="DH62" s="52">
        <v>0</v>
      </c>
      <c r="DI62" s="52">
        <v>0</v>
      </c>
      <c r="DJ62" s="52">
        <v>0</v>
      </c>
      <c r="DK62" s="52">
        <v>0</v>
      </c>
      <c r="DL62" s="52">
        <v>0</v>
      </c>
      <c r="DM62" s="52">
        <v>0</v>
      </c>
      <c r="DN62" s="52">
        <v>0</v>
      </c>
      <c r="DO62" s="52">
        <v>0</v>
      </c>
      <c r="DP62" s="52">
        <v>0</v>
      </c>
      <c r="DQ62" s="52">
        <v>0</v>
      </c>
      <c r="DR62" s="52">
        <v>0</v>
      </c>
      <c r="DS62" s="53">
        <v>0</v>
      </c>
      <c r="DT62" s="53">
        <v>0</v>
      </c>
      <c r="DU62" s="53">
        <v>0</v>
      </c>
      <c r="DV62" s="53">
        <v>0</v>
      </c>
      <c r="DW62" s="53">
        <v>0</v>
      </c>
      <c r="DX62" s="2"/>
      <c r="DY62" s="2"/>
      <c r="DZ62" s="46">
        <f t="shared" si="11"/>
        <v>0</v>
      </c>
      <c r="EA62" s="46">
        <f t="shared" si="12"/>
        <v>0</v>
      </c>
      <c r="EB62" s="46">
        <f t="shared" si="13"/>
        <v>0</v>
      </c>
      <c r="EC62" s="46">
        <f t="shared" si="14"/>
        <v>899</v>
      </c>
      <c r="ED62" s="46">
        <f t="shared" si="15"/>
        <v>2300</v>
      </c>
      <c r="EE62" s="46">
        <f t="shared" si="16"/>
        <v>460</v>
      </c>
      <c r="EF62" s="46">
        <f t="shared" si="17"/>
        <v>0</v>
      </c>
      <c r="EG62" s="46">
        <f t="shared" si="18"/>
        <v>0</v>
      </c>
      <c r="EH62" s="46">
        <f t="shared" si="8"/>
        <v>0</v>
      </c>
      <c r="EI62" s="46">
        <f t="shared" si="10"/>
        <v>0</v>
      </c>
    </row>
    <row r="63" spans="3:139" ht="12">
      <c r="C63" s="36" t="s">
        <v>203</v>
      </c>
      <c r="D63" s="36" t="s">
        <v>201</v>
      </c>
      <c r="E63" s="36" t="s">
        <v>202</v>
      </c>
      <c r="F63" s="38">
        <f t="shared" si="9"/>
        <v>3519</v>
      </c>
      <c r="G63" s="37" t="s">
        <v>197</v>
      </c>
      <c r="H63" s="47"/>
      <c r="I63" s="48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8"/>
      <c r="U63" s="48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8"/>
      <c r="AG63" s="48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>
        <v>20</v>
      </c>
      <c r="BA63" s="49">
        <v>0</v>
      </c>
      <c r="BB63" s="49">
        <v>20</v>
      </c>
      <c r="BC63" s="49">
        <v>0</v>
      </c>
      <c r="BD63" s="49">
        <v>0</v>
      </c>
      <c r="BE63" s="49">
        <v>100</v>
      </c>
      <c r="BF63" s="49">
        <v>660</v>
      </c>
      <c r="BG63" s="49">
        <v>300</v>
      </c>
      <c r="BH63" s="49">
        <v>640</v>
      </c>
      <c r="BI63" s="49">
        <v>0</v>
      </c>
      <c r="BJ63" s="49">
        <v>800</v>
      </c>
      <c r="BK63" s="49"/>
      <c r="BL63" s="49">
        <v>400</v>
      </c>
      <c r="BM63" s="49">
        <v>19</v>
      </c>
      <c r="BN63" s="49">
        <v>200</v>
      </c>
      <c r="BO63" s="49">
        <v>220</v>
      </c>
      <c r="BP63" s="50">
        <v>140</v>
      </c>
      <c r="BQ63" s="50">
        <v>0</v>
      </c>
      <c r="BR63" s="50"/>
      <c r="BS63" s="50">
        <v>0</v>
      </c>
      <c r="BT63" s="50">
        <v>0</v>
      </c>
      <c r="BU63" s="50">
        <v>0</v>
      </c>
      <c r="BV63" s="50"/>
      <c r="BW63" s="50">
        <v>0</v>
      </c>
      <c r="BX63" s="50"/>
      <c r="BY63" s="50"/>
      <c r="BZ63" s="50"/>
      <c r="CA63" s="50">
        <v>0</v>
      </c>
      <c r="CB63" s="50">
        <v>0</v>
      </c>
      <c r="CC63" s="50">
        <v>0</v>
      </c>
      <c r="CD63" s="50">
        <v>0</v>
      </c>
      <c r="CE63" s="50">
        <v>0</v>
      </c>
      <c r="CF63" s="50">
        <v>0</v>
      </c>
      <c r="CG63" s="50"/>
      <c r="CH63" s="50">
        <v>0</v>
      </c>
      <c r="CI63" s="50">
        <v>0</v>
      </c>
      <c r="CJ63" s="50">
        <v>0</v>
      </c>
      <c r="CK63" s="50">
        <v>0</v>
      </c>
      <c r="CL63" s="50">
        <v>0</v>
      </c>
      <c r="CM63" s="50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0</v>
      </c>
      <c r="DC63" s="51">
        <v>0</v>
      </c>
      <c r="DD63" s="51">
        <v>0</v>
      </c>
      <c r="DE63" s="51">
        <v>0</v>
      </c>
      <c r="DF63" s="52">
        <v>0</v>
      </c>
      <c r="DG63" s="52">
        <v>0</v>
      </c>
      <c r="DH63" s="52">
        <v>0</v>
      </c>
      <c r="DI63" s="52">
        <v>0</v>
      </c>
      <c r="DJ63" s="52">
        <v>0</v>
      </c>
      <c r="DK63" s="52">
        <v>0</v>
      </c>
      <c r="DL63" s="52">
        <v>0</v>
      </c>
      <c r="DM63" s="52">
        <v>0</v>
      </c>
      <c r="DN63" s="52">
        <v>0</v>
      </c>
      <c r="DO63" s="52">
        <v>0</v>
      </c>
      <c r="DP63" s="52">
        <v>0</v>
      </c>
      <c r="DQ63" s="52">
        <v>0</v>
      </c>
      <c r="DR63" s="52">
        <v>0</v>
      </c>
      <c r="DS63" s="53">
        <v>0</v>
      </c>
      <c r="DT63" s="53">
        <v>0</v>
      </c>
      <c r="DU63" s="53">
        <v>0</v>
      </c>
      <c r="DV63" s="53">
        <v>0</v>
      </c>
      <c r="DW63" s="53">
        <v>0</v>
      </c>
      <c r="DX63" s="2"/>
      <c r="DY63" s="2"/>
      <c r="DZ63" s="46">
        <f t="shared" si="11"/>
        <v>0</v>
      </c>
      <c r="EA63" s="46">
        <f t="shared" si="12"/>
        <v>0</v>
      </c>
      <c r="EB63" s="46">
        <f t="shared" si="13"/>
        <v>0</v>
      </c>
      <c r="EC63" s="46">
        <f t="shared" si="14"/>
        <v>40</v>
      </c>
      <c r="ED63" s="46">
        <f t="shared" si="15"/>
        <v>3339</v>
      </c>
      <c r="EE63" s="46">
        <f t="shared" si="16"/>
        <v>140</v>
      </c>
      <c r="EF63" s="46">
        <f t="shared" si="17"/>
        <v>0</v>
      </c>
      <c r="EG63" s="46">
        <f t="shared" si="18"/>
        <v>0</v>
      </c>
      <c r="EH63" s="46">
        <f t="shared" si="8"/>
        <v>0</v>
      </c>
      <c r="EI63" s="46">
        <f t="shared" si="10"/>
        <v>0</v>
      </c>
    </row>
    <row r="64" spans="3:139" ht="12">
      <c r="C64" s="36" t="s">
        <v>204</v>
      </c>
      <c r="D64" s="36" t="s">
        <v>201</v>
      </c>
      <c r="E64" s="36" t="s">
        <v>202</v>
      </c>
      <c r="F64" s="38">
        <f t="shared" si="9"/>
        <v>10419</v>
      </c>
      <c r="G64" s="37" t="s">
        <v>197</v>
      </c>
      <c r="H64" s="47"/>
      <c r="I64" s="48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8"/>
      <c r="U64" s="48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8"/>
      <c r="AG64" s="48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>
        <v>0</v>
      </c>
      <c r="BA64" s="49">
        <v>0</v>
      </c>
      <c r="BB64" s="49">
        <v>20</v>
      </c>
      <c r="BC64" s="49">
        <v>0</v>
      </c>
      <c r="BD64" s="49">
        <v>1660</v>
      </c>
      <c r="BE64" s="49">
        <v>40</v>
      </c>
      <c r="BF64" s="49">
        <v>799</v>
      </c>
      <c r="BG64" s="49">
        <v>1900</v>
      </c>
      <c r="BH64" s="49">
        <v>480</v>
      </c>
      <c r="BI64" s="49">
        <v>0</v>
      </c>
      <c r="BJ64" s="49">
        <v>1380</v>
      </c>
      <c r="BK64" s="49">
        <v>800</v>
      </c>
      <c r="BL64" s="49">
        <v>1200</v>
      </c>
      <c r="BM64" s="49">
        <v>220</v>
      </c>
      <c r="BN64" s="49">
        <v>600</v>
      </c>
      <c r="BO64" s="49">
        <v>360</v>
      </c>
      <c r="BP64" s="50">
        <v>960</v>
      </c>
      <c r="BQ64" s="50">
        <v>0</v>
      </c>
      <c r="BR64" s="50"/>
      <c r="BS64" s="50">
        <v>0</v>
      </c>
      <c r="BT64" s="50">
        <v>0</v>
      </c>
      <c r="BU64" s="50">
        <v>0</v>
      </c>
      <c r="BV64" s="50"/>
      <c r="BW64" s="50">
        <v>0</v>
      </c>
      <c r="BX64" s="50"/>
      <c r="BY64" s="50"/>
      <c r="BZ64" s="50"/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/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2">
        <v>0</v>
      </c>
      <c r="DG64" s="52">
        <v>0</v>
      </c>
      <c r="DH64" s="52">
        <v>0</v>
      </c>
      <c r="DI64" s="52">
        <v>0</v>
      </c>
      <c r="DJ64" s="52">
        <v>0</v>
      </c>
      <c r="DK64" s="52">
        <v>0</v>
      </c>
      <c r="DL64" s="52">
        <v>0</v>
      </c>
      <c r="DM64" s="52">
        <v>0</v>
      </c>
      <c r="DN64" s="52">
        <v>0</v>
      </c>
      <c r="DO64" s="52">
        <v>0</v>
      </c>
      <c r="DP64" s="52">
        <v>0</v>
      </c>
      <c r="DQ64" s="52">
        <v>0</v>
      </c>
      <c r="DR64" s="52">
        <v>0</v>
      </c>
      <c r="DS64" s="53">
        <v>0</v>
      </c>
      <c r="DT64" s="53">
        <v>0</v>
      </c>
      <c r="DU64" s="53">
        <v>0</v>
      </c>
      <c r="DV64" s="53">
        <v>0</v>
      </c>
      <c r="DW64" s="53">
        <v>0</v>
      </c>
      <c r="DX64" s="2"/>
      <c r="DY64" s="2"/>
      <c r="DZ64" s="46">
        <f t="shared" si="11"/>
        <v>0</v>
      </c>
      <c r="EA64" s="46">
        <f t="shared" si="12"/>
        <v>0</v>
      </c>
      <c r="EB64" s="46">
        <f t="shared" si="13"/>
        <v>0</v>
      </c>
      <c r="EC64" s="46">
        <f t="shared" si="14"/>
        <v>20</v>
      </c>
      <c r="ED64" s="46">
        <f t="shared" si="15"/>
        <v>9439</v>
      </c>
      <c r="EE64" s="46">
        <f t="shared" si="16"/>
        <v>960</v>
      </c>
      <c r="EF64" s="46">
        <f t="shared" si="17"/>
        <v>0</v>
      </c>
      <c r="EG64" s="46">
        <f t="shared" si="18"/>
        <v>0</v>
      </c>
      <c r="EH64" s="46">
        <f t="shared" si="8"/>
        <v>0</v>
      </c>
      <c r="EI64" s="46">
        <f t="shared" si="10"/>
        <v>0</v>
      </c>
    </row>
    <row r="65" spans="3:139" ht="12">
      <c r="C65" s="36" t="s">
        <v>205</v>
      </c>
      <c r="D65" s="36" t="s">
        <v>201</v>
      </c>
      <c r="E65" s="36" t="s">
        <v>202</v>
      </c>
      <c r="F65" s="38">
        <f t="shared" si="9"/>
        <v>18135</v>
      </c>
      <c r="G65" s="37" t="s">
        <v>197</v>
      </c>
      <c r="H65" s="47"/>
      <c r="I65" s="48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8"/>
      <c r="U65" s="48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8"/>
      <c r="AG65" s="48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>
        <v>0</v>
      </c>
      <c r="BA65" s="49">
        <v>0</v>
      </c>
      <c r="BB65" s="49">
        <v>20</v>
      </c>
      <c r="BC65" s="49">
        <v>0</v>
      </c>
      <c r="BD65" s="49">
        <v>0</v>
      </c>
      <c r="BE65" s="49">
        <v>0</v>
      </c>
      <c r="BF65" s="49">
        <v>3017</v>
      </c>
      <c r="BG65" s="49">
        <v>4540</v>
      </c>
      <c r="BH65" s="49">
        <v>1000</v>
      </c>
      <c r="BI65" s="49">
        <v>4520</v>
      </c>
      <c r="BJ65" s="49">
        <v>3180</v>
      </c>
      <c r="BK65" s="49">
        <v>900</v>
      </c>
      <c r="BL65" s="49">
        <v>540</v>
      </c>
      <c r="BM65" s="49">
        <v>80</v>
      </c>
      <c r="BN65" s="49">
        <v>0</v>
      </c>
      <c r="BO65" s="49">
        <v>260</v>
      </c>
      <c r="BP65" s="50">
        <v>0</v>
      </c>
      <c r="BQ65" s="50">
        <v>40</v>
      </c>
      <c r="BR65" s="50"/>
      <c r="BS65" s="50">
        <v>0</v>
      </c>
      <c r="BT65" s="50">
        <v>0</v>
      </c>
      <c r="BU65" s="50">
        <v>0</v>
      </c>
      <c r="BV65" s="50"/>
      <c r="BW65" s="50">
        <v>0</v>
      </c>
      <c r="BX65" s="50"/>
      <c r="BY65" s="50"/>
      <c r="BZ65" s="50"/>
      <c r="CA65" s="50">
        <v>0</v>
      </c>
      <c r="CB65" s="50">
        <v>0</v>
      </c>
      <c r="CC65" s="50">
        <v>0</v>
      </c>
      <c r="CD65" s="50">
        <v>0</v>
      </c>
      <c r="CE65" s="50">
        <v>18</v>
      </c>
      <c r="CF65" s="50">
        <v>0</v>
      </c>
      <c r="CG65" s="50"/>
      <c r="CH65" s="50">
        <v>0</v>
      </c>
      <c r="CI65" s="50">
        <v>0</v>
      </c>
      <c r="CJ65" s="50">
        <v>0</v>
      </c>
      <c r="CK65" s="50">
        <v>0</v>
      </c>
      <c r="CL65" s="50">
        <v>0</v>
      </c>
      <c r="CM65" s="50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2">
        <v>0</v>
      </c>
      <c r="DG65" s="52">
        <v>0</v>
      </c>
      <c r="DH65" s="52">
        <v>0</v>
      </c>
      <c r="DI65" s="52">
        <v>0</v>
      </c>
      <c r="DJ65" s="52">
        <v>0</v>
      </c>
      <c r="DK65" s="52">
        <v>0</v>
      </c>
      <c r="DL65" s="52">
        <v>0</v>
      </c>
      <c r="DM65" s="52">
        <v>0</v>
      </c>
      <c r="DN65" s="52">
        <v>0</v>
      </c>
      <c r="DO65" s="52">
        <v>20</v>
      </c>
      <c r="DP65" s="52">
        <v>0</v>
      </c>
      <c r="DQ65" s="52">
        <v>0</v>
      </c>
      <c r="DR65" s="52">
        <v>0</v>
      </c>
      <c r="DS65" s="53">
        <v>0</v>
      </c>
      <c r="DT65" s="53">
        <v>0</v>
      </c>
      <c r="DU65" s="53">
        <v>0</v>
      </c>
      <c r="DV65" s="53">
        <v>0</v>
      </c>
      <c r="DW65" s="53">
        <v>0</v>
      </c>
      <c r="DX65" s="2"/>
      <c r="DY65" s="2"/>
      <c r="DZ65" s="46">
        <f t="shared" si="11"/>
        <v>0</v>
      </c>
      <c r="EA65" s="46">
        <f t="shared" si="12"/>
        <v>0</v>
      </c>
      <c r="EB65" s="46">
        <f t="shared" si="13"/>
        <v>0</v>
      </c>
      <c r="EC65" s="46">
        <f t="shared" si="14"/>
        <v>20</v>
      </c>
      <c r="ED65" s="46">
        <f t="shared" si="15"/>
        <v>18037</v>
      </c>
      <c r="EE65" s="46">
        <f t="shared" si="16"/>
        <v>40</v>
      </c>
      <c r="EF65" s="46">
        <f t="shared" si="17"/>
        <v>18</v>
      </c>
      <c r="EG65" s="46">
        <f t="shared" si="18"/>
        <v>0</v>
      </c>
      <c r="EH65" s="46">
        <f t="shared" si="8"/>
        <v>0</v>
      </c>
      <c r="EI65" s="46">
        <f t="shared" si="10"/>
        <v>20</v>
      </c>
    </row>
    <row r="66" spans="3:139" ht="12">
      <c r="C66" s="36" t="s">
        <v>206</v>
      </c>
      <c r="D66" s="36" t="s">
        <v>207</v>
      </c>
      <c r="E66" s="36" t="s">
        <v>208</v>
      </c>
      <c r="F66" s="38">
        <f t="shared" si="9"/>
        <v>118</v>
      </c>
      <c r="G66" s="37" t="s">
        <v>209</v>
      </c>
      <c r="H66" s="47"/>
      <c r="I66" s="48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8"/>
      <c r="U66" s="48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8"/>
      <c r="AG66" s="48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>
        <v>38</v>
      </c>
      <c r="BM66" s="49"/>
      <c r="BN66" s="49">
        <v>40</v>
      </c>
      <c r="BO66" s="49"/>
      <c r="BP66" s="50">
        <v>0</v>
      </c>
      <c r="BQ66" s="50">
        <v>20</v>
      </c>
      <c r="BR66" s="50"/>
      <c r="BS66" s="50">
        <v>0</v>
      </c>
      <c r="BT66" s="50">
        <v>0</v>
      </c>
      <c r="BU66" s="50">
        <v>0</v>
      </c>
      <c r="BV66" s="50"/>
      <c r="BW66" s="50">
        <v>0</v>
      </c>
      <c r="BX66" s="50"/>
      <c r="BY66" s="50">
        <v>0</v>
      </c>
      <c r="BZ66" s="50"/>
      <c r="CA66" s="50">
        <v>0</v>
      </c>
      <c r="CB66" s="50">
        <v>0</v>
      </c>
      <c r="CC66" s="50">
        <v>0</v>
      </c>
      <c r="CD66" s="50">
        <v>0</v>
      </c>
      <c r="CE66" s="50">
        <v>0</v>
      </c>
      <c r="CF66" s="50">
        <v>0</v>
      </c>
      <c r="CG66" s="50"/>
      <c r="CH66" s="50">
        <v>0</v>
      </c>
      <c r="CI66" s="50">
        <v>0</v>
      </c>
      <c r="CJ66" s="50">
        <v>0</v>
      </c>
      <c r="CK66" s="50">
        <v>0</v>
      </c>
      <c r="CL66" s="50">
        <v>0</v>
      </c>
      <c r="CM66" s="50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2">
        <v>0</v>
      </c>
      <c r="DG66" s="52">
        <v>0</v>
      </c>
      <c r="DH66" s="52">
        <v>0</v>
      </c>
      <c r="DI66" s="52">
        <v>0</v>
      </c>
      <c r="DJ66" s="52">
        <v>0</v>
      </c>
      <c r="DK66" s="52">
        <v>0</v>
      </c>
      <c r="DL66" s="52">
        <v>0</v>
      </c>
      <c r="DM66" s="52">
        <v>20</v>
      </c>
      <c r="DN66" s="52">
        <v>0</v>
      </c>
      <c r="DO66" s="52">
        <v>0</v>
      </c>
      <c r="DP66" s="52">
        <v>0</v>
      </c>
      <c r="DQ66" s="52">
        <v>0</v>
      </c>
      <c r="DR66" s="52">
        <v>0</v>
      </c>
      <c r="DS66" s="53">
        <v>0</v>
      </c>
      <c r="DT66" s="53">
        <v>0</v>
      </c>
      <c r="DU66" s="53">
        <v>0</v>
      </c>
      <c r="DV66" s="53">
        <v>0</v>
      </c>
      <c r="DW66" s="53">
        <v>0</v>
      </c>
      <c r="DX66" s="2"/>
      <c r="DY66" s="2"/>
      <c r="DZ66" s="46">
        <f t="shared" si="11"/>
        <v>0</v>
      </c>
      <c r="EA66" s="46">
        <f t="shared" si="12"/>
        <v>0</v>
      </c>
      <c r="EB66" s="46">
        <f t="shared" si="13"/>
        <v>0</v>
      </c>
      <c r="EC66" s="46">
        <f t="shared" si="14"/>
        <v>0</v>
      </c>
      <c r="ED66" s="46">
        <f t="shared" si="15"/>
        <v>78</v>
      </c>
      <c r="EE66" s="46">
        <f t="shared" si="16"/>
        <v>20</v>
      </c>
      <c r="EF66" s="46">
        <f t="shared" si="17"/>
        <v>0</v>
      </c>
      <c r="EG66" s="46">
        <f t="shared" si="18"/>
        <v>0</v>
      </c>
      <c r="EH66" s="46">
        <f t="shared" si="8"/>
        <v>0</v>
      </c>
      <c r="EI66" s="46">
        <f t="shared" si="10"/>
        <v>20</v>
      </c>
    </row>
    <row r="67" spans="3:139" ht="12">
      <c r="C67" s="36" t="s">
        <v>210</v>
      </c>
      <c r="D67" s="36" t="s">
        <v>207</v>
      </c>
      <c r="E67" s="36" t="s">
        <v>208</v>
      </c>
      <c r="F67" s="38">
        <f t="shared" si="9"/>
        <v>14966</v>
      </c>
      <c r="G67" s="37" t="s">
        <v>209</v>
      </c>
      <c r="H67" s="47"/>
      <c r="I67" s="48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8"/>
      <c r="U67" s="48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8"/>
      <c r="AG67" s="48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>
        <v>86</v>
      </c>
      <c r="BJ67" s="49"/>
      <c r="BK67" s="49"/>
      <c r="BL67" s="49">
        <v>10</v>
      </c>
      <c r="BM67" s="49"/>
      <c r="BN67" s="49">
        <v>0</v>
      </c>
      <c r="BO67" s="49"/>
      <c r="BP67" s="50">
        <v>0</v>
      </c>
      <c r="BQ67" s="50">
        <v>20</v>
      </c>
      <c r="BR67" s="50"/>
      <c r="BS67" s="50">
        <v>0</v>
      </c>
      <c r="BT67" s="50">
        <v>0</v>
      </c>
      <c r="BU67" s="50">
        <v>0</v>
      </c>
      <c r="BV67" s="50"/>
      <c r="BW67" s="50">
        <v>0</v>
      </c>
      <c r="BX67" s="50"/>
      <c r="BY67" s="50">
        <v>420</v>
      </c>
      <c r="BZ67" s="50">
        <v>500</v>
      </c>
      <c r="CA67" s="50">
        <v>0</v>
      </c>
      <c r="CB67" s="50">
        <v>500</v>
      </c>
      <c r="CC67" s="50">
        <v>759</v>
      </c>
      <c r="CD67" s="50">
        <v>188</v>
      </c>
      <c r="CE67" s="50">
        <v>800</v>
      </c>
      <c r="CF67" s="50">
        <v>328</v>
      </c>
      <c r="CG67" s="50">
        <v>220</v>
      </c>
      <c r="CH67" s="50">
        <v>92</v>
      </c>
      <c r="CI67" s="50">
        <v>480</v>
      </c>
      <c r="CJ67" s="50">
        <v>185</v>
      </c>
      <c r="CK67" s="50">
        <v>341</v>
      </c>
      <c r="CL67" s="50">
        <v>660</v>
      </c>
      <c r="CM67" s="50">
        <v>205</v>
      </c>
      <c r="CN67" s="51">
        <v>412</v>
      </c>
      <c r="CO67" s="51">
        <v>356</v>
      </c>
      <c r="CP67" s="51">
        <v>914</v>
      </c>
      <c r="CQ67" s="51">
        <v>893</v>
      </c>
      <c r="CR67" s="51">
        <v>12</v>
      </c>
      <c r="CS67" s="51">
        <v>206</v>
      </c>
      <c r="CT67" s="51">
        <v>356</v>
      </c>
      <c r="CU67" s="51">
        <v>560</v>
      </c>
      <c r="CV67" s="51">
        <v>543</v>
      </c>
      <c r="CW67" s="51">
        <v>300</v>
      </c>
      <c r="CX67" s="51">
        <v>95</v>
      </c>
      <c r="CY67" s="51">
        <v>240</v>
      </c>
      <c r="CZ67" s="51">
        <v>340</v>
      </c>
      <c r="DA67" s="51">
        <v>252</v>
      </c>
      <c r="DB67" s="51">
        <v>207</v>
      </c>
      <c r="DC67" s="51">
        <v>670</v>
      </c>
      <c r="DD67" s="51">
        <v>10</v>
      </c>
      <c r="DE67" s="51">
        <v>531</v>
      </c>
      <c r="DF67" s="52">
        <v>92</v>
      </c>
      <c r="DG67" s="52">
        <v>271</v>
      </c>
      <c r="DH67" s="52">
        <v>311</v>
      </c>
      <c r="DI67" s="52">
        <v>338</v>
      </c>
      <c r="DJ67" s="52">
        <v>-18</v>
      </c>
      <c r="DK67" s="52">
        <v>-1</v>
      </c>
      <c r="DL67" s="52">
        <v>464</v>
      </c>
      <c r="DM67" s="52">
        <v>0</v>
      </c>
      <c r="DN67" s="52">
        <v>-3</v>
      </c>
      <c r="DO67" s="52">
        <v>440</v>
      </c>
      <c r="DP67" s="52">
        <v>391</v>
      </c>
      <c r="DQ67" s="52">
        <v>-10</v>
      </c>
      <c r="DR67" s="52">
        <v>29</v>
      </c>
      <c r="DS67" s="53">
        <v>422</v>
      </c>
      <c r="DT67" s="53">
        <v>422</v>
      </c>
      <c r="DU67" s="53">
        <v>253</v>
      </c>
      <c r="DV67" s="53">
        <v>194</v>
      </c>
      <c r="DW67" s="53">
        <v>122</v>
      </c>
      <c r="DX67" s="2"/>
      <c r="DY67" s="2"/>
      <c r="DZ67" s="46">
        <f t="shared" si="11"/>
        <v>0</v>
      </c>
      <c r="EA67" s="46">
        <f t="shared" si="12"/>
        <v>0</v>
      </c>
      <c r="EB67" s="46">
        <f t="shared" si="13"/>
        <v>0</v>
      </c>
      <c r="EC67" s="46">
        <f t="shared" si="14"/>
        <v>0</v>
      </c>
      <c r="ED67" s="46">
        <f t="shared" si="15"/>
        <v>96</v>
      </c>
      <c r="EE67" s="46">
        <f t="shared" si="16"/>
        <v>940</v>
      </c>
      <c r="EF67" s="46">
        <f t="shared" si="17"/>
        <v>4758</v>
      </c>
      <c r="EG67" s="46">
        <f t="shared" si="18"/>
        <v>4887</v>
      </c>
      <c r="EH67" s="46">
        <f t="shared" si="8"/>
        <v>3004</v>
      </c>
      <c r="EI67" s="46">
        <f t="shared" si="10"/>
        <v>901</v>
      </c>
    </row>
    <row r="68" spans="3:139" ht="12">
      <c r="C68" s="36" t="s">
        <v>211</v>
      </c>
      <c r="D68" s="36" t="s">
        <v>212</v>
      </c>
      <c r="E68" s="36"/>
      <c r="F68" s="38">
        <f t="shared" si="9"/>
        <v>0</v>
      </c>
      <c r="G68" s="37" t="s">
        <v>209</v>
      </c>
      <c r="H68" s="47"/>
      <c r="I68" s="48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8"/>
      <c r="U68" s="48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8"/>
      <c r="AG68" s="48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>
        <v>0</v>
      </c>
      <c r="BM68" s="49"/>
      <c r="BN68" s="49">
        <v>0</v>
      </c>
      <c r="BO68" s="49"/>
      <c r="BP68" s="50">
        <v>0</v>
      </c>
      <c r="BQ68" s="50">
        <v>0</v>
      </c>
      <c r="BR68" s="50"/>
      <c r="BS68" s="50">
        <v>0</v>
      </c>
      <c r="BT68" s="50">
        <v>0</v>
      </c>
      <c r="BU68" s="50">
        <v>0</v>
      </c>
      <c r="BV68" s="50"/>
      <c r="BW68" s="50">
        <v>0</v>
      </c>
      <c r="BX68" s="50"/>
      <c r="BY68" s="50"/>
      <c r="BZ68" s="50"/>
      <c r="CA68" s="50">
        <v>0</v>
      </c>
      <c r="CB68" s="50">
        <v>0</v>
      </c>
      <c r="CC68" s="50">
        <v>0</v>
      </c>
      <c r="CD68" s="50">
        <v>0</v>
      </c>
      <c r="CE68" s="50">
        <v>0</v>
      </c>
      <c r="CF68" s="50">
        <v>0</v>
      </c>
      <c r="CG68" s="50"/>
      <c r="CH68" s="50">
        <v>0</v>
      </c>
      <c r="CI68" s="50">
        <v>0</v>
      </c>
      <c r="CJ68" s="50">
        <v>0</v>
      </c>
      <c r="CK68" s="50">
        <v>0</v>
      </c>
      <c r="CL68" s="50">
        <v>0</v>
      </c>
      <c r="CM68" s="50">
        <v>0</v>
      </c>
      <c r="CN68" s="51">
        <v>0</v>
      </c>
      <c r="CO68" s="51">
        <v>0</v>
      </c>
      <c r="CP68" s="51">
        <v>0</v>
      </c>
      <c r="CQ68" s="51"/>
      <c r="CR68" s="51">
        <v>0</v>
      </c>
      <c r="CS68" s="51">
        <v>0</v>
      </c>
      <c r="CT68" s="51"/>
      <c r="CU68" s="51">
        <v>0</v>
      </c>
      <c r="CV68" s="51"/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/>
      <c r="DC68" s="51">
        <v>0</v>
      </c>
      <c r="DD68" s="51">
        <v>0</v>
      </c>
      <c r="DE68" s="51">
        <v>0</v>
      </c>
      <c r="DF68" s="52">
        <v>0</v>
      </c>
      <c r="DG68" s="52">
        <v>0</v>
      </c>
      <c r="DH68" s="52">
        <v>0</v>
      </c>
      <c r="DI68" s="52">
        <v>0</v>
      </c>
      <c r="DJ68" s="52">
        <v>0</v>
      </c>
      <c r="DK68" s="52">
        <v>0</v>
      </c>
      <c r="DL68" s="52">
        <v>0</v>
      </c>
      <c r="DM68" s="52">
        <v>0</v>
      </c>
      <c r="DN68" s="52">
        <v>0</v>
      </c>
      <c r="DO68" s="52">
        <v>0</v>
      </c>
      <c r="DP68" s="52">
        <v>0</v>
      </c>
      <c r="DQ68" s="52">
        <v>0</v>
      </c>
      <c r="DR68" s="52">
        <v>0</v>
      </c>
      <c r="DS68" s="53">
        <v>0</v>
      </c>
      <c r="DT68" s="53">
        <v>0</v>
      </c>
      <c r="DU68" s="53">
        <v>0</v>
      </c>
      <c r="DV68" s="53">
        <v>0</v>
      </c>
      <c r="DW68" s="53">
        <v>0</v>
      </c>
      <c r="DX68" s="2"/>
      <c r="DY68" s="2"/>
      <c r="DZ68" s="46">
        <f t="shared" si="11"/>
        <v>0</v>
      </c>
      <c r="EA68" s="46">
        <f t="shared" si="12"/>
        <v>0</v>
      </c>
      <c r="EB68" s="46">
        <f t="shared" si="13"/>
        <v>0</v>
      </c>
      <c r="EC68" s="46">
        <f t="shared" si="14"/>
        <v>0</v>
      </c>
      <c r="ED68" s="46">
        <f t="shared" si="15"/>
        <v>0</v>
      </c>
      <c r="EE68" s="46">
        <f t="shared" si="16"/>
        <v>0</v>
      </c>
      <c r="EF68" s="46">
        <f t="shared" si="17"/>
        <v>0</v>
      </c>
      <c r="EG68" s="46">
        <f t="shared" si="18"/>
        <v>0</v>
      </c>
      <c r="EH68" s="46">
        <f t="shared" si="8"/>
        <v>0</v>
      </c>
      <c r="EI68" s="46">
        <f t="shared" si="10"/>
        <v>0</v>
      </c>
    </row>
    <row r="69" spans="3:139" ht="12">
      <c r="C69" s="36" t="s">
        <v>213</v>
      </c>
      <c r="D69" s="36" t="s">
        <v>212</v>
      </c>
      <c r="E69" s="36"/>
      <c r="F69" s="38">
        <f t="shared" si="9"/>
        <v>20</v>
      </c>
      <c r="G69" s="37" t="s">
        <v>209</v>
      </c>
      <c r="H69" s="47"/>
      <c r="I69" s="48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8"/>
      <c r="U69" s="48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8"/>
      <c r="AG69" s="48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50"/>
      <c r="BQ69" s="50"/>
      <c r="BR69" s="50"/>
      <c r="BS69" s="50"/>
      <c r="BT69" s="50"/>
      <c r="BU69" s="50"/>
      <c r="BV69" s="50"/>
      <c r="BW69" s="50"/>
      <c r="BX69" s="50">
        <v>20</v>
      </c>
      <c r="BY69" s="50"/>
      <c r="BZ69" s="50"/>
      <c r="CA69" s="50">
        <v>0</v>
      </c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3">
        <v>0</v>
      </c>
      <c r="DT69" s="53">
        <v>0</v>
      </c>
      <c r="DU69" s="53">
        <v>0</v>
      </c>
      <c r="DV69" s="53">
        <v>0</v>
      </c>
      <c r="DW69" s="53">
        <v>0</v>
      </c>
      <c r="DX69" s="2"/>
      <c r="DY69" s="2"/>
      <c r="DZ69" s="46">
        <f t="shared" si="11"/>
        <v>0</v>
      </c>
      <c r="EA69" s="46">
        <f t="shared" si="12"/>
        <v>0</v>
      </c>
      <c r="EB69" s="46">
        <f t="shared" si="13"/>
        <v>0</v>
      </c>
      <c r="EC69" s="46">
        <f t="shared" si="14"/>
        <v>0</v>
      </c>
      <c r="ED69" s="46">
        <f t="shared" si="15"/>
        <v>0</v>
      </c>
      <c r="EE69" s="46">
        <f t="shared" si="16"/>
        <v>20</v>
      </c>
      <c r="EF69" s="46">
        <f t="shared" si="17"/>
        <v>0</v>
      </c>
      <c r="EG69" s="46">
        <f t="shared" si="18"/>
        <v>0</v>
      </c>
      <c r="EH69" s="46">
        <f t="shared" si="8"/>
        <v>0</v>
      </c>
      <c r="EI69" s="46">
        <f t="shared" si="10"/>
        <v>0</v>
      </c>
    </row>
    <row r="70" spans="3:139" ht="12">
      <c r="C70" s="36" t="s">
        <v>214</v>
      </c>
      <c r="D70" s="36" t="s">
        <v>215</v>
      </c>
      <c r="E70" s="36" t="s">
        <v>216</v>
      </c>
      <c r="F70" s="38">
        <f t="shared" si="9"/>
        <v>10473</v>
      </c>
      <c r="G70" s="37" t="s">
        <v>209</v>
      </c>
      <c r="H70" s="47"/>
      <c r="I70" s="48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8"/>
      <c r="U70" s="48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8"/>
      <c r="AG70" s="48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>
        <v>10</v>
      </c>
      <c r="BM70" s="49"/>
      <c r="BN70" s="49">
        <v>0</v>
      </c>
      <c r="BO70" s="49"/>
      <c r="BP70" s="50">
        <v>0</v>
      </c>
      <c r="BQ70" s="50">
        <v>20</v>
      </c>
      <c r="BR70" s="50"/>
      <c r="BS70" s="50">
        <v>0</v>
      </c>
      <c r="BT70" s="50">
        <v>0</v>
      </c>
      <c r="BU70" s="50">
        <v>0</v>
      </c>
      <c r="BV70" s="50"/>
      <c r="BW70" s="50">
        <v>1400</v>
      </c>
      <c r="BX70" s="50">
        <v>0</v>
      </c>
      <c r="BY70" s="50">
        <v>100</v>
      </c>
      <c r="BZ70" s="50">
        <v>400</v>
      </c>
      <c r="CA70" s="50">
        <v>0</v>
      </c>
      <c r="CB70" s="50">
        <v>100</v>
      </c>
      <c r="CC70" s="50">
        <v>219</v>
      </c>
      <c r="CD70" s="50">
        <v>343</v>
      </c>
      <c r="CE70" s="50">
        <v>516</v>
      </c>
      <c r="CF70" s="50">
        <v>66</v>
      </c>
      <c r="CG70" s="50">
        <v>19</v>
      </c>
      <c r="CH70" s="50">
        <v>265</v>
      </c>
      <c r="CI70" s="50">
        <v>180</v>
      </c>
      <c r="CJ70" s="50">
        <v>277</v>
      </c>
      <c r="CK70" s="50">
        <v>761</v>
      </c>
      <c r="CL70" s="50">
        <v>210</v>
      </c>
      <c r="CM70" s="50">
        <v>2</v>
      </c>
      <c r="CN70" s="51">
        <v>370</v>
      </c>
      <c r="CO70" s="51">
        <v>162</v>
      </c>
      <c r="CP70" s="51">
        <v>176</v>
      </c>
      <c r="CQ70" s="51">
        <v>440</v>
      </c>
      <c r="CR70" s="51">
        <v>-21</v>
      </c>
      <c r="CS70" s="51">
        <v>227</v>
      </c>
      <c r="CT70" s="51">
        <v>296</v>
      </c>
      <c r="CU70" s="51">
        <v>240</v>
      </c>
      <c r="CV70" s="51">
        <v>300</v>
      </c>
      <c r="CW70" s="51">
        <v>400</v>
      </c>
      <c r="CX70" s="51">
        <v>177</v>
      </c>
      <c r="CY70" s="51">
        <v>240</v>
      </c>
      <c r="CZ70" s="51">
        <v>380</v>
      </c>
      <c r="DA70" s="51">
        <v>79</v>
      </c>
      <c r="DB70" s="51">
        <v>548</v>
      </c>
      <c r="DC70" s="51">
        <v>9</v>
      </c>
      <c r="DD70" s="51">
        <v>56</v>
      </c>
      <c r="DE70" s="51">
        <v>39</v>
      </c>
      <c r="DF70" s="52">
        <v>351</v>
      </c>
      <c r="DG70" s="52">
        <v>182</v>
      </c>
      <c r="DH70" s="52">
        <v>174</v>
      </c>
      <c r="DI70" s="52">
        <v>297</v>
      </c>
      <c r="DJ70" s="52">
        <v>180</v>
      </c>
      <c r="DK70" s="52">
        <v>2</v>
      </c>
      <c r="DL70" s="52">
        <v>57</v>
      </c>
      <c r="DM70" s="52">
        <v>0</v>
      </c>
      <c r="DN70" s="52">
        <v>197</v>
      </c>
      <c r="DO70" s="52">
        <v>27</v>
      </c>
      <c r="DP70" s="52">
        <v>0</v>
      </c>
      <c r="DQ70" s="52">
        <v>0</v>
      </c>
      <c r="DR70" s="52">
        <v>8</v>
      </c>
      <c r="DS70" s="53">
        <v>0</v>
      </c>
      <c r="DT70" s="53">
        <v>0</v>
      </c>
      <c r="DU70" s="53">
        <v>0</v>
      </c>
      <c r="DV70" s="53">
        <v>0</v>
      </c>
      <c r="DW70" s="53">
        <v>0</v>
      </c>
      <c r="DX70" s="2"/>
      <c r="DY70" s="2"/>
      <c r="DZ70" s="46">
        <f t="shared" si="11"/>
        <v>0</v>
      </c>
      <c r="EA70" s="46">
        <f t="shared" si="12"/>
        <v>0</v>
      </c>
      <c r="EB70" s="46">
        <f t="shared" si="13"/>
        <v>0</v>
      </c>
      <c r="EC70" s="46">
        <f t="shared" si="14"/>
        <v>0</v>
      </c>
      <c r="ED70" s="46">
        <f t="shared" si="15"/>
        <v>10</v>
      </c>
      <c r="EE70" s="46">
        <f t="shared" si="16"/>
        <v>1920</v>
      </c>
      <c r="EF70" s="46">
        <f t="shared" si="17"/>
        <v>2958</v>
      </c>
      <c r="EG70" s="46">
        <f t="shared" si="18"/>
        <v>3007</v>
      </c>
      <c r="EH70" s="46">
        <f t="shared" si="8"/>
        <v>2295</v>
      </c>
      <c r="EI70" s="46">
        <f t="shared" si="10"/>
        <v>281</v>
      </c>
    </row>
    <row r="71" spans="3:139" ht="12">
      <c r="C71" s="36" t="s">
        <v>217</v>
      </c>
      <c r="D71" s="36" t="s">
        <v>215</v>
      </c>
      <c r="E71" s="36" t="s">
        <v>216</v>
      </c>
      <c r="F71" s="38">
        <f t="shared" si="9"/>
        <v>2981</v>
      </c>
      <c r="G71" s="37" t="s">
        <v>209</v>
      </c>
      <c r="H71" s="47"/>
      <c r="I71" s="48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8"/>
      <c r="U71" s="48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8"/>
      <c r="AG71" s="48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>
        <v>38</v>
      </c>
      <c r="BM71" s="49"/>
      <c r="BN71" s="49">
        <v>40</v>
      </c>
      <c r="BO71" s="49"/>
      <c r="BP71" s="50">
        <v>0</v>
      </c>
      <c r="BQ71" s="50">
        <v>20</v>
      </c>
      <c r="BR71" s="50"/>
      <c r="BS71" s="50">
        <v>0</v>
      </c>
      <c r="BT71" s="50">
        <v>0</v>
      </c>
      <c r="BU71" s="50">
        <v>0</v>
      </c>
      <c r="BV71" s="50"/>
      <c r="BW71" s="50">
        <v>0</v>
      </c>
      <c r="BX71" s="50">
        <v>220</v>
      </c>
      <c r="BY71" s="50">
        <v>600</v>
      </c>
      <c r="BZ71" s="50">
        <v>400</v>
      </c>
      <c r="CA71" s="50">
        <v>0</v>
      </c>
      <c r="CB71" s="50">
        <v>200</v>
      </c>
      <c r="CC71" s="50">
        <v>380</v>
      </c>
      <c r="CD71" s="50">
        <v>387</v>
      </c>
      <c r="CE71" s="50">
        <v>351</v>
      </c>
      <c r="CF71" s="50">
        <v>76</v>
      </c>
      <c r="CG71" s="50">
        <v>300</v>
      </c>
      <c r="CH71" s="50">
        <v>2</v>
      </c>
      <c r="CI71" s="50">
        <v>0</v>
      </c>
      <c r="CJ71" s="50">
        <v>0</v>
      </c>
      <c r="CK71" s="50">
        <v>0</v>
      </c>
      <c r="CL71" s="50">
        <v>-3</v>
      </c>
      <c r="CM71" s="50">
        <v>-15</v>
      </c>
      <c r="CN71" s="51">
        <v>0</v>
      </c>
      <c r="CO71" s="51">
        <v>0</v>
      </c>
      <c r="CP71" s="51">
        <v>0</v>
      </c>
      <c r="CQ71" s="51">
        <v>-15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2">
        <v>0</v>
      </c>
      <c r="DG71" s="52">
        <v>0</v>
      </c>
      <c r="DH71" s="52">
        <v>0</v>
      </c>
      <c r="DI71" s="52">
        <v>0</v>
      </c>
      <c r="DJ71" s="52">
        <v>0</v>
      </c>
      <c r="DK71" s="52">
        <v>0</v>
      </c>
      <c r="DL71" s="52">
        <v>0</v>
      </c>
      <c r="DM71" s="52">
        <v>0</v>
      </c>
      <c r="DN71" s="52">
        <v>0</v>
      </c>
      <c r="DO71" s="52">
        <v>0</v>
      </c>
      <c r="DP71" s="52">
        <v>0</v>
      </c>
      <c r="DQ71" s="52">
        <v>0</v>
      </c>
      <c r="DR71" s="52">
        <v>0</v>
      </c>
      <c r="DS71" s="53">
        <v>0</v>
      </c>
      <c r="DT71" s="53">
        <v>0</v>
      </c>
      <c r="DU71" s="53">
        <v>0</v>
      </c>
      <c r="DV71" s="53">
        <v>0</v>
      </c>
      <c r="DW71" s="53">
        <v>0</v>
      </c>
      <c r="DX71" s="2"/>
      <c r="DY71" s="2"/>
      <c r="DZ71" s="46">
        <f t="shared" si="11"/>
        <v>0</v>
      </c>
      <c r="EA71" s="46">
        <f t="shared" si="12"/>
        <v>0</v>
      </c>
      <c r="EB71" s="46">
        <f t="shared" si="13"/>
        <v>0</v>
      </c>
      <c r="EC71" s="46">
        <f t="shared" si="14"/>
        <v>0</v>
      </c>
      <c r="ED71" s="46">
        <f t="shared" si="15"/>
        <v>78</v>
      </c>
      <c r="EE71" s="46">
        <f t="shared" si="16"/>
        <v>1240</v>
      </c>
      <c r="EF71" s="46">
        <f t="shared" si="17"/>
        <v>1678</v>
      </c>
      <c r="EG71" s="46">
        <f t="shared" si="18"/>
        <v>-15</v>
      </c>
      <c r="EH71" s="46">
        <f t="shared" si="8"/>
        <v>0</v>
      </c>
      <c r="EI71" s="46">
        <f t="shared" si="10"/>
        <v>0</v>
      </c>
    </row>
    <row r="72" spans="3:139" ht="12">
      <c r="C72" s="36" t="s">
        <v>218</v>
      </c>
      <c r="D72" s="36" t="s">
        <v>212</v>
      </c>
      <c r="E72" s="36"/>
      <c r="F72" s="38">
        <f t="shared" si="9"/>
        <v>0</v>
      </c>
      <c r="G72" s="37" t="s">
        <v>209</v>
      </c>
      <c r="H72" s="47"/>
      <c r="I72" s="48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8"/>
      <c r="U72" s="48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8"/>
      <c r="AG72" s="48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>
        <v>0</v>
      </c>
      <c r="CD72" s="50">
        <v>0</v>
      </c>
      <c r="CE72" s="50">
        <v>0</v>
      </c>
      <c r="CF72" s="50">
        <v>0</v>
      </c>
      <c r="CG72" s="50"/>
      <c r="CH72" s="50">
        <v>0</v>
      </c>
      <c r="CI72" s="50">
        <v>0</v>
      </c>
      <c r="CJ72" s="50">
        <v>0</v>
      </c>
      <c r="CK72" s="50">
        <v>0</v>
      </c>
      <c r="CL72" s="50">
        <v>0</v>
      </c>
      <c r="CM72" s="50">
        <v>0</v>
      </c>
      <c r="CN72" s="51">
        <v>0</v>
      </c>
      <c r="CO72" s="51">
        <v>0</v>
      </c>
      <c r="CP72" s="51">
        <v>0</v>
      </c>
      <c r="CQ72" s="51"/>
      <c r="CR72" s="51">
        <v>0</v>
      </c>
      <c r="CS72" s="51">
        <v>0</v>
      </c>
      <c r="CT72" s="51"/>
      <c r="CU72" s="51">
        <v>0</v>
      </c>
      <c r="CV72" s="51"/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/>
      <c r="DC72" s="51">
        <v>0</v>
      </c>
      <c r="DD72" s="51">
        <v>0</v>
      </c>
      <c r="DE72" s="51">
        <v>0</v>
      </c>
      <c r="DF72" s="52">
        <v>0</v>
      </c>
      <c r="DG72" s="52">
        <v>0</v>
      </c>
      <c r="DH72" s="52">
        <v>0</v>
      </c>
      <c r="DI72" s="52">
        <v>0</v>
      </c>
      <c r="DJ72" s="52">
        <v>0</v>
      </c>
      <c r="DK72" s="52">
        <v>0</v>
      </c>
      <c r="DL72" s="52">
        <v>0</v>
      </c>
      <c r="DM72" s="52">
        <v>0</v>
      </c>
      <c r="DN72" s="52">
        <v>0</v>
      </c>
      <c r="DO72" s="52">
        <v>0</v>
      </c>
      <c r="DP72" s="52">
        <v>0</v>
      </c>
      <c r="DQ72" s="52">
        <v>0</v>
      </c>
      <c r="DR72" s="52">
        <v>0</v>
      </c>
      <c r="DS72" s="53">
        <v>0</v>
      </c>
      <c r="DT72" s="53">
        <v>0</v>
      </c>
      <c r="DU72" s="53">
        <v>0</v>
      </c>
      <c r="DV72" s="53">
        <v>0</v>
      </c>
      <c r="DW72" s="53">
        <v>0</v>
      </c>
      <c r="DX72" s="2"/>
      <c r="DY72" s="2"/>
      <c r="DZ72" s="46">
        <f t="shared" si="11"/>
        <v>0</v>
      </c>
      <c r="EA72" s="46">
        <f t="shared" si="12"/>
        <v>0</v>
      </c>
      <c r="EB72" s="46">
        <f t="shared" si="13"/>
        <v>0</v>
      </c>
      <c r="EC72" s="46">
        <f t="shared" si="14"/>
        <v>0</v>
      </c>
      <c r="ED72" s="46">
        <f t="shared" si="15"/>
        <v>0</v>
      </c>
      <c r="EE72" s="46">
        <f t="shared" si="16"/>
        <v>0</v>
      </c>
      <c r="EF72" s="46">
        <f t="shared" si="17"/>
        <v>0</v>
      </c>
      <c r="EG72" s="46">
        <f t="shared" si="18"/>
        <v>0</v>
      </c>
      <c r="EH72" s="46">
        <f t="shared" si="8"/>
        <v>0</v>
      </c>
      <c r="EI72" s="46">
        <f t="shared" si="10"/>
        <v>0</v>
      </c>
    </row>
    <row r="73" spans="3:139" ht="12">
      <c r="C73" s="36" t="s">
        <v>219</v>
      </c>
      <c r="D73" s="36" t="s">
        <v>220</v>
      </c>
      <c r="E73" s="36" t="s">
        <v>221</v>
      </c>
      <c r="F73" s="38">
        <f t="shared" si="9"/>
        <v>167072</v>
      </c>
      <c r="G73" s="37" t="s">
        <v>209</v>
      </c>
      <c r="H73" s="47"/>
      <c r="I73" s="48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8"/>
      <c r="U73" s="48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8"/>
      <c r="AG73" s="48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>
        <v>40</v>
      </c>
      <c r="BM73" s="49"/>
      <c r="BN73" s="49">
        <v>40</v>
      </c>
      <c r="BO73" s="49"/>
      <c r="BP73" s="50">
        <v>0</v>
      </c>
      <c r="BQ73" s="50">
        <v>20</v>
      </c>
      <c r="BR73" s="50"/>
      <c r="BS73" s="50">
        <v>0</v>
      </c>
      <c r="BT73" s="50">
        <v>800</v>
      </c>
      <c r="BU73" s="50">
        <v>2492</v>
      </c>
      <c r="BV73" s="50">
        <v>2600</v>
      </c>
      <c r="BW73" s="50">
        <v>3200</v>
      </c>
      <c r="BX73" s="50">
        <v>2500</v>
      </c>
      <c r="BY73" s="50">
        <v>3875</v>
      </c>
      <c r="BZ73" s="50">
        <v>3580</v>
      </c>
      <c r="CA73" s="50">
        <v>2765</v>
      </c>
      <c r="CB73" s="50">
        <v>4220</v>
      </c>
      <c r="CC73" s="50">
        <v>3099</v>
      </c>
      <c r="CD73" s="50">
        <v>6067</v>
      </c>
      <c r="CE73" s="50">
        <v>1200</v>
      </c>
      <c r="CF73" s="50">
        <v>1595</v>
      </c>
      <c r="CG73" s="50">
        <v>2539</v>
      </c>
      <c r="CH73" s="50">
        <v>2055</v>
      </c>
      <c r="CI73" s="50">
        <v>3558</v>
      </c>
      <c r="CJ73" s="50">
        <v>2320</v>
      </c>
      <c r="CK73" s="50">
        <v>5304</v>
      </c>
      <c r="CL73" s="50">
        <v>4377</v>
      </c>
      <c r="CM73" s="50">
        <v>2429</v>
      </c>
      <c r="CN73" s="51">
        <v>3110</v>
      </c>
      <c r="CO73" s="51">
        <v>1439</v>
      </c>
      <c r="CP73" s="51">
        <v>4518</v>
      </c>
      <c r="CQ73" s="51">
        <v>5256</v>
      </c>
      <c r="CR73" s="51">
        <v>5286</v>
      </c>
      <c r="CS73" s="51">
        <v>1320</v>
      </c>
      <c r="CT73" s="51">
        <v>6639</v>
      </c>
      <c r="CU73" s="51">
        <v>1120</v>
      </c>
      <c r="CV73" s="51">
        <v>3235</v>
      </c>
      <c r="CW73" s="51">
        <v>4120</v>
      </c>
      <c r="CX73" s="51">
        <v>5249</v>
      </c>
      <c r="CY73" s="51">
        <v>2680</v>
      </c>
      <c r="CZ73" s="51">
        <v>5900</v>
      </c>
      <c r="DA73" s="51">
        <v>4413</v>
      </c>
      <c r="DB73" s="51">
        <v>3174</v>
      </c>
      <c r="DC73" s="51">
        <v>4213</v>
      </c>
      <c r="DD73" s="51">
        <v>3027</v>
      </c>
      <c r="DE73" s="51">
        <v>2156</v>
      </c>
      <c r="DF73" s="52">
        <v>2022</v>
      </c>
      <c r="DG73" s="52">
        <v>2942</v>
      </c>
      <c r="DH73" s="52">
        <v>4506</v>
      </c>
      <c r="DI73" s="52">
        <v>8090</v>
      </c>
      <c r="DJ73" s="52">
        <v>2116</v>
      </c>
      <c r="DK73" s="52">
        <v>552</v>
      </c>
      <c r="DL73" s="52">
        <v>2993</v>
      </c>
      <c r="DM73" s="52">
        <v>613</v>
      </c>
      <c r="DN73" s="52">
        <v>3245</v>
      </c>
      <c r="DO73" s="52">
        <v>4613</v>
      </c>
      <c r="DP73" s="52">
        <v>3844</v>
      </c>
      <c r="DQ73" s="52">
        <v>4006</v>
      </c>
      <c r="DR73" s="52">
        <v>4235</v>
      </c>
      <c r="DS73" s="53">
        <v>4152</v>
      </c>
      <c r="DT73" s="53">
        <v>4152</v>
      </c>
      <c r="DU73" s="53">
        <v>2491</v>
      </c>
      <c r="DV73" s="53">
        <v>1910</v>
      </c>
      <c r="DW73" s="53">
        <v>1204</v>
      </c>
      <c r="DX73" s="2"/>
      <c r="DY73" s="2"/>
      <c r="DZ73" s="46">
        <f t="shared" si="11"/>
        <v>0</v>
      </c>
      <c r="EA73" s="46">
        <f t="shared" si="12"/>
        <v>0</v>
      </c>
      <c r="EB73" s="46">
        <f t="shared" si="13"/>
        <v>0</v>
      </c>
      <c r="EC73" s="46">
        <f t="shared" si="14"/>
        <v>0</v>
      </c>
      <c r="ED73" s="46">
        <f t="shared" si="15"/>
        <v>80</v>
      </c>
      <c r="EE73" s="46">
        <f t="shared" si="16"/>
        <v>21832</v>
      </c>
      <c r="EF73" s="46">
        <f t="shared" si="17"/>
        <v>38763</v>
      </c>
      <c r="EG73" s="46">
        <f t="shared" si="18"/>
        <v>43972</v>
      </c>
      <c r="EH73" s="46">
        <f t="shared" ref="EH73:EH136" si="19">SUM(CZ73:DJ73)</f>
        <v>42559</v>
      </c>
      <c r="EI73" s="46">
        <f t="shared" si="10"/>
        <v>11464</v>
      </c>
    </row>
    <row r="74" spans="3:139" ht="12">
      <c r="C74" s="36" t="s">
        <v>222</v>
      </c>
      <c r="D74" s="36" t="s">
        <v>220</v>
      </c>
      <c r="E74" s="36" t="s">
        <v>221</v>
      </c>
      <c r="F74" s="38">
        <f t="shared" si="9"/>
        <v>35</v>
      </c>
      <c r="G74" s="37" t="s">
        <v>209</v>
      </c>
      <c r="H74" s="47"/>
      <c r="I74" s="48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8"/>
      <c r="U74" s="48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8"/>
      <c r="AG74" s="48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>
        <v>10</v>
      </c>
      <c r="BM74" s="49"/>
      <c r="BN74" s="49">
        <v>0</v>
      </c>
      <c r="BO74" s="49"/>
      <c r="BP74" s="50">
        <v>0</v>
      </c>
      <c r="BQ74" s="50">
        <v>0</v>
      </c>
      <c r="BR74" s="50"/>
      <c r="BS74" s="50">
        <v>0</v>
      </c>
      <c r="BT74" s="50">
        <v>0</v>
      </c>
      <c r="BU74" s="50">
        <v>0</v>
      </c>
      <c r="BV74" s="50"/>
      <c r="BW74" s="50">
        <v>0</v>
      </c>
      <c r="BX74" s="50"/>
      <c r="BY74" s="50">
        <v>25</v>
      </c>
      <c r="BZ74" s="50"/>
      <c r="CA74" s="50">
        <v>0</v>
      </c>
      <c r="CB74" s="50">
        <v>0</v>
      </c>
      <c r="CC74" s="50">
        <v>0</v>
      </c>
      <c r="CD74" s="50">
        <v>0</v>
      </c>
      <c r="CE74" s="50">
        <v>0</v>
      </c>
      <c r="CF74" s="50">
        <v>0</v>
      </c>
      <c r="CG74" s="50"/>
      <c r="CH74" s="50">
        <v>0</v>
      </c>
      <c r="CI74" s="50">
        <v>0</v>
      </c>
      <c r="CJ74" s="50">
        <v>0</v>
      </c>
      <c r="CK74" s="50">
        <v>0</v>
      </c>
      <c r="CL74" s="50">
        <v>0</v>
      </c>
      <c r="CM74" s="50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0</v>
      </c>
      <c r="DF74" s="52">
        <v>0</v>
      </c>
      <c r="DG74" s="52">
        <v>0</v>
      </c>
      <c r="DH74" s="52">
        <v>0</v>
      </c>
      <c r="DI74" s="52">
        <v>0</v>
      </c>
      <c r="DJ74" s="52">
        <v>0</v>
      </c>
      <c r="DK74" s="52">
        <v>0</v>
      </c>
      <c r="DL74" s="52">
        <v>0</v>
      </c>
      <c r="DM74" s="52">
        <v>0</v>
      </c>
      <c r="DN74" s="52">
        <v>0</v>
      </c>
      <c r="DO74" s="52">
        <v>0</v>
      </c>
      <c r="DP74" s="52">
        <v>0</v>
      </c>
      <c r="DQ74" s="52">
        <v>0</v>
      </c>
      <c r="DR74" s="52">
        <v>0</v>
      </c>
      <c r="DS74" s="53">
        <v>0</v>
      </c>
      <c r="DT74" s="53">
        <v>0</v>
      </c>
      <c r="DU74" s="53">
        <v>0</v>
      </c>
      <c r="DV74" s="53">
        <v>0</v>
      </c>
      <c r="DW74" s="53">
        <v>0</v>
      </c>
      <c r="DX74" s="2"/>
      <c r="DY74" s="2"/>
      <c r="DZ74" s="46">
        <f t="shared" si="11"/>
        <v>0</v>
      </c>
      <c r="EA74" s="46">
        <f t="shared" si="12"/>
        <v>0</v>
      </c>
      <c r="EB74" s="46">
        <f t="shared" si="13"/>
        <v>0</v>
      </c>
      <c r="EC74" s="46">
        <f t="shared" si="14"/>
        <v>0</v>
      </c>
      <c r="ED74" s="46">
        <f t="shared" si="15"/>
        <v>10</v>
      </c>
      <c r="EE74" s="46">
        <f t="shared" si="16"/>
        <v>25</v>
      </c>
      <c r="EF74" s="46">
        <f t="shared" si="17"/>
        <v>0</v>
      </c>
      <c r="EG74" s="46">
        <f t="shared" si="18"/>
        <v>0</v>
      </c>
      <c r="EH74" s="46">
        <f t="shared" si="19"/>
        <v>0</v>
      </c>
      <c r="EI74" s="46">
        <f t="shared" si="10"/>
        <v>0</v>
      </c>
    </row>
    <row r="75" spans="3:139" ht="12">
      <c r="C75" s="36" t="s">
        <v>223</v>
      </c>
      <c r="D75" s="36" t="s">
        <v>224</v>
      </c>
      <c r="E75" s="36" t="s">
        <v>823</v>
      </c>
      <c r="F75" s="38">
        <f t="shared" ref="F75:F138" si="20">SUM(H75:DQ75)</f>
        <v>40014</v>
      </c>
      <c r="G75" s="37" t="s">
        <v>225</v>
      </c>
      <c r="H75" s="47"/>
      <c r="I75" s="48"/>
      <c r="J75" s="49"/>
      <c r="K75" s="49"/>
      <c r="L75" s="49"/>
      <c r="M75" s="49">
        <v>160</v>
      </c>
      <c r="N75" s="49">
        <v>67</v>
      </c>
      <c r="O75" s="49">
        <v>2112</v>
      </c>
      <c r="P75" s="49">
        <v>40</v>
      </c>
      <c r="Q75" s="49">
        <v>0</v>
      </c>
      <c r="R75" s="49">
        <v>66</v>
      </c>
      <c r="S75" s="49">
        <v>436</v>
      </c>
      <c r="T75" s="48">
        <v>2425</v>
      </c>
      <c r="U75" s="48">
        <v>2425</v>
      </c>
      <c r="V75" s="49">
        <v>729</v>
      </c>
      <c r="W75" s="49">
        <v>1485</v>
      </c>
      <c r="X75" s="49">
        <v>1020</v>
      </c>
      <c r="Y75" s="49">
        <v>1300</v>
      </c>
      <c r="Z75" s="49">
        <v>3240</v>
      </c>
      <c r="AA75" s="49">
        <v>1200</v>
      </c>
      <c r="AB75" s="49">
        <v>1740</v>
      </c>
      <c r="AC75" s="49">
        <v>1940</v>
      </c>
      <c r="AD75" s="49">
        <v>1700</v>
      </c>
      <c r="AE75" s="49">
        <v>600</v>
      </c>
      <c r="AF75" s="48">
        <v>800</v>
      </c>
      <c r="AG75" s="48">
        <v>1182</v>
      </c>
      <c r="AH75" s="49">
        <v>850</v>
      </c>
      <c r="AI75" s="49">
        <v>1580</v>
      </c>
      <c r="AJ75" s="49">
        <v>1200</v>
      </c>
      <c r="AK75" s="49">
        <v>997</v>
      </c>
      <c r="AL75" s="49">
        <v>2620</v>
      </c>
      <c r="AM75" s="49">
        <v>700</v>
      </c>
      <c r="AN75" s="49">
        <v>1699</v>
      </c>
      <c r="AO75" s="49">
        <v>1480</v>
      </c>
      <c r="AP75" s="49"/>
      <c r="AQ75" s="49"/>
      <c r="AR75" s="49">
        <v>1280</v>
      </c>
      <c r="AS75" s="49">
        <v>620</v>
      </c>
      <c r="AT75" s="49">
        <v>300</v>
      </c>
      <c r="AU75" s="49">
        <v>0</v>
      </c>
      <c r="AV75" s="49">
        <v>400</v>
      </c>
      <c r="AW75" s="49"/>
      <c r="AX75" s="49">
        <v>0</v>
      </c>
      <c r="AY75" s="49">
        <v>575</v>
      </c>
      <c r="AZ75" s="49">
        <v>395</v>
      </c>
      <c r="BA75" s="49">
        <v>100</v>
      </c>
      <c r="BB75" s="49">
        <v>0</v>
      </c>
      <c r="BC75" s="49">
        <v>0</v>
      </c>
      <c r="BD75" s="49">
        <v>50</v>
      </c>
      <c r="BE75" s="49">
        <v>0</v>
      </c>
      <c r="BF75" s="49"/>
      <c r="BG75" s="49"/>
      <c r="BH75" s="49"/>
      <c r="BI75" s="49">
        <v>0</v>
      </c>
      <c r="BJ75" s="49">
        <v>0</v>
      </c>
      <c r="BK75" s="49">
        <v>20</v>
      </c>
      <c r="BL75" s="49">
        <v>57</v>
      </c>
      <c r="BM75" s="49"/>
      <c r="BN75" s="49">
        <v>79</v>
      </c>
      <c r="BO75" s="49"/>
      <c r="BP75" s="50">
        <v>0</v>
      </c>
      <c r="BQ75" s="50">
        <v>0</v>
      </c>
      <c r="BR75" s="50"/>
      <c r="BS75" s="50">
        <v>0</v>
      </c>
      <c r="BT75" s="50">
        <v>0</v>
      </c>
      <c r="BU75" s="50">
        <v>0</v>
      </c>
      <c r="BV75" s="50"/>
      <c r="BW75" s="50">
        <v>23</v>
      </c>
      <c r="BX75" s="50"/>
      <c r="BY75" s="50">
        <v>23</v>
      </c>
      <c r="BZ75" s="50">
        <v>30</v>
      </c>
      <c r="CA75" s="50">
        <v>0</v>
      </c>
      <c r="CB75" s="50">
        <v>0</v>
      </c>
      <c r="CC75" s="50">
        <v>23</v>
      </c>
      <c r="CD75" s="50">
        <v>14</v>
      </c>
      <c r="CE75" s="50">
        <v>0</v>
      </c>
      <c r="CF75" s="50">
        <v>40</v>
      </c>
      <c r="CG75" s="50"/>
      <c r="CH75" s="50">
        <v>0</v>
      </c>
      <c r="CI75" s="50">
        <v>13</v>
      </c>
      <c r="CJ75" s="50">
        <v>0</v>
      </c>
      <c r="CK75" s="50">
        <v>0</v>
      </c>
      <c r="CL75" s="50">
        <v>39</v>
      </c>
      <c r="CM75" s="50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19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40</v>
      </c>
      <c r="CY75" s="51">
        <v>0</v>
      </c>
      <c r="CZ75" s="51">
        <v>36</v>
      </c>
      <c r="DA75" s="51">
        <v>0</v>
      </c>
      <c r="DB75" s="51">
        <v>1</v>
      </c>
      <c r="DC75" s="51">
        <v>0</v>
      </c>
      <c r="DD75" s="51">
        <v>0</v>
      </c>
      <c r="DE75" s="51">
        <v>0</v>
      </c>
      <c r="DF75" s="52">
        <v>0</v>
      </c>
      <c r="DG75" s="52">
        <v>0</v>
      </c>
      <c r="DH75" s="52">
        <v>20</v>
      </c>
      <c r="DI75" s="52">
        <v>0</v>
      </c>
      <c r="DJ75" s="52">
        <v>0</v>
      </c>
      <c r="DK75" s="52">
        <v>24</v>
      </c>
      <c r="DL75" s="52">
        <v>0</v>
      </c>
      <c r="DM75" s="52">
        <v>0</v>
      </c>
      <c r="DN75" s="52">
        <v>0</v>
      </c>
      <c r="DO75" s="52">
        <v>0</v>
      </c>
      <c r="DP75" s="52">
        <v>0</v>
      </c>
      <c r="DQ75" s="52">
        <v>0</v>
      </c>
      <c r="DR75" s="52">
        <v>30</v>
      </c>
      <c r="DS75" s="53">
        <v>0</v>
      </c>
      <c r="DT75" s="53">
        <v>0</v>
      </c>
      <c r="DU75" s="53">
        <v>0</v>
      </c>
      <c r="DV75" s="53">
        <v>0</v>
      </c>
      <c r="DW75" s="53">
        <v>0</v>
      </c>
      <c r="DX75" s="2"/>
      <c r="DY75" s="2"/>
      <c r="DZ75" s="46">
        <f t="shared" si="11"/>
        <v>2881</v>
      </c>
      <c r="EA75" s="46">
        <f t="shared" si="12"/>
        <v>19804</v>
      </c>
      <c r="EB75" s="46">
        <f t="shared" si="13"/>
        <v>13108</v>
      </c>
      <c r="EC75" s="46">
        <f t="shared" si="14"/>
        <v>3670</v>
      </c>
      <c r="ED75" s="46">
        <f t="shared" si="15"/>
        <v>206</v>
      </c>
      <c r="EE75" s="46">
        <f t="shared" si="16"/>
        <v>76</v>
      </c>
      <c r="EF75" s="46">
        <f t="shared" si="17"/>
        <v>129</v>
      </c>
      <c r="EG75" s="46">
        <f t="shared" si="18"/>
        <v>59</v>
      </c>
      <c r="EH75" s="46">
        <f t="shared" si="19"/>
        <v>57</v>
      </c>
      <c r="EI75" s="46">
        <f t="shared" ref="EI75:EI138" si="21">SUM(DL75:DO75)</f>
        <v>0</v>
      </c>
    </row>
    <row r="76" spans="3:139" ht="12">
      <c r="C76" s="36" t="s">
        <v>226</v>
      </c>
      <c r="D76" s="36" t="s">
        <v>224</v>
      </c>
      <c r="E76" s="36" t="s">
        <v>823</v>
      </c>
      <c r="F76" s="38">
        <f t="shared" si="20"/>
        <v>70470</v>
      </c>
      <c r="G76" s="37" t="s">
        <v>225</v>
      </c>
      <c r="H76" s="47"/>
      <c r="I76" s="48"/>
      <c r="J76" s="49"/>
      <c r="K76" s="49"/>
      <c r="L76" s="49"/>
      <c r="M76" s="49">
        <v>0</v>
      </c>
      <c r="N76" s="49">
        <v>1365</v>
      </c>
      <c r="O76" s="49">
        <v>821</v>
      </c>
      <c r="P76" s="49">
        <v>0</v>
      </c>
      <c r="Q76" s="49">
        <v>0</v>
      </c>
      <c r="R76" s="49">
        <v>83</v>
      </c>
      <c r="S76" s="49">
        <v>0</v>
      </c>
      <c r="T76" s="48">
        <v>400</v>
      </c>
      <c r="U76" s="48">
        <v>400</v>
      </c>
      <c r="V76" s="49">
        <v>4059</v>
      </c>
      <c r="W76" s="49">
        <v>3769</v>
      </c>
      <c r="X76" s="49">
        <v>6280</v>
      </c>
      <c r="Y76" s="49">
        <v>4700</v>
      </c>
      <c r="Z76" s="49">
        <v>3780</v>
      </c>
      <c r="AA76" s="49">
        <v>1100</v>
      </c>
      <c r="AB76" s="49">
        <v>1700</v>
      </c>
      <c r="AC76" s="49">
        <v>1709</v>
      </c>
      <c r="AD76" s="49">
        <v>6100</v>
      </c>
      <c r="AE76" s="49">
        <v>4100</v>
      </c>
      <c r="AF76" s="48">
        <v>5183</v>
      </c>
      <c r="AG76" s="48">
        <v>5694</v>
      </c>
      <c r="AH76" s="49">
        <v>2575</v>
      </c>
      <c r="AI76" s="49">
        <v>4940</v>
      </c>
      <c r="AJ76" s="49">
        <v>5511</v>
      </c>
      <c r="AK76" s="49">
        <v>1790</v>
      </c>
      <c r="AL76" s="49">
        <v>1500</v>
      </c>
      <c r="AM76" s="49">
        <v>800</v>
      </c>
      <c r="AN76" s="49">
        <v>1200</v>
      </c>
      <c r="AO76" s="49">
        <v>300</v>
      </c>
      <c r="AP76" s="49"/>
      <c r="AQ76" s="49"/>
      <c r="AR76" s="49">
        <v>100</v>
      </c>
      <c r="AS76" s="49">
        <v>50</v>
      </c>
      <c r="AT76" s="49"/>
      <c r="AU76" s="49">
        <v>0</v>
      </c>
      <c r="AV76" s="49">
        <v>0</v>
      </c>
      <c r="AW76" s="49"/>
      <c r="AX76" s="49">
        <v>0</v>
      </c>
      <c r="AY76" s="49"/>
      <c r="AZ76" s="49">
        <v>100</v>
      </c>
      <c r="BA76" s="49">
        <v>0</v>
      </c>
      <c r="BB76" s="49">
        <v>0</v>
      </c>
      <c r="BC76" s="49">
        <v>0</v>
      </c>
      <c r="BD76" s="49">
        <v>50</v>
      </c>
      <c r="BE76" s="49">
        <v>0</v>
      </c>
      <c r="BF76" s="49"/>
      <c r="BG76" s="49"/>
      <c r="BH76" s="49"/>
      <c r="BI76" s="49">
        <v>0</v>
      </c>
      <c r="BJ76" s="49"/>
      <c r="BK76" s="49"/>
      <c r="BL76" s="49">
        <v>100</v>
      </c>
      <c r="BM76" s="49"/>
      <c r="BN76" s="49">
        <v>0</v>
      </c>
      <c r="BO76" s="49"/>
      <c r="BP76" s="50">
        <v>0</v>
      </c>
      <c r="BQ76" s="50">
        <v>0</v>
      </c>
      <c r="BR76" s="50">
        <v>9</v>
      </c>
      <c r="BS76" s="50">
        <v>15</v>
      </c>
      <c r="BT76" s="50">
        <v>0</v>
      </c>
      <c r="BU76" s="50">
        <v>0</v>
      </c>
      <c r="BV76" s="50"/>
      <c r="BW76" s="50">
        <v>0</v>
      </c>
      <c r="BX76" s="50"/>
      <c r="BY76" s="50"/>
      <c r="BZ76" s="50"/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50</v>
      </c>
      <c r="CG76" s="50"/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1">
        <v>58</v>
      </c>
      <c r="CO76" s="51">
        <v>0</v>
      </c>
      <c r="CP76" s="51">
        <v>0</v>
      </c>
      <c r="CQ76" s="51">
        <v>0</v>
      </c>
      <c r="CR76" s="51">
        <v>30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4</v>
      </c>
      <c r="DC76" s="51">
        <v>0</v>
      </c>
      <c r="DD76" s="51">
        <v>25</v>
      </c>
      <c r="DE76" s="51">
        <v>15</v>
      </c>
      <c r="DF76" s="52">
        <v>0</v>
      </c>
      <c r="DG76" s="52">
        <v>0</v>
      </c>
      <c r="DH76" s="52">
        <v>0</v>
      </c>
      <c r="DI76" s="52">
        <v>0</v>
      </c>
      <c r="DJ76" s="52">
        <v>0</v>
      </c>
      <c r="DK76" s="52">
        <v>0</v>
      </c>
      <c r="DL76" s="52">
        <v>0</v>
      </c>
      <c r="DM76" s="52">
        <v>5</v>
      </c>
      <c r="DN76" s="52">
        <v>0</v>
      </c>
      <c r="DO76" s="52">
        <v>0</v>
      </c>
      <c r="DP76" s="52">
        <v>0</v>
      </c>
      <c r="DQ76" s="52">
        <v>0</v>
      </c>
      <c r="DR76" s="52">
        <v>0</v>
      </c>
      <c r="DS76" s="53">
        <v>0</v>
      </c>
      <c r="DT76" s="53">
        <v>0</v>
      </c>
      <c r="DU76" s="53">
        <v>0</v>
      </c>
      <c r="DV76" s="53">
        <v>0</v>
      </c>
      <c r="DW76" s="53">
        <v>0</v>
      </c>
      <c r="DX76" s="2"/>
      <c r="DY76" s="2"/>
      <c r="DZ76" s="46">
        <f t="shared" si="11"/>
        <v>2269</v>
      </c>
      <c r="EA76" s="46">
        <f t="shared" si="12"/>
        <v>38097</v>
      </c>
      <c r="EB76" s="46">
        <f t="shared" si="13"/>
        <v>29493</v>
      </c>
      <c r="EC76" s="46">
        <f t="shared" si="14"/>
        <v>250</v>
      </c>
      <c r="ED76" s="46">
        <f t="shared" si="15"/>
        <v>150</v>
      </c>
      <c r="EE76" s="46">
        <f t="shared" si="16"/>
        <v>24</v>
      </c>
      <c r="EF76" s="46">
        <f t="shared" si="17"/>
        <v>50</v>
      </c>
      <c r="EG76" s="46">
        <f t="shared" si="18"/>
        <v>88</v>
      </c>
      <c r="EH76" s="46">
        <f t="shared" si="19"/>
        <v>44</v>
      </c>
      <c r="EI76" s="46">
        <f t="shared" si="21"/>
        <v>5</v>
      </c>
    </row>
    <row r="77" spans="3:139" ht="12">
      <c r="C77" s="36" t="s">
        <v>227</v>
      </c>
      <c r="D77" s="36" t="s">
        <v>224</v>
      </c>
      <c r="E77" s="36" t="s">
        <v>823</v>
      </c>
      <c r="F77" s="38">
        <f t="shared" si="20"/>
        <v>22770</v>
      </c>
      <c r="G77" s="37" t="s">
        <v>225</v>
      </c>
      <c r="H77" s="47"/>
      <c r="I77" s="48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8"/>
      <c r="U77" s="48"/>
      <c r="V77" s="49"/>
      <c r="W77" s="49"/>
      <c r="X77" s="49"/>
      <c r="Y77" s="49"/>
      <c r="Z77" s="49"/>
      <c r="AA77" s="49"/>
      <c r="AB77" s="49"/>
      <c r="AC77" s="49">
        <v>200</v>
      </c>
      <c r="AD77" s="49">
        <v>2740</v>
      </c>
      <c r="AE77" s="49">
        <v>3100</v>
      </c>
      <c r="AF77" s="48">
        <v>2491</v>
      </c>
      <c r="AG77" s="48">
        <v>2850</v>
      </c>
      <c r="AH77" s="49">
        <v>1875</v>
      </c>
      <c r="AI77" s="49">
        <v>1380</v>
      </c>
      <c r="AJ77" s="49">
        <v>2951</v>
      </c>
      <c r="AK77" s="49">
        <v>998</v>
      </c>
      <c r="AL77" s="49">
        <v>1200</v>
      </c>
      <c r="AM77" s="49">
        <v>500</v>
      </c>
      <c r="AN77" s="49">
        <v>1940</v>
      </c>
      <c r="AO77" s="49">
        <v>300</v>
      </c>
      <c r="AP77" s="49"/>
      <c r="AQ77" s="49">
        <v>100</v>
      </c>
      <c r="AR77" s="49">
        <v>0</v>
      </c>
      <c r="AS77" s="49">
        <v>0</v>
      </c>
      <c r="AT77" s="49"/>
      <c r="AU77" s="49">
        <v>0</v>
      </c>
      <c r="AV77" s="49">
        <v>0</v>
      </c>
      <c r="AW77" s="49"/>
      <c r="AX77" s="49">
        <v>0</v>
      </c>
      <c r="AY77" s="49"/>
      <c r="AZ77" s="49">
        <v>0</v>
      </c>
      <c r="BA77" s="49">
        <v>0</v>
      </c>
      <c r="BB77" s="49">
        <v>0</v>
      </c>
      <c r="BC77" s="49">
        <v>0</v>
      </c>
      <c r="BD77" s="49">
        <v>0</v>
      </c>
      <c r="BE77" s="49">
        <v>0</v>
      </c>
      <c r="BF77" s="49"/>
      <c r="BG77" s="49"/>
      <c r="BH77" s="49"/>
      <c r="BI77" s="49">
        <v>0</v>
      </c>
      <c r="BJ77" s="49"/>
      <c r="BK77" s="49"/>
      <c r="BL77" s="49">
        <v>0</v>
      </c>
      <c r="BM77" s="49"/>
      <c r="BN77" s="49">
        <v>0</v>
      </c>
      <c r="BO77" s="49"/>
      <c r="BP77" s="50">
        <v>0</v>
      </c>
      <c r="BQ77" s="50">
        <v>0</v>
      </c>
      <c r="BR77" s="50"/>
      <c r="BS77" s="50">
        <v>0</v>
      </c>
      <c r="BT77" s="50">
        <v>0</v>
      </c>
      <c r="BU77" s="50">
        <v>0</v>
      </c>
      <c r="BV77" s="50"/>
      <c r="BW77" s="50">
        <v>0</v>
      </c>
      <c r="BX77" s="50"/>
      <c r="BY77" s="50"/>
      <c r="BZ77" s="50"/>
      <c r="CA77" s="50">
        <v>0</v>
      </c>
      <c r="CB77" s="50">
        <v>0</v>
      </c>
      <c r="CC77" s="50">
        <v>0</v>
      </c>
      <c r="CD77" s="50">
        <v>0</v>
      </c>
      <c r="CE77" s="50">
        <v>0</v>
      </c>
      <c r="CF77" s="50">
        <v>0</v>
      </c>
      <c r="CG77" s="50">
        <v>21</v>
      </c>
      <c r="CH77" s="50">
        <v>0</v>
      </c>
      <c r="CI77" s="50">
        <v>0</v>
      </c>
      <c r="CJ77" s="50">
        <v>0</v>
      </c>
      <c r="CK77" s="50">
        <v>0</v>
      </c>
      <c r="CL77" s="50">
        <v>24</v>
      </c>
      <c r="CM77" s="50">
        <v>0</v>
      </c>
      <c r="CN77" s="51">
        <v>1</v>
      </c>
      <c r="CO77" s="51">
        <v>0</v>
      </c>
      <c r="CP77" s="51">
        <v>0</v>
      </c>
      <c r="CQ77" s="51">
        <v>28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0</v>
      </c>
      <c r="CY77" s="51">
        <v>23</v>
      </c>
      <c r="CZ77" s="51">
        <v>0</v>
      </c>
      <c r="DA77" s="51">
        <v>6</v>
      </c>
      <c r="DB77" s="51">
        <v>1</v>
      </c>
      <c r="DC77" s="51">
        <v>0</v>
      </c>
      <c r="DD77" s="51">
        <v>0</v>
      </c>
      <c r="DE77" s="51">
        <v>0</v>
      </c>
      <c r="DF77" s="52">
        <v>0</v>
      </c>
      <c r="DG77" s="52">
        <v>0</v>
      </c>
      <c r="DH77" s="52">
        <v>41</v>
      </c>
      <c r="DI77" s="52">
        <v>0</v>
      </c>
      <c r="DJ77" s="52">
        <v>0</v>
      </c>
      <c r="DK77" s="52">
        <v>0</v>
      </c>
      <c r="DL77" s="52">
        <v>0</v>
      </c>
      <c r="DM77" s="52">
        <v>0</v>
      </c>
      <c r="DN77" s="52">
        <v>0</v>
      </c>
      <c r="DO77" s="52">
        <v>0</v>
      </c>
      <c r="DP77" s="52">
        <v>0</v>
      </c>
      <c r="DQ77" s="52">
        <v>0</v>
      </c>
      <c r="DR77" s="52">
        <v>0</v>
      </c>
      <c r="DS77" s="53">
        <v>0</v>
      </c>
      <c r="DT77" s="53">
        <v>0</v>
      </c>
      <c r="DU77" s="53">
        <v>0</v>
      </c>
      <c r="DV77" s="53">
        <v>0</v>
      </c>
      <c r="DW77" s="53">
        <v>0</v>
      </c>
      <c r="DX77" s="2"/>
      <c r="DY77" s="2"/>
      <c r="DZ77" s="46">
        <f t="shared" si="11"/>
        <v>0</v>
      </c>
      <c r="EA77" s="46">
        <f t="shared" si="12"/>
        <v>6040</v>
      </c>
      <c r="EB77" s="46">
        <f t="shared" si="13"/>
        <v>16585</v>
      </c>
      <c r="EC77" s="46">
        <f t="shared" si="14"/>
        <v>0</v>
      </c>
      <c r="ED77" s="46">
        <f t="shared" si="15"/>
        <v>0</v>
      </c>
      <c r="EE77" s="46">
        <f t="shared" si="16"/>
        <v>0</v>
      </c>
      <c r="EF77" s="46">
        <f t="shared" si="17"/>
        <v>45</v>
      </c>
      <c r="EG77" s="46">
        <f t="shared" si="18"/>
        <v>52</v>
      </c>
      <c r="EH77" s="46">
        <f t="shared" si="19"/>
        <v>48</v>
      </c>
      <c r="EI77" s="46">
        <f t="shared" si="21"/>
        <v>0</v>
      </c>
    </row>
    <row r="78" spans="3:139" ht="12">
      <c r="C78" s="36" t="s">
        <v>228</v>
      </c>
      <c r="D78" s="36" t="s">
        <v>224</v>
      </c>
      <c r="E78" s="36" t="s">
        <v>823</v>
      </c>
      <c r="F78" s="38">
        <f t="shared" si="20"/>
        <v>38739</v>
      </c>
      <c r="G78" s="37" t="s">
        <v>225</v>
      </c>
      <c r="H78" s="47"/>
      <c r="I78" s="48"/>
      <c r="J78" s="49"/>
      <c r="K78" s="49"/>
      <c r="L78" s="49"/>
      <c r="M78" s="49">
        <v>0</v>
      </c>
      <c r="N78" s="49">
        <v>0</v>
      </c>
      <c r="O78" s="49">
        <v>3949</v>
      </c>
      <c r="P78" s="49">
        <v>6648</v>
      </c>
      <c r="Q78" s="49">
        <v>1924</v>
      </c>
      <c r="R78" s="49">
        <v>422</v>
      </c>
      <c r="S78" s="49">
        <v>0</v>
      </c>
      <c r="T78" s="48">
        <v>520</v>
      </c>
      <c r="U78" s="48">
        <v>520</v>
      </c>
      <c r="V78" s="49">
        <v>395</v>
      </c>
      <c r="W78" s="49">
        <v>0</v>
      </c>
      <c r="X78" s="49">
        <v>400</v>
      </c>
      <c r="Y78" s="49">
        <v>0</v>
      </c>
      <c r="Z78" s="49">
        <v>700</v>
      </c>
      <c r="AA78" s="49">
        <v>680</v>
      </c>
      <c r="AB78" s="49">
        <v>1220</v>
      </c>
      <c r="AC78" s="49">
        <v>1300</v>
      </c>
      <c r="AD78" s="49">
        <v>60</v>
      </c>
      <c r="AE78" s="49">
        <v>400</v>
      </c>
      <c r="AF78" s="48">
        <v>1224</v>
      </c>
      <c r="AG78" s="48">
        <v>1077</v>
      </c>
      <c r="AH78" s="49">
        <v>1725</v>
      </c>
      <c r="AI78" s="49">
        <v>7325</v>
      </c>
      <c r="AJ78" s="49">
        <v>3495</v>
      </c>
      <c r="AK78" s="49">
        <v>498</v>
      </c>
      <c r="AL78" s="49">
        <v>900</v>
      </c>
      <c r="AM78" s="49"/>
      <c r="AN78" s="49">
        <v>500</v>
      </c>
      <c r="AO78" s="49">
        <v>460</v>
      </c>
      <c r="AP78" s="49">
        <v>300</v>
      </c>
      <c r="AQ78" s="49">
        <v>64</v>
      </c>
      <c r="AR78" s="49">
        <v>100</v>
      </c>
      <c r="AS78" s="49">
        <v>500</v>
      </c>
      <c r="AT78" s="49">
        <v>1059</v>
      </c>
      <c r="AU78" s="49">
        <v>0</v>
      </c>
      <c r="AV78" s="49">
        <v>0</v>
      </c>
      <c r="AW78" s="49"/>
      <c r="AX78" s="49">
        <v>240</v>
      </c>
      <c r="AY78" s="49">
        <v>104</v>
      </c>
      <c r="AZ78" s="49">
        <v>0</v>
      </c>
      <c r="BA78" s="49">
        <v>0</v>
      </c>
      <c r="BB78" s="49">
        <v>0</v>
      </c>
      <c r="BC78" s="49">
        <v>0</v>
      </c>
      <c r="BD78" s="49">
        <v>0</v>
      </c>
      <c r="BE78" s="49">
        <v>0</v>
      </c>
      <c r="BF78" s="49"/>
      <c r="BG78" s="49"/>
      <c r="BH78" s="49"/>
      <c r="BI78" s="49">
        <v>0</v>
      </c>
      <c r="BJ78" s="49"/>
      <c r="BK78" s="49"/>
      <c r="BL78" s="49">
        <v>0</v>
      </c>
      <c r="BM78" s="49"/>
      <c r="BN78" s="49">
        <v>0</v>
      </c>
      <c r="BO78" s="49"/>
      <c r="BP78" s="50">
        <v>0</v>
      </c>
      <c r="BQ78" s="50">
        <v>6</v>
      </c>
      <c r="BR78" s="50">
        <v>10</v>
      </c>
      <c r="BS78" s="50">
        <v>0</v>
      </c>
      <c r="BT78" s="50">
        <v>0</v>
      </c>
      <c r="BU78" s="50">
        <v>0</v>
      </c>
      <c r="BV78" s="50"/>
      <c r="BW78" s="50">
        <v>0</v>
      </c>
      <c r="BX78" s="50"/>
      <c r="BY78" s="50"/>
      <c r="BZ78" s="50"/>
      <c r="CA78" s="50">
        <v>0</v>
      </c>
      <c r="CB78" s="50">
        <v>0</v>
      </c>
      <c r="CC78" s="50">
        <v>0</v>
      </c>
      <c r="CD78" s="50">
        <v>0</v>
      </c>
      <c r="CE78" s="50">
        <v>0</v>
      </c>
      <c r="CF78" s="50">
        <v>0</v>
      </c>
      <c r="CG78" s="50"/>
      <c r="CH78" s="50">
        <v>0</v>
      </c>
      <c r="CI78" s="50">
        <v>0</v>
      </c>
      <c r="CJ78" s="50">
        <v>0</v>
      </c>
      <c r="CK78" s="50">
        <v>0</v>
      </c>
      <c r="CL78" s="50">
        <v>0</v>
      </c>
      <c r="CM78" s="50">
        <v>0</v>
      </c>
      <c r="CN78" s="51">
        <v>0</v>
      </c>
      <c r="CO78" s="51">
        <v>0</v>
      </c>
      <c r="CP78" s="51">
        <v>0</v>
      </c>
      <c r="CQ78" s="51">
        <v>0</v>
      </c>
      <c r="CR78" s="51">
        <v>0</v>
      </c>
      <c r="CS78" s="51">
        <v>0</v>
      </c>
      <c r="CT78" s="51">
        <v>0</v>
      </c>
      <c r="CU78" s="51">
        <v>0</v>
      </c>
      <c r="CV78" s="51">
        <v>0</v>
      </c>
      <c r="CW78" s="51">
        <v>0</v>
      </c>
      <c r="CX78" s="51">
        <v>0</v>
      </c>
      <c r="CY78" s="51">
        <v>0</v>
      </c>
      <c r="CZ78" s="51">
        <v>0</v>
      </c>
      <c r="DA78" s="51">
        <v>0</v>
      </c>
      <c r="DB78" s="51">
        <v>0</v>
      </c>
      <c r="DC78" s="51">
        <v>0</v>
      </c>
      <c r="DD78" s="51">
        <v>0</v>
      </c>
      <c r="DE78" s="51">
        <v>0</v>
      </c>
      <c r="DF78" s="52">
        <v>0</v>
      </c>
      <c r="DG78" s="52">
        <v>0</v>
      </c>
      <c r="DH78" s="52">
        <v>0</v>
      </c>
      <c r="DI78" s="52">
        <v>0</v>
      </c>
      <c r="DJ78" s="52">
        <v>0</v>
      </c>
      <c r="DK78" s="52">
        <v>0</v>
      </c>
      <c r="DL78" s="52">
        <v>3</v>
      </c>
      <c r="DM78" s="52">
        <v>1</v>
      </c>
      <c r="DN78" s="52">
        <v>10</v>
      </c>
      <c r="DO78" s="52">
        <v>0</v>
      </c>
      <c r="DP78" s="52">
        <v>0</v>
      </c>
      <c r="DQ78" s="52">
        <v>0</v>
      </c>
      <c r="DR78" s="52">
        <v>0</v>
      </c>
      <c r="DS78" s="53">
        <v>0</v>
      </c>
      <c r="DT78" s="53">
        <v>0</v>
      </c>
      <c r="DU78" s="53">
        <v>0</v>
      </c>
      <c r="DV78" s="53">
        <v>0</v>
      </c>
      <c r="DW78" s="53">
        <v>0</v>
      </c>
      <c r="DX78" s="2"/>
      <c r="DY78" s="2"/>
      <c r="DZ78" s="46">
        <f t="shared" si="11"/>
        <v>12943</v>
      </c>
      <c r="EA78" s="46">
        <f t="shared" si="12"/>
        <v>6195</v>
      </c>
      <c r="EB78" s="46">
        <f t="shared" si="13"/>
        <v>17568</v>
      </c>
      <c r="EC78" s="46">
        <f t="shared" si="14"/>
        <v>2003</v>
      </c>
      <c r="ED78" s="46">
        <f t="shared" si="15"/>
        <v>0</v>
      </c>
      <c r="EE78" s="46">
        <f t="shared" si="16"/>
        <v>16</v>
      </c>
      <c r="EF78" s="46">
        <f t="shared" si="17"/>
        <v>0</v>
      </c>
      <c r="EG78" s="46">
        <f t="shared" si="18"/>
        <v>0</v>
      </c>
      <c r="EH78" s="46">
        <f t="shared" si="19"/>
        <v>0</v>
      </c>
      <c r="EI78" s="46">
        <f t="shared" si="21"/>
        <v>14</v>
      </c>
    </row>
    <row r="79" spans="3:139" ht="12">
      <c r="C79" s="36" t="s">
        <v>229</v>
      </c>
      <c r="D79" s="36" t="s">
        <v>224</v>
      </c>
      <c r="E79" s="36" t="s">
        <v>823</v>
      </c>
      <c r="F79" s="38">
        <f t="shared" si="20"/>
        <v>46286</v>
      </c>
      <c r="G79" s="37" t="s">
        <v>225</v>
      </c>
      <c r="H79" s="47"/>
      <c r="I79" s="48"/>
      <c r="J79" s="49"/>
      <c r="K79" s="49"/>
      <c r="L79" s="49"/>
      <c r="M79" s="49">
        <v>0</v>
      </c>
      <c r="N79" s="49">
        <v>2401</v>
      </c>
      <c r="O79" s="49">
        <v>4322</v>
      </c>
      <c r="P79" s="49">
        <v>2330</v>
      </c>
      <c r="Q79" s="49">
        <v>3224</v>
      </c>
      <c r="R79" s="49">
        <v>2926</v>
      </c>
      <c r="S79" s="49">
        <v>0</v>
      </c>
      <c r="T79" s="48">
        <v>507</v>
      </c>
      <c r="U79" s="48">
        <v>507</v>
      </c>
      <c r="V79" s="49">
        <v>499</v>
      </c>
      <c r="W79" s="49">
        <v>721</v>
      </c>
      <c r="X79" s="49">
        <v>460</v>
      </c>
      <c r="Y79" s="49">
        <v>800</v>
      </c>
      <c r="Z79" s="49">
        <v>840</v>
      </c>
      <c r="AA79" s="49">
        <v>780</v>
      </c>
      <c r="AB79" s="49">
        <v>1120</v>
      </c>
      <c r="AC79" s="49">
        <v>1658</v>
      </c>
      <c r="AD79" s="49">
        <v>600</v>
      </c>
      <c r="AE79" s="49">
        <v>500</v>
      </c>
      <c r="AF79" s="48">
        <v>700</v>
      </c>
      <c r="AG79" s="48">
        <v>1499</v>
      </c>
      <c r="AH79" s="49">
        <v>4500</v>
      </c>
      <c r="AI79" s="49">
        <v>2620</v>
      </c>
      <c r="AJ79" s="49">
        <v>4433</v>
      </c>
      <c r="AK79" s="49">
        <v>200</v>
      </c>
      <c r="AL79" s="49">
        <v>1401</v>
      </c>
      <c r="AM79" s="49">
        <v>1060</v>
      </c>
      <c r="AN79" s="49">
        <v>959</v>
      </c>
      <c r="AO79" s="49">
        <v>1060</v>
      </c>
      <c r="AP79" s="49">
        <v>970</v>
      </c>
      <c r="AQ79" s="49">
        <v>204</v>
      </c>
      <c r="AR79" s="49">
        <v>900</v>
      </c>
      <c r="AS79" s="49">
        <v>400</v>
      </c>
      <c r="AT79" s="49">
        <v>640</v>
      </c>
      <c r="AU79" s="49">
        <v>200</v>
      </c>
      <c r="AV79" s="49">
        <v>0</v>
      </c>
      <c r="AW79" s="49"/>
      <c r="AX79" s="49">
        <v>0</v>
      </c>
      <c r="AY79" s="49"/>
      <c r="AZ79" s="49">
        <v>0</v>
      </c>
      <c r="BA79" s="49">
        <v>0</v>
      </c>
      <c r="BB79" s="49">
        <v>0</v>
      </c>
      <c r="BC79" s="49">
        <v>0</v>
      </c>
      <c r="BD79" s="49">
        <v>0</v>
      </c>
      <c r="BE79" s="49">
        <v>0</v>
      </c>
      <c r="BF79" s="49"/>
      <c r="BG79" s="49"/>
      <c r="BH79" s="49"/>
      <c r="BI79" s="49">
        <v>0</v>
      </c>
      <c r="BJ79" s="49"/>
      <c r="BK79" s="49"/>
      <c r="BL79" s="49">
        <v>0</v>
      </c>
      <c r="BM79" s="49"/>
      <c r="BN79" s="49">
        <v>0</v>
      </c>
      <c r="BO79" s="49"/>
      <c r="BP79" s="50">
        <v>151</v>
      </c>
      <c r="BQ79" s="50">
        <v>0</v>
      </c>
      <c r="BR79" s="50"/>
      <c r="BS79" s="50">
        <v>0</v>
      </c>
      <c r="BT79" s="50">
        <v>0</v>
      </c>
      <c r="BU79" s="50">
        <v>0</v>
      </c>
      <c r="BV79" s="50"/>
      <c r="BW79" s="50">
        <v>0</v>
      </c>
      <c r="BX79" s="50"/>
      <c r="BY79" s="50"/>
      <c r="BZ79" s="50"/>
      <c r="CA79" s="50">
        <v>0</v>
      </c>
      <c r="CB79" s="50">
        <v>0</v>
      </c>
      <c r="CC79" s="50">
        <v>0</v>
      </c>
      <c r="CD79" s="50">
        <v>0</v>
      </c>
      <c r="CE79" s="50">
        <v>0</v>
      </c>
      <c r="CF79" s="50">
        <v>0</v>
      </c>
      <c r="CG79" s="50"/>
      <c r="CH79" s="50">
        <v>0</v>
      </c>
      <c r="CI79" s="50">
        <v>0</v>
      </c>
      <c r="CJ79" s="50">
        <v>0</v>
      </c>
      <c r="CK79" s="50">
        <v>0</v>
      </c>
      <c r="CL79" s="50">
        <v>57</v>
      </c>
      <c r="CM79" s="50">
        <v>0</v>
      </c>
      <c r="CN79" s="51">
        <v>1</v>
      </c>
      <c r="CO79" s="51">
        <v>0</v>
      </c>
      <c r="CP79" s="51">
        <v>0</v>
      </c>
      <c r="CQ79" s="51">
        <v>30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19</v>
      </c>
      <c r="CY79" s="51">
        <v>37</v>
      </c>
      <c r="CZ79" s="51">
        <v>0</v>
      </c>
      <c r="DA79" s="51">
        <v>0</v>
      </c>
      <c r="DB79" s="51">
        <v>5</v>
      </c>
      <c r="DC79" s="51">
        <v>0</v>
      </c>
      <c r="DD79" s="51">
        <v>0</v>
      </c>
      <c r="DE79" s="51">
        <v>17</v>
      </c>
      <c r="DF79" s="52">
        <v>0</v>
      </c>
      <c r="DG79" s="52">
        <v>0</v>
      </c>
      <c r="DH79" s="52">
        <v>3</v>
      </c>
      <c r="DI79" s="52">
        <v>0</v>
      </c>
      <c r="DJ79" s="52">
        <v>0</v>
      </c>
      <c r="DK79" s="52">
        <v>23</v>
      </c>
      <c r="DL79" s="52">
        <v>2</v>
      </c>
      <c r="DM79" s="52">
        <v>0</v>
      </c>
      <c r="DN79" s="52">
        <v>0</v>
      </c>
      <c r="DO79" s="52">
        <v>0</v>
      </c>
      <c r="DP79" s="52">
        <v>0</v>
      </c>
      <c r="DQ79" s="52">
        <v>0</v>
      </c>
      <c r="DR79" s="52">
        <v>0</v>
      </c>
      <c r="DS79" s="53">
        <v>0</v>
      </c>
      <c r="DT79" s="53">
        <v>0</v>
      </c>
      <c r="DU79" s="53">
        <v>0</v>
      </c>
      <c r="DV79" s="53">
        <v>0</v>
      </c>
      <c r="DW79" s="53">
        <v>0</v>
      </c>
      <c r="DX79" s="2"/>
      <c r="DY79" s="2"/>
      <c r="DZ79" s="46">
        <f t="shared" si="11"/>
        <v>15203</v>
      </c>
      <c r="EA79" s="46">
        <f t="shared" si="12"/>
        <v>8992</v>
      </c>
      <c r="EB79" s="46">
        <f t="shared" si="13"/>
        <v>19606</v>
      </c>
      <c r="EC79" s="46">
        <f t="shared" si="14"/>
        <v>2140</v>
      </c>
      <c r="ED79" s="46">
        <f t="shared" si="15"/>
        <v>0</v>
      </c>
      <c r="EE79" s="46">
        <f t="shared" si="16"/>
        <v>151</v>
      </c>
      <c r="EF79" s="46">
        <f t="shared" si="17"/>
        <v>57</v>
      </c>
      <c r="EG79" s="46">
        <f t="shared" si="18"/>
        <v>87</v>
      </c>
      <c r="EH79" s="46">
        <f t="shared" si="19"/>
        <v>25</v>
      </c>
      <c r="EI79" s="46">
        <f t="shared" si="21"/>
        <v>2</v>
      </c>
    </row>
    <row r="80" spans="3:139" ht="12">
      <c r="C80" s="36" t="s">
        <v>230</v>
      </c>
      <c r="D80" s="36" t="s">
        <v>231</v>
      </c>
      <c r="E80" s="36" t="s">
        <v>231</v>
      </c>
      <c r="F80" s="38">
        <f t="shared" si="20"/>
        <v>2464</v>
      </c>
      <c r="G80" s="37" t="s">
        <v>225</v>
      </c>
      <c r="H80" s="47"/>
      <c r="I80" s="48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8"/>
      <c r="U80" s="48"/>
      <c r="V80" s="49"/>
      <c r="W80" s="49"/>
      <c r="X80" s="49"/>
      <c r="Y80" s="49"/>
      <c r="Z80" s="49"/>
      <c r="AA80" s="49"/>
      <c r="AB80" s="49">
        <v>180</v>
      </c>
      <c r="AC80" s="49">
        <v>219</v>
      </c>
      <c r="AD80" s="49">
        <v>180</v>
      </c>
      <c r="AE80" s="49">
        <v>200</v>
      </c>
      <c r="AF80" s="48">
        <v>100</v>
      </c>
      <c r="AG80" s="48">
        <v>202</v>
      </c>
      <c r="AH80" s="49">
        <v>325</v>
      </c>
      <c r="AI80" s="49">
        <v>100</v>
      </c>
      <c r="AJ80" s="49">
        <v>438</v>
      </c>
      <c r="AK80" s="49"/>
      <c r="AL80" s="49">
        <v>500</v>
      </c>
      <c r="AM80" s="49"/>
      <c r="AN80" s="49">
        <v>0</v>
      </c>
      <c r="AO80" s="49"/>
      <c r="AP80" s="49"/>
      <c r="AQ80" s="49"/>
      <c r="AR80" s="49">
        <v>0</v>
      </c>
      <c r="AS80" s="49">
        <v>0</v>
      </c>
      <c r="AT80" s="49"/>
      <c r="AU80" s="49">
        <v>0</v>
      </c>
      <c r="AV80" s="49">
        <v>0</v>
      </c>
      <c r="AW80" s="49"/>
      <c r="AX80" s="49">
        <v>0</v>
      </c>
      <c r="AY80" s="49"/>
      <c r="AZ80" s="49">
        <v>0</v>
      </c>
      <c r="BA80" s="49">
        <v>0</v>
      </c>
      <c r="BB80" s="49">
        <v>0</v>
      </c>
      <c r="BC80" s="49">
        <v>0</v>
      </c>
      <c r="BD80" s="49">
        <v>0</v>
      </c>
      <c r="BE80" s="49">
        <v>0</v>
      </c>
      <c r="BF80" s="49"/>
      <c r="BG80" s="49"/>
      <c r="BH80" s="49"/>
      <c r="BI80" s="49">
        <v>0</v>
      </c>
      <c r="BJ80" s="49"/>
      <c r="BK80" s="49"/>
      <c r="BL80" s="49">
        <v>0</v>
      </c>
      <c r="BM80" s="49"/>
      <c r="BN80" s="49">
        <v>20</v>
      </c>
      <c r="BO80" s="49"/>
      <c r="BP80" s="50">
        <v>0</v>
      </c>
      <c r="BQ80" s="50">
        <v>0</v>
      </c>
      <c r="BR80" s="50"/>
      <c r="BS80" s="50">
        <v>0</v>
      </c>
      <c r="BT80" s="50">
        <v>0</v>
      </c>
      <c r="BU80" s="50">
        <v>0</v>
      </c>
      <c r="BV80" s="50"/>
      <c r="BW80" s="50">
        <v>0</v>
      </c>
      <c r="BX80" s="50"/>
      <c r="BY80" s="50"/>
      <c r="BZ80" s="50"/>
      <c r="CA80" s="50">
        <v>0</v>
      </c>
      <c r="CB80" s="50">
        <v>0</v>
      </c>
      <c r="CC80" s="50">
        <v>0</v>
      </c>
      <c r="CD80" s="50">
        <v>0</v>
      </c>
      <c r="CE80" s="50">
        <v>0</v>
      </c>
      <c r="CF80" s="50">
        <v>0</v>
      </c>
      <c r="CG80" s="50"/>
      <c r="CH80" s="50">
        <v>0</v>
      </c>
      <c r="CI80" s="50">
        <v>0</v>
      </c>
      <c r="CJ80" s="50">
        <v>0</v>
      </c>
      <c r="CK80" s="50">
        <v>0</v>
      </c>
      <c r="CL80" s="50">
        <v>0</v>
      </c>
      <c r="CM80" s="50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</v>
      </c>
      <c r="DC80" s="51">
        <v>0</v>
      </c>
      <c r="DD80" s="51">
        <v>0</v>
      </c>
      <c r="DE80" s="51">
        <v>0</v>
      </c>
      <c r="DF80" s="52">
        <v>0</v>
      </c>
      <c r="DG80" s="52">
        <v>0</v>
      </c>
      <c r="DH80" s="52">
        <v>0</v>
      </c>
      <c r="DI80" s="52">
        <v>0</v>
      </c>
      <c r="DJ80" s="52">
        <v>0</v>
      </c>
      <c r="DK80" s="52">
        <v>0</v>
      </c>
      <c r="DL80" s="52">
        <v>0</v>
      </c>
      <c r="DM80" s="52">
        <v>0</v>
      </c>
      <c r="DN80" s="52">
        <v>0</v>
      </c>
      <c r="DO80" s="52">
        <v>0</v>
      </c>
      <c r="DP80" s="52">
        <v>0</v>
      </c>
      <c r="DQ80" s="52">
        <v>0</v>
      </c>
      <c r="DR80" s="52">
        <v>0</v>
      </c>
      <c r="DS80" s="53">
        <v>0</v>
      </c>
      <c r="DT80" s="53">
        <v>0</v>
      </c>
      <c r="DU80" s="53">
        <v>0</v>
      </c>
      <c r="DV80" s="53">
        <v>0</v>
      </c>
      <c r="DW80" s="53">
        <v>0</v>
      </c>
      <c r="DX80" s="2"/>
      <c r="DY80" s="2"/>
      <c r="DZ80" s="46">
        <f t="shared" si="11"/>
        <v>0</v>
      </c>
      <c r="EA80" s="46">
        <f t="shared" si="12"/>
        <v>779</v>
      </c>
      <c r="EB80" s="46">
        <f t="shared" si="13"/>
        <v>1665</v>
      </c>
      <c r="EC80" s="46">
        <f t="shared" si="14"/>
        <v>0</v>
      </c>
      <c r="ED80" s="46">
        <f t="shared" si="15"/>
        <v>20</v>
      </c>
      <c r="EE80" s="46">
        <f t="shared" si="16"/>
        <v>0</v>
      </c>
      <c r="EF80" s="46">
        <f t="shared" si="17"/>
        <v>0</v>
      </c>
      <c r="EG80" s="46">
        <f t="shared" si="18"/>
        <v>0</v>
      </c>
      <c r="EH80" s="46">
        <f t="shared" si="19"/>
        <v>0</v>
      </c>
      <c r="EI80" s="46">
        <f t="shared" si="21"/>
        <v>0</v>
      </c>
    </row>
    <row r="81" spans="3:139" ht="12">
      <c r="C81" s="36" t="s">
        <v>232</v>
      </c>
      <c r="D81" s="36" t="s">
        <v>231</v>
      </c>
      <c r="E81" s="36" t="s">
        <v>231</v>
      </c>
      <c r="F81" s="38">
        <f t="shared" si="20"/>
        <v>15902</v>
      </c>
      <c r="G81" s="37" t="s">
        <v>225</v>
      </c>
      <c r="H81" s="47"/>
      <c r="I81" s="48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8"/>
      <c r="U81" s="48"/>
      <c r="V81" s="49"/>
      <c r="W81" s="49"/>
      <c r="X81" s="49"/>
      <c r="Y81" s="49"/>
      <c r="Z81" s="49">
        <v>0</v>
      </c>
      <c r="AA81" s="49">
        <v>5360</v>
      </c>
      <c r="AB81" s="49">
        <v>4560</v>
      </c>
      <c r="AC81" s="49">
        <v>5240</v>
      </c>
      <c r="AD81" s="49">
        <v>300</v>
      </c>
      <c r="AE81" s="49">
        <v>0</v>
      </c>
      <c r="AF81" s="48"/>
      <c r="AG81" s="48"/>
      <c r="AH81" s="49"/>
      <c r="AI81" s="49"/>
      <c r="AJ81" s="49"/>
      <c r="AK81" s="49"/>
      <c r="AL81" s="49">
        <v>100</v>
      </c>
      <c r="AM81" s="49"/>
      <c r="AN81" s="49">
        <v>0</v>
      </c>
      <c r="AO81" s="49"/>
      <c r="AP81" s="49"/>
      <c r="AQ81" s="49"/>
      <c r="AR81" s="49">
        <v>0</v>
      </c>
      <c r="AS81" s="49">
        <v>0</v>
      </c>
      <c r="AT81" s="49"/>
      <c r="AU81" s="49">
        <v>0</v>
      </c>
      <c r="AV81" s="49">
        <v>0</v>
      </c>
      <c r="AW81" s="49"/>
      <c r="AX81" s="49">
        <v>0</v>
      </c>
      <c r="AY81" s="49"/>
      <c r="AZ81" s="49">
        <v>0</v>
      </c>
      <c r="BA81" s="49">
        <v>0</v>
      </c>
      <c r="BB81" s="49">
        <v>0</v>
      </c>
      <c r="BC81" s="49">
        <v>0</v>
      </c>
      <c r="BD81" s="49">
        <v>0</v>
      </c>
      <c r="BE81" s="49">
        <v>0</v>
      </c>
      <c r="BF81" s="49"/>
      <c r="BG81" s="49">
        <v>59</v>
      </c>
      <c r="BH81" s="49">
        <v>40</v>
      </c>
      <c r="BI81" s="49">
        <v>0</v>
      </c>
      <c r="BJ81" s="49">
        <v>0</v>
      </c>
      <c r="BK81" s="49"/>
      <c r="BL81" s="49">
        <v>35</v>
      </c>
      <c r="BM81" s="49"/>
      <c r="BN81" s="49">
        <v>0</v>
      </c>
      <c r="BO81" s="49"/>
      <c r="BP81" s="50">
        <v>0</v>
      </c>
      <c r="BQ81" s="50">
        <v>0</v>
      </c>
      <c r="BR81" s="50"/>
      <c r="BS81" s="50">
        <v>0</v>
      </c>
      <c r="BT81" s="50">
        <v>20</v>
      </c>
      <c r="BU81" s="50">
        <v>0</v>
      </c>
      <c r="BV81" s="50"/>
      <c r="BW81" s="50">
        <v>0</v>
      </c>
      <c r="BX81" s="50"/>
      <c r="BY81" s="50"/>
      <c r="BZ81" s="50">
        <v>25</v>
      </c>
      <c r="CA81" s="50">
        <v>0</v>
      </c>
      <c r="CB81" s="50">
        <v>0</v>
      </c>
      <c r="CC81" s="50">
        <v>0</v>
      </c>
      <c r="CD81" s="50">
        <v>36</v>
      </c>
      <c r="CE81" s="50">
        <v>0</v>
      </c>
      <c r="CF81" s="50">
        <v>0</v>
      </c>
      <c r="CG81" s="50">
        <v>1</v>
      </c>
      <c r="CH81" s="50">
        <v>0</v>
      </c>
      <c r="CI81" s="50">
        <v>38</v>
      </c>
      <c r="CJ81" s="50">
        <v>40</v>
      </c>
      <c r="CK81" s="50">
        <v>0</v>
      </c>
      <c r="CL81" s="50">
        <v>0</v>
      </c>
      <c r="CM81" s="50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20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26</v>
      </c>
      <c r="DE81" s="51">
        <v>0</v>
      </c>
      <c r="DF81" s="52">
        <v>2</v>
      </c>
      <c r="DG81" s="52">
        <v>0</v>
      </c>
      <c r="DH81" s="52">
        <v>0</v>
      </c>
      <c r="DI81" s="52">
        <v>0</v>
      </c>
      <c r="DJ81" s="52">
        <v>0</v>
      </c>
      <c r="DK81" s="52">
        <v>0</v>
      </c>
      <c r="DL81" s="52">
        <v>0</v>
      </c>
      <c r="DM81" s="52">
        <v>0</v>
      </c>
      <c r="DN81" s="52">
        <v>0</v>
      </c>
      <c r="DO81" s="52">
        <v>0</v>
      </c>
      <c r="DP81" s="52">
        <v>0</v>
      </c>
      <c r="DQ81" s="52">
        <v>0</v>
      </c>
      <c r="DR81" s="52">
        <v>0</v>
      </c>
      <c r="DS81" s="53">
        <v>0</v>
      </c>
      <c r="DT81" s="53">
        <v>0</v>
      </c>
      <c r="DU81" s="53">
        <v>0</v>
      </c>
      <c r="DV81" s="53">
        <v>0</v>
      </c>
      <c r="DW81" s="53">
        <v>0</v>
      </c>
      <c r="DX81" s="2"/>
      <c r="DY81" s="2"/>
      <c r="DZ81" s="46">
        <f t="shared" si="11"/>
        <v>0</v>
      </c>
      <c r="EA81" s="46">
        <f t="shared" si="12"/>
        <v>15460</v>
      </c>
      <c r="EB81" s="46">
        <f t="shared" si="13"/>
        <v>100</v>
      </c>
      <c r="EC81" s="46">
        <f t="shared" si="14"/>
        <v>0</v>
      </c>
      <c r="ED81" s="46">
        <f t="shared" si="15"/>
        <v>134</v>
      </c>
      <c r="EE81" s="46">
        <f t="shared" si="16"/>
        <v>45</v>
      </c>
      <c r="EF81" s="46">
        <f t="shared" si="17"/>
        <v>115</v>
      </c>
      <c r="EG81" s="46">
        <f t="shared" si="18"/>
        <v>20</v>
      </c>
      <c r="EH81" s="46">
        <f t="shared" si="19"/>
        <v>28</v>
      </c>
      <c r="EI81" s="46">
        <f t="shared" si="21"/>
        <v>0</v>
      </c>
    </row>
    <row r="82" spans="3:139" ht="12">
      <c r="C82" s="36" t="s">
        <v>233</v>
      </c>
      <c r="D82" s="36" t="s">
        <v>212</v>
      </c>
      <c r="E82" s="36"/>
      <c r="F82" s="38">
        <f t="shared" si="20"/>
        <v>380</v>
      </c>
      <c r="G82" s="37" t="s">
        <v>225</v>
      </c>
      <c r="H82" s="47"/>
      <c r="I82" s="48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8"/>
      <c r="U82" s="48"/>
      <c r="V82" s="49"/>
      <c r="W82" s="49"/>
      <c r="X82" s="49">
        <v>380</v>
      </c>
      <c r="Y82" s="49">
        <v>0</v>
      </c>
      <c r="Z82" s="49">
        <v>0</v>
      </c>
      <c r="AA82" s="49">
        <v>0</v>
      </c>
      <c r="AB82" s="49">
        <v>0</v>
      </c>
      <c r="AC82" s="49">
        <v>0</v>
      </c>
      <c r="AD82" s="49">
        <v>0</v>
      </c>
      <c r="AE82" s="49">
        <v>0</v>
      </c>
      <c r="AF82" s="48"/>
      <c r="AG82" s="48"/>
      <c r="AH82" s="49"/>
      <c r="AI82" s="49"/>
      <c r="AJ82" s="49"/>
      <c r="AK82" s="49"/>
      <c r="AL82" s="49">
        <v>0</v>
      </c>
      <c r="AM82" s="49"/>
      <c r="AN82" s="49">
        <v>0</v>
      </c>
      <c r="AO82" s="49"/>
      <c r="AP82" s="49"/>
      <c r="AQ82" s="49"/>
      <c r="AR82" s="49">
        <v>0</v>
      </c>
      <c r="AS82" s="49">
        <v>0</v>
      </c>
      <c r="AT82" s="49"/>
      <c r="AU82" s="49">
        <v>0</v>
      </c>
      <c r="AV82" s="49">
        <v>0</v>
      </c>
      <c r="AW82" s="49"/>
      <c r="AX82" s="49">
        <v>0</v>
      </c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>
        <v>0</v>
      </c>
      <c r="BJ82" s="49"/>
      <c r="BK82" s="49"/>
      <c r="BL82" s="49"/>
      <c r="BM82" s="49"/>
      <c r="BN82" s="49">
        <v>0</v>
      </c>
      <c r="BO82" s="49"/>
      <c r="BP82" s="50"/>
      <c r="BQ82" s="50"/>
      <c r="BR82" s="50"/>
      <c r="BS82" s="50"/>
      <c r="BT82" s="50">
        <v>0</v>
      </c>
      <c r="BU82" s="50">
        <v>0</v>
      </c>
      <c r="BV82" s="50"/>
      <c r="BW82" s="50">
        <v>0</v>
      </c>
      <c r="BX82" s="50"/>
      <c r="BY82" s="50"/>
      <c r="BZ82" s="50"/>
      <c r="CA82" s="50">
        <v>0</v>
      </c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3">
        <v>0</v>
      </c>
      <c r="DT82" s="53">
        <v>0</v>
      </c>
      <c r="DU82" s="53">
        <v>0</v>
      </c>
      <c r="DV82" s="53">
        <v>0</v>
      </c>
      <c r="DW82" s="53">
        <v>0</v>
      </c>
      <c r="DX82" s="2"/>
      <c r="DY82" s="2"/>
      <c r="DZ82" s="46">
        <f t="shared" si="11"/>
        <v>0</v>
      </c>
      <c r="EA82" s="46">
        <f t="shared" si="12"/>
        <v>380</v>
      </c>
      <c r="EB82" s="46">
        <f t="shared" si="13"/>
        <v>0</v>
      </c>
      <c r="EC82" s="46">
        <f t="shared" si="14"/>
        <v>0</v>
      </c>
      <c r="ED82" s="46">
        <f t="shared" si="15"/>
        <v>0</v>
      </c>
      <c r="EE82" s="46">
        <f t="shared" si="16"/>
        <v>0</v>
      </c>
      <c r="EF82" s="46">
        <f t="shared" si="17"/>
        <v>0</v>
      </c>
      <c r="EG82" s="46">
        <f t="shared" si="18"/>
        <v>0</v>
      </c>
      <c r="EH82" s="46">
        <f t="shared" si="19"/>
        <v>0</v>
      </c>
      <c r="EI82" s="46">
        <f t="shared" si="21"/>
        <v>0</v>
      </c>
    </row>
    <row r="83" spans="3:139" ht="12">
      <c r="C83" s="36" t="s">
        <v>234</v>
      </c>
      <c r="D83" s="36" t="s">
        <v>231</v>
      </c>
      <c r="E83" s="36" t="s">
        <v>231</v>
      </c>
      <c r="F83" s="38">
        <f t="shared" si="20"/>
        <v>9170</v>
      </c>
      <c r="G83" s="37" t="s">
        <v>225</v>
      </c>
      <c r="H83" s="47"/>
      <c r="I83" s="48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8">
        <v>0</v>
      </c>
      <c r="U83" s="48">
        <v>0</v>
      </c>
      <c r="V83" s="49">
        <v>1773</v>
      </c>
      <c r="W83" s="49">
        <v>4317</v>
      </c>
      <c r="X83" s="49">
        <v>3040</v>
      </c>
      <c r="Y83" s="49">
        <v>0</v>
      </c>
      <c r="Z83" s="49">
        <v>0</v>
      </c>
      <c r="AA83" s="49">
        <v>0</v>
      </c>
      <c r="AB83" s="49">
        <v>0</v>
      </c>
      <c r="AC83" s="49">
        <v>40</v>
      </c>
      <c r="AD83" s="49">
        <v>0</v>
      </c>
      <c r="AE83" s="49">
        <v>0</v>
      </c>
      <c r="AF83" s="48"/>
      <c r="AG83" s="48"/>
      <c r="AH83" s="49"/>
      <c r="AI83" s="49"/>
      <c r="AJ83" s="49"/>
      <c r="AK83" s="49"/>
      <c r="AL83" s="49">
        <v>0</v>
      </c>
      <c r="AM83" s="49"/>
      <c r="AN83" s="49">
        <v>0</v>
      </c>
      <c r="AO83" s="49"/>
      <c r="AP83" s="49"/>
      <c r="AQ83" s="49"/>
      <c r="AR83" s="49">
        <v>0</v>
      </c>
      <c r="AS83" s="49">
        <v>0</v>
      </c>
      <c r="AT83" s="49"/>
      <c r="AU83" s="49">
        <v>0</v>
      </c>
      <c r="AV83" s="49">
        <v>0</v>
      </c>
      <c r="AW83" s="49"/>
      <c r="AX83" s="49">
        <v>0</v>
      </c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>
        <v>0</v>
      </c>
      <c r="BJ83" s="49"/>
      <c r="BK83" s="49"/>
      <c r="BL83" s="49"/>
      <c r="BM83" s="49"/>
      <c r="BN83" s="49">
        <v>0</v>
      </c>
      <c r="BO83" s="49"/>
      <c r="BP83" s="50"/>
      <c r="BQ83" s="50"/>
      <c r="BR83" s="50"/>
      <c r="BS83" s="50"/>
      <c r="BT83" s="50">
        <v>0</v>
      </c>
      <c r="BU83" s="50">
        <v>0</v>
      </c>
      <c r="BV83" s="50"/>
      <c r="BW83" s="50">
        <v>0</v>
      </c>
      <c r="BX83" s="50"/>
      <c r="BY83" s="50"/>
      <c r="BZ83" s="50"/>
      <c r="CA83" s="50">
        <v>0</v>
      </c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1"/>
      <c r="CO83" s="51"/>
      <c r="CP83" s="51"/>
      <c r="CQ83" s="51">
        <v>0</v>
      </c>
      <c r="CR83" s="51"/>
      <c r="CS83" s="51"/>
      <c r="CT83" s="51">
        <v>0</v>
      </c>
      <c r="CU83" s="51"/>
      <c r="CV83" s="51">
        <v>0</v>
      </c>
      <c r="CW83" s="51"/>
      <c r="CX83" s="51"/>
      <c r="CY83" s="51"/>
      <c r="CZ83" s="51"/>
      <c r="DA83" s="51"/>
      <c r="DB83" s="51">
        <v>0</v>
      </c>
      <c r="DC83" s="51"/>
      <c r="DD83" s="51"/>
      <c r="DE83" s="51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3">
        <v>0</v>
      </c>
      <c r="DT83" s="53">
        <v>0</v>
      </c>
      <c r="DU83" s="53">
        <v>0</v>
      </c>
      <c r="DV83" s="53">
        <v>0</v>
      </c>
      <c r="DW83" s="53">
        <v>0</v>
      </c>
      <c r="DX83" s="2"/>
      <c r="DY83" s="2"/>
      <c r="DZ83" s="46">
        <f t="shared" si="11"/>
        <v>0</v>
      </c>
      <c r="EA83" s="46">
        <f t="shared" si="12"/>
        <v>9170</v>
      </c>
      <c r="EB83" s="46">
        <f t="shared" si="13"/>
        <v>0</v>
      </c>
      <c r="EC83" s="46">
        <f t="shared" si="14"/>
        <v>0</v>
      </c>
      <c r="ED83" s="46">
        <f t="shared" si="15"/>
        <v>0</v>
      </c>
      <c r="EE83" s="46">
        <f t="shared" si="16"/>
        <v>0</v>
      </c>
      <c r="EF83" s="46">
        <f t="shared" si="17"/>
        <v>0</v>
      </c>
      <c r="EG83" s="46">
        <f t="shared" si="18"/>
        <v>0</v>
      </c>
      <c r="EH83" s="46">
        <f t="shared" si="19"/>
        <v>0</v>
      </c>
      <c r="EI83" s="46">
        <f t="shared" si="21"/>
        <v>0</v>
      </c>
    </row>
    <row r="84" spans="3:139" ht="12">
      <c r="C84" s="36" t="s">
        <v>235</v>
      </c>
      <c r="D84" s="36" t="s">
        <v>231</v>
      </c>
      <c r="E84" s="36" t="s">
        <v>231</v>
      </c>
      <c r="F84" s="38">
        <f t="shared" si="20"/>
        <v>10540</v>
      </c>
      <c r="G84" s="37" t="s">
        <v>225</v>
      </c>
      <c r="H84" s="47"/>
      <c r="I84" s="48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8">
        <v>726</v>
      </c>
      <c r="U84" s="48">
        <v>726</v>
      </c>
      <c r="V84" s="49">
        <v>4118</v>
      </c>
      <c r="W84" s="49">
        <v>3161</v>
      </c>
      <c r="X84" s="49">
        <v>1700</v>
      </c>
      <c r="Y84" s="49">
        <v>0</v>
      </c>
      <c r="Z84" s="49">
        <v>0</v>
      </c>
      <c r="AA84" s="49">
        <v>0</v>
      </c>
      <c r="AB84" s="49">
        <v>0</v>
      </c>
      <c r="AC84" s="49">
        <v>0</v>
      </c>
      <c r="AD84" s="49">
        <v>0</v>
      </c>
      <c r="AE84" s="49">
        <v>0</v>
      </c>
      <c r="AF84" s="48"/>
      <c r="AG84" s="48"/>
      <c r="AH84" s="49"/>
      <c r="AI84" s="49"/>
      <c r="AJ84" s="49"/>
      <c r="AK84" s="49"/>
      <c r="AL84" s="49">
        <v>0</v>
      </c>
      <c r="AM84" s="49"/>
      <c r="AN84" s="49">
        <v>0</v>
      </c>
      <c r="AO84" s="49"/>
      <c r="AP84" s="49"/>
      <c r="AQ84" s="49"/>
      <c r="AR84" s="49">
        <v>0</v>
      </c>
      <c r="AS84" s="49">
        <v>0</v>
      </c>
      <c r="AT84" s="49"/>
      <c r="AU84" s="49">
        <v>0</v>
      </c>
      <c r="AV84" s="49">
        <v>0</v>
      </c>
      <c r="AW84" s="49"/>
      <c r="AX84" s="49">
        <v>0</v>
      </c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>
        <v>0</v>
      </c>
      <c r="BJ84" s="49"/>
      <c r="BK84" s="49"/>
      <c r="BL84" s="49"/>
      <c r="BM84" s="49"/>
      <c r="BN84" s="49">
        <v>10</v>
      </c>
      <c r="BO84" s="49">
        <v>20</v>
      </c>
      <c r="BP84" s="50">
        <v>0</v>
      </c>
      <c r="BQ84" s="50">
        <v>0</v>
      </c>
      <c r="BR84" s="50">
        <v>8</v>
      </c>
      <c r="BS84" s="50"/>
      <c r="BT84" s="50">
        <v>0</v>
      </c>
      <c r="BU84" s="50">
        <v>0</v>
      </c>
      <c r="BV84" s="50"/>
      <c r="BW84" s="50">
        <v>0</v>
      </c>
      <c r="BX84" s="50"/>
      <c r="BY84" s="50"/>
      <c r="BZ84" s="50">
        <v>22</v>
      </c>
      <c r="CA84" s="50">
        <v>0</v>
      </c>
      <c r="CB84" s="50"/>
      <c r="CC84" s="50"/>
      <c r="CD84" s="50">
        <v>15</v>
      </c>
      <c r="CE84" s="50">
        <v>14</v>
      </c>
      <c r="CF84" s="50">
        <v>0</v>
      </c>
      <c r="CG84" s="50"/>
      <c r="CH84" s="50">
        <v>0</v>
      </c>
      <c r="CI84" s="50">
        <v>0</v>
      </c>
      <c r="CJ84" s="50">
        <v>0</v>
      </c>
      <c r="CK84" s="50">
        <v>0</v>
      </c>
      <c r="CL84" s="50">
        <v>0</v>
      </c>
      <c r="CM84" s="50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0</v>
      </c>
      <c r="DC84" s="51">
        <v>0</v>
      </c>
      <c r="DD84" s="51">
        <v>0</v>
      </c>
      <c r="DE84" s="51">
        <v>0</v>
      </c>
      <c r="DF84" s="52">
        <v>0</v>
      </c>
      <c r="DG84" s="52">
        <v>0</v>
      </c>
      <c r="DH84" s="52">
        <v>0</v>
      </c>
      <c r="DI84" s="52">
        <v>0</v>
      </c>
      <c r="DJ84" s="52">
        <v>0</v>
      </c>
      <c r="DK84" s="52">
        <v>0</v>
      </c>
      <c r="DL84" s="52">
        <v>0</v>
      </c>
      <c r="DM84" s="52">
        <v>20</v>
      </c>
      <c r="DN84" s="52">
        <v>0</v>
      </c>
      <c r="DO84" s="52">
        <v>0</v>
      </c>
      <c r="DP84" s="52">
        <v>0</v>
      </c>
      <c r="DQ84" s="52">
        <v>0</v>
      </c>
      <c r="DR84" s="52">
        <v>0</v>
      </c>
      <c r="DS84" s="53">
        <v>0</v>
      </c>
      <c r="DT84" s="53">
        <v>0</v>
      </c>
      <c r="DU84" s="53">
        <v>0</v>
      </c>
      <c r="DV84" s="53">
        <v>0</v>
      </c>
      <c r="DW84" s="53">
        <v>0</v>
      </c>
      <c r="DX84" s="2"/>
      <c r="DY84" s="2"/>
      <c r="DZ84" s="46">
        <f t="shared" si="11"/>
        <v>0</v>
      </c>
      <c r="EA84" s="46">
        <f t="shared" si="12"/>
        <v>10431</v>
      </c>
      <c r="EB84" s="46">
        <f t="shared" si="13"/>
        <v>0</v>
      </c>
      <c r="EC84" s="46">
        <f t="shared" si="14"/>
        <v>0</v>
      </c>
      <c r="ED84" s="46">
        <f t="shared" si="15"/>
        <v>30</v>
      </c>
      <c r="EE84" s="46">
        <f t="shared" si="16"/>
        <v>30</v>
      </c>
      <c r="EF84" s="46">
        <f t="shared" si="17"/>
        <v>29</v>
      </c>
      <c r="EG84" s="46">
        <f t="shared" si="18"/>
        <v>0</v>
      </c>
      <c r="EH84" s="46">
        <f t="shared" si="19"/>
        <v>0</v>
      </c>
      <c r="EI84" s="46">
        <f t="shared" si="21"/>
        <v>20</v>
      </c>
    </row>
    <row r="85" spans="3:139" ht="12">
      <c r="C85" s="36" t="s">
        <v>236</v>
      </c>
      <c r="D85" s="36" t="s">
        <v>231</v>
      </c>
      <c r="E85" s="36" t="s">
        <v>231</v>
      </c>
      <c r="F85" s="38">
        <f t="shared" si="20"/>
        <v>7399</v>
      </c>
      <c r="G85" s="37" t="s">
        <v>225</v>
      </c>
      <c r="H85" s="47"/>
      <c r="I85" s="48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8"/>
      <c r="U85" s="48"/>
      <c r="V85" s="49"/>
      <c r="W85" s="49"/>
      <c r="X85" s="49"/>
      <c r="Y85" s="49"/>
      <c r="Z85" s="49"/>
      <c r="AA85" s="49"/>
      <c r="AB85" s="49"/>
      <c r="AC85" s="49">
        <v>500</v>
      </c>
      <c r="AD85" s="49">
        <v>200</v>
      </c>
      <c r="AE85" s="49">
        <v>0</v>
      </c>
      <c r="AF85" s="48">
        <v>300</v>
      </c>
      <c r="AG85" s="48">
        <v>300</v>
      </c>
      <c r="AH85" s="49"/>
      <c r="AI85" s="49"/>
      <c r="AJ85" s="49"/>
      <c r="AK85" s="49">
        <v>279</v>
      </c>
      <c r="AL85" s="49">
        <v>300</v>
      </c>
      <c r="AM85" s="49">
        <v>300</v>
      </c>
      <c r="AN85" s="49">
        <v>400</v>
      </c>
      <c r="AO85" s="49">
        <v>540</v>
      </c>
      <c r="AP85" s="49">
        <v>200</v>
      </c>
      <c r="AQ85" s="49">
        <v>500</v>
      </c>
      <c r="AR85" s="49">
        <v>400</v>
      </c>
      <c r="AS85" s="49">
        <v>400</v>
      </c>
      <c r="AT85" s="49">
        <v>600</v>
      </c>
      <c r="AU85" s="49">
        <v>440</v>
      </c>
      <c r="AV85" s="49">
        <v>0</v>
      </c>
      <c r="AW85" s="49">
        <v>100</v>
      </c>
      <c r="AX85" s="49">
        <v>440</v>
      </c>
      <c r="AY85" s="49">
        <v>587</v>
      </c>
      <c r="AZ85" s="49">
        <v>497</v>
      </c>
      <c r="BA85" s="49">
        <v>0</v>
      </c>
      <c r="BB85" s="49">
        <v>0</v>
      </c>
      <c r="BC85" s="49">
        <v>0</v>
      </c>
      <c r="BD85" s="49">
        <v>0</v>
      </c>
      <c r="BE85" s="49">
        <v>0</v>
      </c>
      <c r="BF85" s="49"/>
      <c r="BG85" s="49"/>
      <c r="BH85" s="49"/>
      <c r="BI85" s="49">
        <v>0</v>
      </c>
      <c r="BJ85" s="49"/>
      <c r="BK85" s="49"/>
      <c r="BL85" s="49">
        <v>0</v>
      </c>
      <c r="BM85" s="49"/>
      <c r="BN85" s="49">
        <v>0</v>
      </c>
      <c r="BO85" s="49"/>
      <c r="BP85" s="50">
        <v>116</v>
      </c>
      <c r="BQ85" s="50">
        <v>0</v>
      </c>
      <c r="BR85" s="50"/>
      <c r="BS85" s="50">
        <v>0</v>
      </c>
      <c r="BT85" s="50">
        <v>0</v>
      </c>
      <c r="BU85" s="50">
        <v>0</v>
      </c>
      <c r="BV85" s="50"/>
      <c r="BW85" s="50">
        <v>0</v>
      </c>
      <c r="BX85" s="50"/>
      <c r="BY85" s="50"/>
      <c r="BZ85" s="50"/>
      <c r="CA85" s="50">
        <v>0</v>
      </c>
      <c r="CB85" s="50">
        <v>0</v>
      </c>
      <c r="CC85" s="50">
        <v>0</v>
      </c>
      <c r="CD85" s="50">
        <v>0</v>
      </c>
      <c r="CE85" s="50">
        <v>0</v>
      </c>
      <c r="CF85" s="50">
        <v>0</v>
      </c>
      <c r="CG85" s="50"/>
      <c r="CH85" s="50">
        <v>0</v>
      </c>
      <c r="CI85" s="50">
        <v>0</v>
      </c>
      <c r="CJ85" s="50">
        <v>0</v>
      </c>
      <c r="CK85" s="50">
        <v>0</v>
      </c>
      <c r="CL85" s="50">
        <v>0</v>
      </c>
      <c r="CM85" s="50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2">
        <v>0</v>
      </c>
      <c r="DG85" s="52">
        <v>0</v>
      </c>
      <c r="DH85" s="52">
        <v>0</v>
      </c>
      <c r="DI85" s="52">
        <v>0</v>
      </c>
      <c r="DJ85" s="52">
        <v>0</v>
      </c>
      <c r="DK85" s="52">
        <v>0</v>
      </c>
      <c r="DL85" s="52">
        <v>0</v>
      </c>
      <c r="DM85" s="52">
        <v>0</v>
      </c>
      <c r="DN85" s="52">
        <v>0</v>
      </c>
      <c r="DO85" s="52">
        <v>0</v>
      </c>
      <c r="DP85" s="52">
        <v>0</v>
      </c>
      <c r="DQ85" s="52">
        <v>0</v>
      </c>
      <c r="DR85" s="52">
        <v>0</v>
      </c>
      <c r="DS85" s="53">
        <v>0</v>
      </c>
      <c r="DT85" s="53">
        <v>0</v>
      </c>
      <c r="DU85" s="53">
        <v>0</v>
      </c>
      <c r="DV85" s="53">
        <v>0</v>
      </c>
      <c r="DW85" s="53">
        <v>0</v>
      </c>
      <c r="DX85" s="2"/>
      <c r="DY85" s="2"/>
      <c r="DZ85" s="46">
        <f t="shared" si="11"/>
        <v>0</v>
      </c>
      <c r="EA85" s="46">
        <f t="shared" si="12"/>
        <v>700</v>
      </c>
      <c r="EB85" s="46">
        <f t="shared" si="13"/>
        <v>3119</v>
      </c>
      <c r="EC85" s="46">
        <f t="shared" si="14"/>
        <v>3464</v>
      </c>
      <c r="ED85" s="46">
        <f t="shared" si="15"/>
        <v>0</v>
      </c>
      <c r="EE85" s="46">
        <f t="shared" si="16"/>
        <v>116</v>
      </c>
      <c r="EF85" s="46">
        <f t="shared" si="17"/>
        <v>0</v>
      </c>
      <c r="EG85" s="46">
        <f t="shared" si="18"/>
        <v>0</v>
      </c>
      <c r="EH85" s="46">
        <f t="shared" si="19"/>
        <v>0</v>
      </c>
      <c r="EI85" s="46">
        <f t="shared" si="21"/>
        <v>0</v>
      </c>
    </row>
    <row r="86" spans="3:139" ht="12">
      <c r="C86" s="36" t="s">
        <v>237</v>
      </c>
      <c r="D86" s="36" t="s">
        <v>231</v>
      </c>
      <c r="E86" s="36" t="s">
        <v>231</v>
      </c>
      <c r="F86" s="38">
        <f t="shared" si="20"/>
        <v>1896</v>
      </c>
      <c r="G86" s="37" t="s">
        <v>225</v>
      </c>
      <c r="H86" s="47"/>
      <c r="I86" s="48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8"/>
      <c r="U86" s="48"/>
      <c r="V86" s="49"/>
      <c r="W86" s="49"/>
      <c r="X86" s="49"/>
      <c r="Y86" s="49"/>
      <c r="Z86" s="49">
        <v>580</v>
      </c>
      <c r="AA86" s="49">
        <v>60</v>
      </c>
      <c r="AB86" s="49">
        <v>0</v>
      </c>
      <c r="AC86" s="49">
        <v>820</v>
      </c>
      <c r="AD86" s="49">
        <v>0</v>
      </c>
      <c r="AE86" s="49">
        <v>0</v>
      </c>
      <c r="AF86" s="48"/>
      <c r="AG86" s="48"/>
      <c r="AH86" s="49"/>
      <c r="AI86" s="49">
        <v>400</v>
      </c>
      <c r="AJ86" s="49"/>
      <c r="AK86" s="49"/>
      <c r="AL86" s="49">
        <v>0</v>
      </c>
      <c r="AM86" s="49"/>
      <c r="AN86" s="49">
        <v>0</v>
      </c>
      <c r="AO86" s="49"/>
      <c r="AP86" s="49"/>
      <c r="AQ86" s="49"/>
      <c r="AR86" s="49">
        <v>0</v>
      </c>
      <c r="AS86" s="49">
        <v>0</v>
      </c>
      <c r="AT86" s="49"/>
      <c r="AU86" s="49">
        <v>0</v>
      </c>
      <c r="AV86" s="49">
        <v>0</v>
      </c>
      <c r="AW86" s="49"/>
      <c r="AX86" s="49">
        <v>0</v>
      </c>
      <c r="AY86" s="49"/>
      <c r="AZ86" s="49">
        <v>0</v>
      </c>
      <c r="BA86" s="49">
        <v>0</v>
      </c>
      <c r="BB86" s="49">
        <v>0</v>
      </c>
      <c r="BC86" s="49">
        <v>0</v>
      </c>
      <c r="BD86" s="49">
        <v>0</v>
      </c>
      <c r="BE86" s="49">
        <v>0</v>
      </c>
      <c r="BF86" s="49"/>
      <c r="BG86" s="49"/>
      <c r="BH86" s="49">
        <v>36</v>
      </c>
      <c r="BI86" s="49">
        <v>0</v>
      </c>
      <c r="BJ86" s="49"/>
      <c r="BK86" s="49"/>
      <c r="BL86" s="49">
        <v>0</v>
      </c>
      <c r="BM86" s="49"/>
      <c r="BN86" s="49">
        <v>0</v>
      </c>
      <c r="BO86" s="49"/>
      <c r="BP86" s="50">
        <v>0</v>
      </c>
      <c r="BQ86" s="50">
        <v>0</v>
      </c>
      <c r="BR86" s="50"/>
      <c r="BS86" s="50">
        <v>0</v>
      </c>
      <c r="BT86" s="50">
        <v>0</v>
      </c>
      <c r="BU86" s="50">
        <v>0</v>
      </c>
      <c r="BV86" s="50"/>
      <c r="BW86" s="50">
        <v>0</v>
      </c>
      <c r="BX86" s="50"/>
      <c r="BY86" s="50"/>
      <c r="BZ86" s="50"/>
      <c r="CA86" s="50">
        <v>0</v>
      </c>
      <c r="CB86" s="50">
        <v>0</v>
      </c>
      <c r="CC86" s="50">
        <v>0</v>
      </c>
      <c r="CD86" s="50">
        <v>0</v>
      </c>
      <c r="CE86" s="50">
        <v>0</v>
      </c>
      <c r="CF86" s="50">
        <v>0</v>
      </c>
      <c r="CG86" s="50"/>
      <c r="CH86" s="50">
        <v>0</v>
      </c>
      <c r="CI86" s="50">
        <v>0</v>
      </c>
      <c r="CJ86" s="50">
        <v>0</v>
      </c>
      <c r="CK86" s="50">
        <v>0</v>
      </c>
      <c r="CL86" s="50">
        <v>0</v>
      </c>
      <c r="CM86" s="50">
        <v>0</v>
      </c>
      <c r="CN86" s="51">
        <v>0</v>
      </c>
      <c r="CO86" s="51">
        <v>0</v>
      </c>
      <c r="CP86" s="51">
        <v>0</v>
      </c>
      <c r="CQ86" s="51">
        <v>0</v>
      </c>
      <c r="CR86" s="51">
        <v>0</v>
      </c>
      <c r="CS86" s="51">
        <v>0</v>
      </c>
      <c r="CT86" s="51">
        <v>0</v>
      </c>
      <c r="CU86" s="51">
        <v>0</v>
      </c>
      <c r="CV86" s="51">
        <v>0</v>
      </c>
      <c r="CW86" s="51">
        <v>0</v>
      </c>
      <c r="CX86" s="51">
        <v>0</v>
      </c>
      <c r="CY86" s="51">
        <v>0</v>
      </c>
      <c r="CZ86" s="51">
        <v>0</v>
      </c>
      <c r="DA86" s="51">
        <v>0</v>
      </c>
      <c r="DB86" s="51">
        <v>0</v>
      </c>
      <c r="DC86" s="51">
        <v>0</v>
      </c>
      <c r="DD86" s="51">
        <v>0</v>
      </c>
      <c r="DE86" s="51">
        <v>0</v>
      </c>
      <c r="DF86" s="52">
        <v>0</v>
      </c>
      <c r="DG86" s="52">
        <v>0</v>
      </c>
      <c r="DH86" s="52">
        <v>0</v>
      </c>
      <c r="DI86" s="52">
        <v>0</v>
      </c>
      <c r="DJ86" s="52">
        <v>0</v>
      </c>
      <c r="DK86" s="52">
        <v>0</v>
      </c>
      <c r="DL86" s="52">
        <v>0</v>
      </c>
      <c r="DM86" s="52">
        <v>0</v>
      </c>
      <c r="DN86" s="52">
        <v>0</v>
      </c>
      <c r="DO86" s="52">
        <v>0</v>
      </c>
      <c r="DP86" s="52">
        <v>0</v>
      </c>
      <c r="DQ86" s="52">
        <v>0</v>
      </c>
      <c r="DR86" s="52">
        <v>0</v>
      </c>
      <c r="DS86" s="53">
        <v>0</v>
      </c>
      <c r="DT86" s="53">
        <v>0</v>
      </c>
      <c r="DU86" s="53">
        <v>0</v>
      </c>
      <c r="DV86" s="53">
        <v>0</v>
      </c>
      <c r="DW86" s="53">
        <v>0</v>
      </c>
      <c r="DX86" s="2"/>
      <c r="DY86" s="2"/>
      <c r="DZ86" s="46">
        <f t="shared" si="11"/>
        <v>0</v>
      </c>
      <c r="EA86" s="46">
        <f t="shared" si="12"/>
        <v>1460</v>
      </c>
      <c r="EB86" s="46">
        <f t="shared" si="13"/>
        <v>400</v>
      </c>
      <c r="EC86" s="46">
        <f t="shared" si="14"/>
        <v>0</v>
      </c>
      <c r="ED86" s="46">
        <f t="shared" si="15"/>
        <v>36</v>
      </c>
      <c r="EE86" s="46">
        <f t="shared" si="16"/>
        <v>0</v>
      </c>
      <c r="EF86" s="46">
        <f t="shared" si="17"/>
        <v>0</v>
      </c>
      <c r="EG86" s="46">
        <f t="shared" si="18"/>
        <v>0</v>
      </c>
      <c r="EH86" s="46">
        <f t="shared" si="19"/>
        <v>0</v>
      </c>
      <c r="EI86" s="46">
        <f t="shared" si="21"/>
        <v>0</v>
      </c>
    </row>
    <row r="87" spans="3:139" ht="12">
      <c r="C87" s="36" t="s">
        <v>238</v>
      </c>
      <c r="D87" s="36" t="s">
        <v>231</v>
      </c>
      <c r="E87" s="36" t="s">
        <v>231</v>
      </c>
      <c r="F87" s="38">
        <f t="shared" si="20"/>
        <v>39237</v>
      </c>
      <c r="G87" s="37" t="s">
        <v>225</v>
      </c>
      <c r="H87" s="47"/>
      <c r="I87" s="48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8"/>
      <c r="U87" s="48"/>
      <c r="V87" s="49"/>
      <c r="W87" s="49"/>
      <c r="X87" s="49"/>
      <c r="Y87" s="49"/>
      <c r="Z87" s="49">
        <v>1120</v>
      </c>
      <c r="AA87" s="49">
        <v>3680</v>
      </c>
      <c r="AB87" s="49">
        <v>2920</v>
      </c>
      <c r="AC87" s="49">
        <v>5080</v>
      </c>
      <c r="AD87" s="49">
        <v>7460</v>
      </c>
      <c r="AE87" s="49">
        <v>2440</v>
      </c>
      <c r="AF87" s="48">
        <v>2374</v>
      </c>
      <c r="AG87" s="48">
        <v>4310</v>
      </c>
      <c r="AH87" s="49">
        <v>3100</v>
      </c>
      <c r="AI87" s="49">
        <v>2340</v>
      </c>
      <c r="AJ87" s="49">
        <v>399</v>
      </c>
      <c r="AK87" s="49">
        <v>339</v>
      </c>
      <c r="AL87" s="49">
        <v>600</v>
      </c>
      <c r="AM87" s="49">
        <v>140</v>
      </c>
      <c r="AN87" s="49">
        <v>460</v>
      </c>
      <c r="AO87" s="49"/>
      <c r="AP87" s="49">
        <v>175</v>
      </c>
      <c r="AQ87" s="49"/>
      <c r="AR87" s="49">
        <v>0</v>
      </c>
      <c r="AS87" s="49">
        <v>0</v>
      </c>
      <c r="AT87" s="49"/>
      <c r="AU87" s="49">
        <v>100</v>
      </c>
      <c r="AV87" s="49">
        <v>0</v>
      </c>
      <c r="AW87" s="49"/>
      <c r="AX87" s="49">
        <v>160</v>
      </c>
      <c r="AY87" s="49">
        <v>100</v>
      </c>
      <c r="AZ87" s="49">
        <v>0</v>
      </c>
      <c r="BA87" s="49">
        <v>0</v>
      </c>
      <c r="BB87" s="49">
        <v>60</v>
      </c>
      <c r="BC87" s="49">
        <v>0</v>
      </c>
      <c r="BD87" s="49">
        <v>83</v>
      </c>
      <c r="BE87" s="49">
        <v>0</v>
      </c>
      <c r="BF87" s="49"/>
      <c r="BG87" s="49"/>
      <c r="BH87" s="49"/>
      <c r="BI87" s="49">
        <v>99</v>
      </c>
      <c r="BJ87" s="49">
        <v>59</v>
      </c>
      <c r="BK87" s="49"/>
      <c r="BL87" s="49">
        <v>0</v>
      </c>
      <c r="BM87" s="49"/>
      <c r="BN87" s="49">
        <v>58</v>
      </c>
      <c r="BO87" s="49"/>
      <c r="BP87" s="50">
        <v>0</v>
      </c>
      <c r="BQ87" s="50">
        <v>68</v>
      </c>
      <c r="BR87" s="50">
        <v>45</v>
      </c>
      <c r="BS87" s="50">
        <v>20</v>
      </c>
      <c r="BT87" s="50">
        <v>47</v>
      </c>
      <c r="BU87" s="50">
        <v>84</v>
      </c>
      <c r="BV87" s="50">
        <v>0</v>
      </c>
      <c r="BW87" s="50">
        <v>0</v>
      </c>
      <c r="BX87" s="50"/>
      <c r="BY87" s="50"/>
      <c r="BZ87" s="50">
        <v>200</v>
      </c>
      <c r="CA87" s="50">
        <v>0</v>
      </c>
      <c r="CB87" s="50">
        <v>0</v>
      </c>
      <c r="CC87" s="50">
        <v>59</v>
      </c>
      <c r="CD87" s="50">
        <v>60</v>
      </c>
      <c r="CE87" s="50">
        <v>179</v>
      </c>
      <c r="CF87" s="50">
        <v>0</v>
      </c>
      <c r="CG87" s="50"/>
      <c r="CH87" s="50">
        <v>98</v>
      </c>
      <c r="CI87" s="50">
        <v>204</v>
      </c>
      <c r="CJ87" s="50">
        <v>15</v>
      </c>
      <c r="CK87" s="50">
        <v>0</v>
      </c>
      <c r="CL87" s="50">
        <v>0</v>
      </c>
      <c r="CM87" s="50">
        <v>0</v>
      </c>
      <c r="CN87" s="51">
        <v>154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106</v>
      </c>
      <c r="CU87" s="51">
        <v>5</v>
      </c>
      <c r="CV87" s="51">
        <v>0</v>
      </c>
      <c r="CW87" s="51">
        <v>0</v>
      </c>
      <c r="CX87" s="51">
        <v>118</v>
      </c>
      <c r="CY87" s="51">
        <v>0</v>
      </c>
      <c r="CZ87" s="51">
        <v>0</v>
      </c>
      <c r="DA87" s="51">
        <v>0</v>
      </c>
      <c r="DB87" s="51">
        <v>0</v>
      </c>
      <c r="DC87" s="51">
        <v>11</v>
      </c>
      <c r="DD87" s="51">
        <v>54</v>
      </c>
      <c r="DE87" s="51">
        <v>0</v>
      </c>
      <c r="DF87" s="52">
        <v>20</v>
      </c>
      <c r="DG87" s="52">
        <v>0</v>
      </c>
      <c r="DH87" s="52">
        <v>0</v>
      </c>
      <c r="DI87" s="52">
        <v>0</v>
      </c>
      <c r="DJ87" s="52">
        <v>0</v>
      </c>
      <c r="DK87" s="52">
        <v>0</v>
      </c>
      <c r="DL87" s="52">
        <v>0</v>
      </c>
      <c r="DM87" s="52">
        <v>34</v>
      </c>
      <c r="DN87" s="52">
        <v>0</v>
      </c>
      <c r="DO87" s="52">
        <v>0</v>
      </c>
      <c r="DP87" s="52">
        <v>0</v>
      </c>
      <c r="DQ87" s="52">
        <v>0</v>
      </c>
      <c r="DR87" s="52">
        <v>38</v>
      </c>
      <c r="DS87" s="53">
        <v>0</v>
      </c>
      <c r="DT87" s="53">
        <v>0</v>
      </c>
      <c r="DU87" s="53">
        <v>0</v>
      </c>
      <c r="DV87" s="53">
        <v>0</v>
      </c>
      <c r="DW87" s="53">
        <v>0</v>
      </c>
      <c r="DX87" s="2"/>
      <c r="DY87" s="2"/>
      <c r="DZ87" s="46">
        <f t="shared" si="11"/>
        <v>0</v>
      </c>
      <c r="EA87" s="46">
        <f t="shared" si="12"/>
        <v>22700</v>
      </c>
      <c r="EB87" s="46">
        <f t="shared" si="13"/>
        <v>14237</v>
      </c>
      <c r="EC87" s="46">
        <f t="shared" si="14"/>
        <v>420</v>
      </c>
      <c r="ED87" s="46">
        <f t="shared" si="15"/>
        <v>299</v>
      </c>
      <c r="EE87" s="46">
        <f t="shared" si="16"/>
        <v>464</v>
      </c>
      <c r="EF87" s="46">
        <f t="shared" si="17"/>
        <v>615</v>
      </c>
      <c r="EG87" s="46">
        <f t="shared" si="18"/>
        <v>383</v>
      </c>
      <c r="EH87" s="46">
        <f t="shared" si="19"/>
        <v>85</v>
      </c>
      <c r="EI87" s="46">
        <f t="shared" si="21"/>
        <v>34</v>
      </c>
    </row>
    <row r="88" spans="3:139" ht="12">
      <c r="C88" s="36" t="s">
        <v>239</v>
      </c>
      <c r="D88" s="36" t="s">
        <v>231</v>
      </c>
      <c r="E88" s="36" t="s">
        <v>231</v>
      </c>
      <c r="F88" s="38">
        <f t="shared" si="20"/>
        <v>2186</v>
      </c>
      <c r="G88" s="37" t="s">
        <v>225</v>
      </c>
      <c r="H88" s="47"/>
      <c r="I88" s="48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8"/>
      <c r="U88" s="48"/>
      <c r="V88" s="49"/>
      <c r="W88" s="49"/>
      <c r="X88" s="49"/>
      <c r="Y88" s="49"/>
      <c r="Z88" s="49">
        <v>0</v>
      </c>
      <c r="AA88" s="49">
        <v>1340</v>
      </c>
      <c r="AB88" s="49">
        <v>0</v>
      </c>
      <c r="AC88" s="49">
        <v>0</v>
      </c>
      <c r="AD88" s="49">
        <v>600</v>
      </c>
      <c r="AE88" s="49">
        <v>0</v>
      </c>
      <c r="AF88" s="48"/>
      <c r="AG88" s="48">
        <v>100</v>
      </c>
      <c r="AH88" s="49"/>
      <c r="AI88" s="49"/>
      <c r="AJ88" s="49"/>
      <c r="AK88" s="49"/>
      <c r="AL88" s="49">
        <v>10</v>
      </c>
      <c r="AM88" s="49"/>
      <c r="AN88" s="49">
        <v>0</v>
      </c>
      <c r="AO88" s="49"/>
      <c r="AP88" s="49"/>
      <c r="AQ88" s="49"/>
      <c r="AR88" s="49">
        <v>0</v>
      </c>
      <c r="AS88" s="49">
        <v>0</v>
      </c>
      <c r="AT88" s="49"/>
      <c r="AU88" s="49">
        <v>40</v>
      </c>
      <c r="AV88" s="49">
        <v>0</v>
      </c>
      <c r="AW88" s="49"/>
      <c r="AX88" s="49">
        <v>0</v>
      </c>
      <c r="AY88" s="49"/>
      <c r="AZ88" s="49">
        <v>0</v>
      </c>
      <c r="BA88" s="49">
        <v>0</v>
      </c>
      <c r="BB88" s="49">
        <v>0</v>
      </c>
      <c r="BC88" s="49">
        <v>0</v>
      </c>
      <c r="BD88" s="49">
        <v>0</v>
      </c>
      <c r="BE88" s="49">
        <v>0</v>
      </c>
      <c r="BF88" s="49"/>
      <c r="BG88" s="49"/>
      <c r="BH88" s="49"/>
      <c r="BI88" s="49">
        <v>0</v>
      </c>
      <c r="BJ88" s="49"/>
      <c r="BK88" s="49"/>
      <c r="BL88" s="49">
        <v>8</v>
      </c>
      <c r="BM88" s="49"/>
      <c r="BN88" s="49">
        <v>0</v>
      </c>
      <c r="BO88" s="49"/>
      <c r="BP88" s="50">
        <v>0</v>
      </c>
      <c r="BQ88" s="50">
        <v>0</v>
      </c>
      <c r="BR88" s="50">
        <v>15</v>
      </c>
      <c r="BS88" s="50">
        <v>0</v>
      </c>
      <c r="BT88" s="50">
        <v>0</v>
      </c>
      <c r="BU88" s="50">
        <v>0</v>
      </c>
      <c r="BV88" s="50"/>
      <c r="BW88" s="50">
        <v>0</v>
      </c>
      <c r="BX88" s="50"/>
      <c r="BY88" s="50"/>
      <c r="BZ88" s="50"/>
      <c r="CA88" s="50">
        <v>0</v>
      </c>
      <c r="CB88" s="50">
        <v>0</v>
      </c>
      <c r="CC88" s="50">
        <v>10</v>
      </c>
      <c r="CD88" s="50">
        <v>9</v>
      </c>
      <c r="CE88" s="50">
        <v>0</v>
      </c>
      <c r="CF88" s="50">
        <v>0</v>
      </c>
      <c r="CG88" s="50"/>
      <c r="CH88" s="50">
        <v>0</v>
      </c>
      <c r="CI88" s="50">
        <v>0</v>
      </c>
      <c r="CJ88" s="50">
        <v>40</v>
      </c>
      <c r="CK88" s="50">
        <v>0</v>
      </c>
      <c r="CL88" s="50">
        <v>0</v>
      </c>
      <c r="CM88" s="50">
        <v>0</v>
      </c>
      <c r="CN88" s="51">
        <v>14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2">
        <v>0</v>
      </c>
      <c r="DG88" s="52">
        <v>0</v>
      </c>
      <c r="DH88" s="52">
        <v>0</v>
      </c>
      <c r="DI88" s="52">
        <v>0</v>
      </c>
      <c r="DJ88" s="52">
        <v>0</v>
      </c>
      <c r="DK88" s="52">
        <v>0</v>
      </c>
      <c r="DL88" s="52">
        <v>0</v>
      </c>
      <c r="DM88" s="52">
        <v>0</v>
      </c>
      <c r="DN88" s="52">
        <v>0</v>
      </c>
      <c r="DO88" s="52">
        <v>0</v>
      </c>
      <c r="DP88" s="52">
        <v>0</v>
      </c>
      <c r="DQ88" s="52">
        <v>0</v>
      </c>
      <c r="DR88" s="52">
        <v>0</v>
      </c>
      <c r="DS88" s="53">
        <v>0</v>
      </c>
      <c r="DT88" s="53">
        <v>0</v>
      </c>
      <c r="DU88" s="53">
        <v>0</v>
      </c>
      <c r="DV88" s="53">
        <v>0</v>
      </c>
      <c r="DW88" s="53">
        <v>0</v>
      </c>
      <c r="DX88" s="2"/>
      <c r="DY88" s="2"/>
      <c r="DZ88" s="46">
        <f t="shared" si="11"/>
        <v>0</v>
      </c>
      <c r="EA88" s="46">
        <f t="shared" si="12"/>
        <v>1940</v>
      </c>
      <c r="EB88" s="46">
        <f t="shared" si="13"/>
        <v>110</v>
      </c>
      <c r="EC88" s="46">
        <f t="shared" si="14"/>
        <v>40</v>
      </c>
      <c r="ED88" s="46">
        <f t="shared" si="15"/>
        <v>8</v>
      </c>
      <c r="EE88" s="46">
        <f t="shared" si="16"/>
        <v>15</v>
      </c>
      <c r="EF88" s="46">
        <f t="shared" si="17"/>
        <v>59</v>
      </c>
      <c r="EG88" s="46">
        <f t="shared" si="18"/>
        <v>14</v>
      </c>
      <c r="EH88" s="46">
        <f t="shared" si="19"/>
        <v>0</v>
      </c>
      <c r="EI88" s="46">
        <f t="shared" si="21"/>
        <v>0</v>
      </c>
    </row>
    <row r="89" spans="3:139" ht="12">
      <c r="C89" s="36" t="s">
        <v>240</v>
      </c>
      <c r="D89" s="36" t="s">
        <v>231</v>
      </c>
      <c r="E89" s="36" t="s">
        <v>231</v>
      </c>
      <c r="F89" s="38">
        <f t="shared" si="20"/>
        <v>15719</v>
      </c>
      <c r="G89" s="37" t="s">
        <v>225</v>
      </c>
      <c r="H89" s="47"/>
      <c r="I89" s="48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8"/>
      <c r="U89" s="48"/>
      <c r="V89" s="49"/>
      <c r="W89" s="49"/>
      <c r="X89" s="49">
        <v>3480</v>
      </c>
      <c r="Y89" s="49">
        <v>1700</v>
      </c>
      <c r="Z89" s="49">
        <v>3180</v>
      </c>
      <c r="AA89" s="49">
        <v>3240</v>
      </c>
      <c r="AB89" s="49">
        <v>900</v>
      </c>
      <c r="AC89" s="49">
        <v>2000</v>
      </c>
      <c r="AD89" s="49">
        <v>600</v>
      </c>
      <c r="AE89" s="49">
        <v>0</v>
      </c>
      <c r="AF89" s="48"/>
      <c r="AG89" s="48"/>
      <c r="AH89" s="49"/>
      <c r="AI89" s="49"/>
      <c r="AJ89" s="49"/>
      <c r="AK89" s="49"/>
      <c r="AL89" s="49">
        <v>0</v>
      </c>
      <c r="AM89" s="49"/>
      <c r="AN89" s="49">
        <v>0</v>
      </c>
      <c r="AO89" s="49"/>
      <c r="AP89" s="49"/>
      <c r="AQ89" s="49"/>
      <c r="AR89" s="49">
        <v>0</v>
      </c>
      <c r="AS89" s="49">
        <v>0</v>
      </c>
      <c r="AT89" s="49"/>
      <c r="AU89" s="49">
        <v>40</v>
      </c>
      <c r="AV89" s="49">
        <v>0</v>
      </c>
      <c r="AW89" s="49"/>
      <c r="AX89" s="49">
        <v>0</v>
      </c>
      <c r="AY89" s="49">
        <v>60</v>
      </c>
      <c r="AZ89" s="49">
        <v>0</v>
      </c>
      <c r="BA89" s="49">
        <v>40</v>
      </c>
      <c r="BB89" s="49">
        <v>0</v>
      </c>
      <c r="BC89" s="49">
        <v>0</v>
      </c>
      <c r="BD89" s="49">
        <v>100</v>
      </c>
      <c r="BE89" s="49">
        <v>0</v>
      </c>
      <c r="BF89" s="49"/>
      <c r="BG89" s="49"/>
      <c r="BH89" s="49"/>
      <c r="BI89" s="49">
        <v>0</v>
      </c>
      <c r="BJ89" s="49"/>
      <c r="BK89" s="49"/>
      <c r="BL89" s="49">
        <v>0</v>
      </c>
      <c r="BM89" s="49"/>
      <c r="BN89" s="49">
        <v>59</v>
      </c>
      <c r="BO89" s="49"/>
      <c r="BP89" s="50">
        <v>0</v>
      </c>
      <c r="BQ89" s="50">
        <v>0</v>
      </c>
      <c r="BR89" s="50">
        <v>0</v>
      </c>
      <c r="BS89" s="50">
        <v>20</v>
      </c>
      <c r="BT89" s="50">
        <v>0</v>
      </c>
      <c r="BU89" s="50">
        <v>0</v>
      </c>
      <c r="BV89" s="50"/>
      <c r="BW89" s="50">
        <v>0</v>
      </c>
      <c r="BX89" s="50"/>
      <c r="BY89" s="50"/>
      <c r="BZ89" s="50">
        <v>55</v>
      </c>
      <c r="CA89" s="50">
        <v>0</v>
      </c>
      <c r="CB89" s="50">
        <v>0</v>
      </c>
      <c r="CC89" s="50">
        <v>0</v>
      </c>
      <c r="CD89" s="50">
        <v>35</v>
      </c>
      <c r="CE89" s="50">
        <v>38</v>
      </c>
      <c r="CF89" s="50">
        <v>0</v>
      </c>
      <c r="CG89" s="50"/>
      <c r="CH89" s="50">
        <v>34</v>
      </c>
      <c r="CI89" s="50">
        <v>0</v>
      </c>
      <c r="CJ89" s="50">
        <v>0</v>
      </c>
      <c r="CK89" s="50">
        <v>0</v>
      </c>
      <c r="CL89" s="50">
        <v>60</v>
      </c>
      <c r="CM89" s="50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29</v>
      </c>
      <c r="CS89" s="51">
        <v>0</v>
      </c>
      <c r="CT89" s="51">
        <v>0</v>
      </c>
      <c r="CU89" s="51">
        <v>0</v>
      </c>
      <c r="CV89" s="51">
        <v>0</v>
      </c>
      <c r="CW89" s="51">
        <v>0</v>
      </c>
      <c r="CX89" s="51">
        <v>0</v>
      </c>
      <c r="CY89" s="51">
        <v>30</v>
      </c>
      <c r="CZ89" s="51">
        <v>0</v>
      </c>
      <c r="DA89" s="51">
        <v>0</v>
      </c>
      <c r="DB89" s="51">
        <v>0</v>
      </c>
      <c r="DC89" s="51">
        <v>0</v>
      </c>
      <c r="DD89" s="51">
        <v>18</v>
      </c>
      <c r="DE89" s="51">
        <v>0</v>
      </c>
      <c r="DF89" s="52">
        <v>1</v>
      </c>
      <c r="DG89" s="52">
        <v>0</v>
      </c>
      <c r="DH89" s="52">
        <v>0</v>
      </c>
      <c r="DI89" s="52">
        <v>0</v>
      </c>
      <c r="DJ89" s="52">
        <v>0</v>
      </c>
      <c r="DK89" s="52">
        <v>0</v>
      </c>
      <c r="DL89" s="52">
        <v>0</v>
      </c>
      <c r="DM89" s="52">
        <v>0</v>
      </c>
      <c r="DN89" s="52">
        <v>0</v>
      </c>
      <c r="DO89" s="52">
        <v>0</v>
      </c>
      <c r="DP89" s="52">
        <v>0</v>
      </c>
      <c r="DQ89" s="52">
        <v>0</v>
      </c>
      <c r="DR89" s="52">
        <v>0</v>
      </c>
      <c r="DS89" s="53">
        <v>0</v>
      </c>
      <c r="DT89" s="53">
        <v>0</v>
      </c>
      <c r="DU89" s="53">
        <v>0</v>
      </c>
      <c r="DV89" s="53">
        <v>0</v>
      </c>
      <c r="DW89" s="53">
        <v>0</v>
      </c>
      <c r="DX89" s="2"/>
      <c r="DY89" s="2"/>
      <c r="DZ89" s="46">
        <f t="shared" si="11"/>
        <v>0</v>
      </c>
      <c r="EA89" s="46">
        <f t="shared" si="12"/>
        <v>15100</v>
      </c>
      <c r="EB89" s="46">
        <f t="shared" si="13"/>
        <v>0</v>
      </c>
      <c r="EC89" s="46">
        <f t="shared" si="14"/>
        <v>140</v>
      </c>
      <c r="ED89" s="46">
        <f t="shared" si="15"/>
        <v>159</v>
      </c>
      <c r="EE89" s="46">
        <f t="shared" si="16"/>
        <v>75</v>
      </c>
      <c r="EF89" s="46">
        <f t="shared" si="17"/>
        <v>167</v>
      </c>
      <c r="EG89" s="46">
        <f t="shared" si="18"/>
        <v>59</v>
      </c>
      <c r="EH89" s="46">
        <f t="shared" si="19"/>
        <v>19</v>
      </c>
      <c r="EI89" s="46">
        <f t="shared" si="21"/>
        <v>0</v>
      </c>
    </row>
    <row r="90" spans="3:139" ht="12">
      <c r="C90" s="36" t="s">
        <v>241</v>
      </c>
      <c r="D90" s="36" t="s">
        <v>231</v>
      </c>
      <c r="E90" s="36" t="s">
        <v>231</v>
      </c>
      <c r="F90" s="38">
        <f t="shared" si="20"/>
        <v>48899</v>
      </c>
      <c r="G90" s="37" t="s">
        <v>225</v>
      </c>
      <c r="H90" s="47"/>
      <c r="I90" s="48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8"/>
      <c r="U90" s="48"/>
      <c r="V90" s="49"/>
      <c r="W90" s="49"/>
      <c r="X90" s="49">
        <v>3900</v>
      </c>
      <c r="Y90" s="49">
        <v>4940</v>
      </c>
      <c r="Z90" s="49">
        <v>4220</v>
      </c>
      <c r="AA90" s="49">
        <v>3100</v>
      </c>
      <c r="AB90" s="49">
        <v>4180</v>
      </c>
      <c r="AC90" s="49">
        <v>9748</v>
      </c>
      <c r="AD90" s="49">
        <v>8720</v>
      </c>
      <c r="AE90" s="49">
        <v>1900</v>
      </c>
      <c r="AF90" s="48">
        <v>3591</v>
      </c>
      <c r="AG90" s="48">
        <v>1548</v>
      </c>
      <c r="AH90" s="49">
        <v>600</v>
      </c>
      <c r="AI90" s="49"/>
      <c r="AJ90" s="49"/>
      <c r="AK90" s="49"/>
      <c r="AL90" s="49">
        <v>0</v>
      </c>
      <c r="AM90" s="49"/>
      <c r="AN90" s="49">
        <v>0</v>
      </c>
      <c r="AO90" s="49"/>
      <c r="AP90" s="49"/>
      <c r="AQ90" s="49"/>
      <c r="AR90" s="49">
        <v>100</v>
      </c>
      <c r="AS90" s="49">
        <v>0</v>
      </c>
      <c r="AT90" s="49">
        <v>100</v>
      </c>
      <c r="AU90" s="49">
        <v>0</v>
      </c>
      <c r="AV90" s="49">
        <v>0</v>
      </c>
      <c r="AW90" s="49"/>
      <c r="AX90" s="49">
        <v>120</v>
      </c>
      <c r="AY90" s="49">
        <v>100</v>
      </c>
      <c r="AZ90" s="49">
        <v>0</v>
      </c>
      <c r="BA90" s="49">
        <v>0</v>
      </c>
      <c r="BB90" s="49">
        <v>40</v>
      </c>
      <c r="BC90" s="49">
        <v>0</v>
      </c>
      <c r="BD90" s="49">
        <v>100</v>
      </c>
      <c r="BE90" s="49">
        <v>0</v>
      </c>
      <c r="BF90" s="49"/>
      <c r="BG90" s="49">
        <v>100</v>
      </c>
      <c r="BH90" s="49"/>
      <c r="BI90" s="49">
        <v>96</v>
      </c>
      <c r="BJ90" s="49">
        <v>100</v>
      </c>
      <c r="BK90" s="49"/>
      <c r="BL90" s="49">
        <v>110</v>
      </c>
      <c r="BM90" s="49"/>
      <c r="BN90" s="49">
        <v>0</v>
      </c>
      <c r="BO90" s="49"/>
      <c r="BP90" s="50">
        <v>0</v>
      </c>
      <c r="BQ90" s="50">
        <v>47</v>
      </c>
      <c r="BR90" s="50">
        <v>32</v>
      </c>
      <c r="BS90" s="50">
        <v>29</v>
      </c>
      <c r="BT90" s="50">
        <v>79</v>
      </c>
      <c r="BU90" s="50">
        <v>0</v>
      </c>
      <c r="BV90" s="50"/>
      <c r="BW90" s="50">
        <v>64</v>
      </c>
      <c r="BX90" s="50">
        <v>102</v>
      </c>
      <c r="BY90" s="50"/>
      <c r="BZ90" s="50">
        <v>110</v>
      </c>
      <c r="CA90" s="50">
        <v>0</v>
      </c>
      <c r="CB90" s="50">
        <v>0</v>
      </c>
      <c r="CC90" s="50">
        <v>70</v>
      </c>
      <c r="CD90" s="50">
        <v>60</v>
      </c>
      <c r="CE90" s="50">
        <v>167</v>
      </c>
      <c r="CF90" s="50">
        <v>0</v>
      </c>
      <c r="CG90" s="50"/>
      <c r="CH90" s="50">
        <v>129</v>
      </c>
      <c r="CI90" s="50">
        <v>0</v>
      </c>
      <c r="CJ90" s="50">
        <v>75</v>
      </c>
      <c r="CK90" s="50">
        <v>0</v>
      </c>
      <c r="CL90" s="50">
        <v>119</v>
      </c>
      <c r="CM90" s="50">
        <v>0</v>
      </c>
      <c r="CN90" s="51">
        <v>60</v>
      </c>
      <c r="CO90" s="51">
        <v>144</v>
      </c>
      <c r="CP90" s="51">
        <v>3</v>
      </c>
      <c r="CQ90" s="51">
        <v>1</v>
      </c>
      <c r="CR90" s="51">
        <v>0</v>
      </c>
      <c r="CS90" s="51">
        <v>0</v>
      </c>
      <c r="CT90" s="51">
        <v>0</v>
      </c>
      <c r="CU90" s="51">
        <v>0</v>
      </c>
      <c r="CV90" s="51">
        <v>0</v>
      </c>
      <c r="CW90" s="51">
        <v>0</v>
      </c>
      <c r="CX90" s="51">
        <v>40</v>
      </c>
      <c r="CY90" s="51">
        <v>0</v>
      </c>
      <c r="CZ90" s="51">
        <v>0</v>
      </c>
      <c r="DA90" s="51">
        <v>0</v>
      </c>
      <c r="DB90" s="51">
        <v>0</v>
      </c>
      <c r="DC90" s="51">
        <v>0</v>
      </c>
      <c r="DD90" s="51">
        <v>126</v>
      </c>
      <c r="DE90" s="51">
        <v>0</v>
      </c>
      <c r="DF90" s="52">
        <v>9</v>
      </c>
      <c r="DG90" s="52">
        <v>0</v>
      </c>
      <c r="DH90" s="52">
        <v>0</v>
      </c>
      <c r="DI90" s="52">
        <v>0</v>
      </c>
      <c r="DJ90" s="52">
        <v>0</v>
      </c>
      <c r="DK90" s="52">
        <v>0</v>
      </c>
      <c r="DL90" s="52">
        <v>0</v>
      </c>
      <c r="DM90" s="52">
        <v>0</v>
      </c>
      <c r="DN90" s="52">
        <v>0</v>
      </c>
      <c r="DO90" s="52">
        <v>20</v>
      </c>
      <c r="DP90" s="52">
        <v>0</v>
      </c>
      <c r="DQ90" s="52">
        <v>0</v>
      </c>
      <c r="DR90" s="52">
        <v>0</v>
      </c>
      <c r="DS90" s="53">
        <v>0</v>
      </c>
      <c r="DT90" s="53">
        <v>0</v>
      </c>
      <c r="DU90" s="53">
        <v>0</v>
      </c>
      <c r="DV90" s="53">
        <v>0</v>
      </c>
      <c r="DW90" s="53">
        <v>0</v>
      </c>
      <c r="DX90" s="2"/>
      <c r="DY90" s="2"/>
      <c r="DZ90" s="46">
        <f t="shared" si="11"/>
        <v>0</v>
      </c>
      <c r="EA90" s="46">
        <f t="shared" si="12"/>
        <v>40708</v>
      </c>
      <c r="EB90" s="46">
        <f t="shared" si="13"/>
        <v>5739</v>
      </c>
      <c r="EC90" s="46">
        <f t="shared" si="14"/>
        <v>460</v>
      </c>
      <c r="ED90" s="46">
        <f t="shared" si="15"/>
        <v>506</v>
      </c>
      <c r="EE90" s="46">
        <f t="shared" si="16"/>
        <v>463</v>
      </c>
      <c r="EF90" s="46">
        <f t="shared" si="17"/>
        <v>620</v>
      </c>
      <c r="EG90" s="46">
        <f t="shared" si="18"/>
        <v>248</v>
      </c>
      <c r="EH90" s="46">
        <f t="shared" si="19"/>
        <v>135</v>
      </c>
      <c r="EI90" s="46">
        <f t="shared" si="21"/>
        <v>20</v>
      </c>
    </row>
    <row r="91" spans="3:139" ht="12">
      <c r="C91" s="36" t="s">
        <v>242</v>
      </c>
      <c r="D91" s="36" t="s">
        <v>231</v>
      </c>
      <c r="E91" s="36" t="s">
        <v>231</v>
      </c>
      <c r="F91" s="38">
        <f t="shared" si="20"/>
        <v>29223</v>
      </c>
      <c r="G91" s="37" t="s">
        <v>225</v>
      </c>
      <c r="H91" s="47"/>
      <c r="I91" s="48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8"/>
      <c r="U91" s="48"/>
      <c r="V91" s="49"/>
      <c r="W91" s="49"/>
      <c r="X91" s="49">
        <v>1120</v>
      </c>
      <c r="Y91" s="49">
        <v>4060</v>
      </c>
      <c r="Z91" s="49">
        <v>2000</v>
      </c>
      <c r="AA91" s="49">
        <v>3480</v>
      </c>
      <c r="AB91" s="49">
        <v>5180</v>
      </c>
      <c r="AC91" s="49">
        <v>4206</v>
      </c>
      <c r="AD91" s="49">
        <v>3117</v>
      </c>
      <c r="AE91" s="49">
        <v>900</v>
      </c>
      <c r="AF91" s="48">
        <v>1631</v>
      </c>
      <c r="AG91" s="48">
        <v>2360</v>
      </c>
      <c r="AH91" s="49">
        <v>100</v>
      </c>
      <c r="AI91" s="49">
        <v>40</v>
      </c>
      <c r="AJ91" s="49"/>
      <c r="AK91" s="49"/>
      <c r="AL91" s="49">
        <v>0</v>
      </c>
      <c r="AM91" s="49"/>
      <c r="AN91" s="49">
        <v>0</v>
      </c>
      <c r="AO91" s="49"/>
      <c r="AP91" s="49"/>
      <c r="AQ91" s="49"/>
      <c r="AR91" s="49">
        <v>0</v>
      </c>
      <c r="AS91" s="49">
        <v>0</v>
      </c>
      <c r="AT91" s="49"/>
      <c r="AU91" s="49">
        <v>20</v>
      </c>
      <c r="AV91" s="49">
        <v>19</v>
      </c>
      <c r="AW91" s="49"/>
      <c r="AX91" s="49">
        <v>60</v>
      </c>
      <c r="AY91" s="49">
        <v>40</v>
      </c>
      <c r="AZ91" s="49">
        <v>0</v>
      </c>
      <c r="BA91" s="49">
        <v>40</v>
      </c>
      <c r="BB91" s="49">
        <v>0</v>
      </c>
      <c r="BC91" s="49">
        <v>0</v>
      </c>
      <c r="BD91" s="49">
        <v>0</v>
      </c>
      <c r="BE91" s="49">
        <v>0</v>
      </c>
      <c r="BF91" s="49"/>
      <c r="BG91" s="49">
        <v>60</v>
      </c>
      <c r="BH91" s="49">
        <v>40</v>
      </c>
      <c r="BI91" s="49">
        <v>37</v>
      </c>
      <c r="BJ91" s="49"/>
      <c r="BK91" s="49"/>
      <c r="BL91" s="49">
        <v>64</v>
      </c>
      <c r="BM91" s="49"/>
      <c r="BN91" s="49">
        <v>0</v>
      </c>
      <c r="BO91" s="49">
        <v>60</v>
      </c>
      <c r="BP91" s="50">
        <v>0</v>
      </c>
      <c r="BQ91" s="50">
        <v>0</v>
      </c>
      <c r="BR91" s="50"/>
      <c r="BS91" s="50">
        <v>0</v>
      </c>
      <c r="BT91" s="50">
        <v>0</v>
      </c>
      <c r="BU91" s="50">
        <v>0</v>
      </c>
      <c r="BV91" s="50">
        <v>43</v>
      </c>
      <c r="BW91" s="50">
        <v>0</v>
      </c>
      <c r="BX91" s="50"/>
      <c r="BY91" s="50"/>
      <c r="BZ91" s="50">
        <v>70</v>
      </c>
      <c r="CA91" s="50">
        <v>60</v>
      </c>
      <c r="CB91" s="50">
        <v>0</v>
      </c>
      <c r="CC91" s="50">
        <v>0</v>
      </c>
      <c r="CD91" s="50">
        <v>0</v>
      </c>
      <c r="CE91" s="50">
        <v>52</v>
      </c>
      <c r="CF91" s="50">
        <v>0</v>
      </c>
      <c r="CG91" s="50"/>
      <c r="CH91" s="50">
        <v>100</v>
      </c>
      <c r="CI91" s="50">
        <v>13</v>
      </c>
      <c r="CJ91" s="50">
        <v>0</v>
      </c>
      <c r="CK91" s="50">
        <v>0</v>
      </c>
      <c r="CL91" s="50">
        <v>0</v>
      </c>
      <c r="CM91" s="50">
        <v>49</v>
      </c>
      <c r="CN91" s="51">
        <v>0</v>
      </c>
      <c r="CO91" s="51">
        <v>0</v>
      </c>
      <c r="CP91" s="51">
        <v>25</v>
      </c>
      <c r="CQ91" s="51">
        <v>5</v>
      </c>
      <c r="CR91" s="51">
        <v>50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77</v>
      </c>
      <c r="CZ91" s="51">
        <v>0</v>
      </c>
      <c r="DA91" s="51">
        <v>0</v>
      </c>
      <c r="DB91" s="51">
        <v>0</v>
      </c>
      <c r="DC91" s="51">
        <v>37</v>
      </c>
      <c r="DD91" s="51">
        <v>0</v>
      </c>
      <c r="DE91" s="51">
        <v>0</v>
      </c>
      <c r="DF91" s="52">
        <v>0</v>
      </c>
      <c r="DG91" s="52">
        <v>0</v>
      </c>
      <c r="DH91" s="52">
        <v>0</v>
      </c>
      <c r="DI91" s="52">
        <v>0</v>
      </c>
      <c r="DJ91" s="52">
        <v>0</v>
      </c>
      <c r="DK91" s="52">
        <v>0</v>
      </c>
      <c r="DL91" s="52">
        <v>0</v>
      </c>
      <c r="DM91" s="52">
        <v>0</v>
      </c>
      <c r="DN91" s="52">
        <v>0</v>
      </c>
      <c r="DO91" s="52">
        <v>8</v>
      </c>
      <c r="DP91" s="52">
        <v>0</v>
      </c>
      <c r="DQ91" s="52">
        <v>0</v>
      </c>
      <c r="DR91" s="52">
        <v>33</v>
      </c>
      <c r="DS91" s="53">
        <v>0</v>
      </c>
      <c r="DT91" s="53">
        <v>0</v>
      </c>
      <c r="DU91" s="53">
        <v>0</v>
      </c>
      <c r="DV91" s="53">
        <v>0</v>
      </c>
      <c r="DW91" s="53">
        <v>0</v>
      </c>
      <c r="DX91" s="2"/>
      <c r="DY91" s="2"/>
      <c r="DZ91" s="46">
        <f t="shared" si="11"/>
        <v>0</v>
      </c>
      <c r="EA91" s="46">
        <f t="shared" si="12"/>
        <v>24063</v>
      </c>
      <c r="EB91" s="46">
        <f t="shared" si="13"/>
        <v>4131</v>
      </c>
      <c r="EC91" s="46">
        <f t="shared" si="14"/>
        <v>179</v>
      </c>
      <c r="ED91" s="46">
        <f t="shared" si="15"/>
        <v>261</v>
      </c>
      <c r="EE91" s="46">
        <f t="shared" si="16"/>
        <v>173</v>
      </c>
      <c r="EF91" s="46">
        <f t="shared" si="17"/>
        <v>214</v>
      </c>
      <c r="EG91" s="46">
        <f t="shared" si="18"/>
        <v>157</v>
      </c>
      <c r="EH91" s="46">
        <f t="shared" si="19"/>
        <v>37</v>
      </c>
      <c r="EI91" s="46">
        <f t="shared" si="21"/>
        <v>8</v>
      </c>
    </row>
    <row r="92" spans="3:139" ht="12">
      <c r="C92" s="36" t="s">
        <v>243</v>
      </c>
      <c r="D92" s="36" t="s">
        <v>212</v>
      </c>
      <c r="E92" s="36"/>
      <c r="F92" s="38">
        <f t="shared" si="20"/>
        <v>0</v>
      </c>
      <c r="G92" s="37" t="s">
        <v>225</v>
      </c>
      <c r="H92" s="47"/>
      <c r="I92" s="48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8"/>
      <c r="U92" s="48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8"/>
      <c r="AG92" s="48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>
        <v>0</v>
      </c>
      <c r="AS92" s="49">
        <v>0</v>
      </c>
      <c r="AT92" s="49"/>
      <c r="AU92" s="49">
        <v>0</v>
      </c>
      <c r="AV92" s="49">
        <v>0</v>
      </c>
      <c r="AW92" s="49"/>
      <c r="AX92" s="49">
        <v>0</v>
      </c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>
        <v>0</v>
      </c>
      <c r="BJ92" s="49"/>
      <c r="BK92" s="49"/>
      <c r="BL92" s="49"/>
      <c r="BM92" s="49"/>
      <c r="BN92" s="49">
        <v>0</v>
      </c>
      <c r="BO92" s="49"/>
      <c r="BP92" s="50"/>
      <c r="BQ92" s="50"/>
      <c r="BR92" s="50"/>
      <c r="BS92" s="50"/>
      <c r="BT92" s="50">
        <v>0</v>
      </c>
      <c r="BU92" s="50">
        <v>0</v>
      </c>
      <c r="BV92" s="50"/>
      <c r="BW92" s="50">
        <v>0</v>
      </c>
      <c r="BX92" s="50"/>
      <c r="BY92" s="50"/>
      <c r="BZ92" s="50"/>
      <c r="CA92" s="50">
        <v>0</v>
      </c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3">
        <v>0</v>
      </c>
      <c r="DT92" s="53">
        <v>0</v>
      </c>
      <c r="DU92" s="53">
        <v>0</v>
      </c>
      <c r="DV92" s="53">
        <v>0</v>
      </c>
      <c r="DW92" s="53">
        <v>0</v>
      </c>
      <c r="DX92" s="2"/>
      <c r="DY92" s="2"/>
      <c r="DZ92" s="46">
        <f t="shared" si="11"/>
        <v>0</v>
      </c>
      <c r="EA92" s="46">
        <f t="shared" si="12"/>
        <v>0</v>
      </c>
      <c r="EB92" s="46">
        <f t="shared" si="13"/>
        <v>0</v>
      </c>
      <c r="EC92" s="46">
        <f t="shared" si="14"/>
        <v>0</v>
      </c>
      <c r="ED92" s="46">
        <f t="shared" si="15"/>
        <v>0</v>
      </c>
      <c r="EE92" s="46">
        <f t="shared" si="16"/>
        <v>0</v>
      </c>
      <c r="EF92" s="46">
        <f t="shared" si="17"/>
        <v>0</v>
      </c>
      <c r="EG92" s="46">
        <f t="shared" si="18"/>
        <v>0</v>
      </c>
      <c r="EH92" s="46">
        <f t="shared" si="19"/>
        <v>0</v>
      </c>
      <c r="EI92" s="46">
        <f t="shared" si="21"/>
        <v>0</v>
      </c>
    </row>
    <row r="93" spans="3:139" ht="12">
      <c r="C93" s="36" t="s">
        <v>244</v>
      </c>
      <c r="D93" s="36" t="s">
        <v>212</v>
      </c>
      <c r="E93" s="36"/>
      <c r="F93" s="38">
        <f t="shared" si="20"/>
        <v>0</v>
      </c>
      <c r="G93" s="37" t="s">
        <v>225</v>
      </c>
      <c r="H93" s="47"/>
      <c r="I93" s="48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8"/>
      <c r="U93" s="48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8"/>
      <c r="AG93" s="48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>
        <v>0</v>
      </c>
      <c r="AS93" s="49">
        <v>0</v>
      </c>
      <c r="AT93" s="49"/>
      <c r="AU93" s="49">
        <v>0</v>
      </c>
      <c r="AV93" s="49">
        <v>0</v>
      </c>
      <c r="AW93" s="49"/>
      <c r="AX93" s="49">
        <v>0</v>
      </c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>
        <v>0</v>
      </c>
      <c r="BJ93" s="49"/>
      <c r="BK93" s="49"/>
      <c r="BL93" s="49"/>
      <c r="BM93" s="49"/>
      <c r="BN93" s="49">
        <v>0</v>
      </c>
      <c r="BO93" s="49"/>
      <c r="BP93" s="50"/>
      <c r="BQ93" s="50"/>
      <c r="BR93" s="50"/>
      <c r="BS93" s="50"/>
      <c r="BT93" s="50">
        <v>0</v>
      </c>
      <c r="BU93" s="50">
        <v>0</v>
      </c>
      <c r="BV93" s="50"/>
      <c r="BW93" s="50">
        <v>0</v>
      </c>
      <c r="BX93" s="50"/>
      <c r="BY93" s="50"/>
      <c r="BZ93" s="50"/>
      <c r="CA93" s="50">
        <v>0</v>
      </c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3">
        <v>0</v>
      </c>
      <c r="DT93" s="53">
        <v>0</v>
      </c>
      <c r="DU93" s="53">
        <v>0</v>
      </c>
      <c r="DV93" s="53">
        <v>0</v>
      </c>
      <c r="DW93" s="53">
        <v>0</v>
      </c>
      <c r="DX93" s="2"/>
      <c r="DY93" s="2"/>
      <c r="DZ93" s="46">
        <f t="shared" si="11"/>
        <v>0</v>
      </c>
      <c r="EA93" s="46">
        <f t="shared" si="12"/>
        <v>0</v>
      </c>
      <c r="EB93" s="46">
        <f t="shared" si="13"/>
        <v>0</v>
      </c>
      <c r="EC93" s="46">
        <f t="shared" si="14"/>
        <v>0</v>
      </c>
      <c r="ED93" s="46">
        <f t="shared" si="15"/>
        <v>0</v>
      </c>
      <c r="EE93" s="46">
        <f t="shared" si="16"/>
        <v>0</v>
      </c>
      <c r="EF93" s="46">
        <f t="shared" si="17"/>
        <v>0</v>
      </c>
      <c r="EG93" s="46">
        <f t="shared" si="18"/>
        <v>0</v>
      </c>
      <c r="EH93" s="46">
        <f t="shared" si="19"/>
        <v>0</v>
      </c>
      <c r="EI93" s="46">
        <f t="shared" si="21"/>
        <v>0</v>
      </c>
    </row>
    <row r="94" spans="3:139" ht="12">
      <c r="C94" s="36" t="s">
        <v>245</v>
      </c>
      <c r="D94" s="36" t="s">
        <v>246</v>
      </c>
      <c r="E94" s="36" t="s">
        <v>247</v>
      </c>
      <c r="F94" s="38">
        <f t="shared" si="20"/>
        <v>216955</v>
      </c>
      <c r="G94" s="37" t="s">
        <v>225</v>
      </c>
      <c r="H94" s="47"/>
      <c r="I94" s="48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8"/>
      <c r="U94" s="48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8"/>
      <c r="AG94" s="48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>
        <v>3400</v>
      </c>
      <c r="AS94" s="49">
        <v>5639</v>
      </c>
      <c r="AT94" s="49">
        <v>4900</v>
      </c>
      <c r="AU94" s="49">
        <v>5268</v>
      </c>
      <c r="AV94" s="49">
        <v>7220</v>
      </c>
      <c r="AW94" s="49">
        <v>8954</v>
      </c>
      <c r="AX94" s="49">
        <v>6000</v>
      </c>
      <c r="AY94" s="49">
        <v>6157</v>
      </c>
      <c r="AZ94" s="49">
        <v>3783</v>
      </c>
      <c r="BA94" s="49">
        <v>8699</v>
      </c>
      <c r="BB94" s="49">
        <v>5299</v>
      </c>
      <c r="BC94" s="49">
        <v>7642</v>
      </c>
      <c r="BD94" s="49">
        <v>5600</v>
      </c>
      <c r="BE94" s="49">
        <v>6380</v>
      </c>
      <c r="BF94" s="49">
        <v>12290</v>
      </c>
      <c r="BG94" s="49">
        <v>11000</v>
      </c>
      <c r="BH94" s="49">
        <v>5620</v>
      </c>
      <c r="BI94" s="49">
        <v>7800</v>
      </c>
      <c r="BJ94" s="49">
        <v>10640</v>
      </c>
      <c r="BK94" s="49">
        <v>9520</v>
      </c>
      <c r="BL94" s="49">
        <v>4220</v>
      </c>
      <c r="BM94" s="49">
        <v>1960</v>
      </c>
      <c r="BN94" s="49">
        <v>9460</v>
      </c>
      <c r="BO94" s="49">
        <v>4224</v>
      </c>
      <c r="BP94" s="50">
        <v>10085</v>
      </c>
      <c r="BQ94" s="50">
        <v>6837</v>
      </c>
      <c r="BR94" s="50">
        <v>10700</v>
      </c>
      <c r="BS94" s="50">
        <v>8799</v>
      </c>
      <c r="BT94" s="50">
        <v>4640</v>
      </c>
      <c r="BU94" s="50">
        <v>4400</v>
      </c>
      <c r="BV94" s="50">
        <v>800</v>
      </c>
      <c r="BW94" s="50">
        <v>1420</v>
      </c>
      <c r="BX94" s="50">
        <v>60</v>
      </c>
      <c r="BY94" s="50">
        <v>300</v>
      </c>
      <c r="BZ94" s="50">
        <v>340</v>
      </c>
      <c r="CA94" s="50">
        <v>195</v>
      </c>
      <c r="CB94" s="50">
        <v>700</v>
      </c>
      <c r="CC94" s="50">
        <v>100</v>
      </c>
      <c r="CD94" s="50">
        <v>280</v>
      </c>
      <c r="CE94" s="50">
        <v>400</v>
      </c>
      <c r="CF94" s="50">
        <v>3</v>
      </c>
      <c r="CG94" s="50"/>
      <c r="CH94" s="50">
        <v>190</v>
      </c>
      <c r="CI94" s="50">
        <v>300</v>
      </c>
      <c r="CJ94" s="50">
        <v>200</v>
      </c>
      <c r="CK94" s="50">
        <v>298</v>
      </c>
      <c r="CL94" s="50">
        <v>200</v>
      </c>
      <c r="CM94" s="50">
        <v>300</v>
      </c>
      <c r="CN94" s="51">
        <v>0</v>
      </c>
      <c r="CO94" s="51">
        <v>200</v>
      </c>
      <c r="CP94" s="51">
        <v>240</v>
      </c>
      <c r="CQ94" s="51">
        <v>220</v>
      </c>
      <c r="CR94" s="51">
        <v>260</v>
      </c>
      <c r="CS94" s="51">
        <v>300</v>
      </c>
      <c r="CT94" s="51">
        <v>0</v>
      </c>
      <c r="CU94" s="51">
        <v>0</v>
      </c>
      <c r="CV94" s="51">
        <v>0</v>
      </c>
      <c r="CW94" s="51">
        <v>0</v>
      </c>
      <c r="CX94" s="51">
        <v>465</v>
      </c>
      <c r="CY94" s="51">
        <v>0</v>
      </c>
      <c r="CZ94" s="51">
        <v>0</v>
      </c>
      <c r="DA94" s="51">
        <v>192</v>
      </c>
      <c r="DB94" s="51">
        <v>199</v>
      </c>
      <c r="DC94" s="51">
        <v>5</v>
      </c>
      <c r="DD94" s="51">
        <v>0</v>
      </c>
      <c r="DE94" s="51">
        <v>417</v>
      </c>
      <c r="DF94" s="52">
        <v>581</v>
      </c>
      <c r="DG94" s="52">
        <v>0</v>
      </c>
      <c r="DH94" s="52">
        <v>24</v>
      </c>
      <c r="DI94" s="52">
        <v>0</v>
      </c>
      <c r="DJ94" s="52">
        <v>140</v>
      </c>
      <c r="DK94" s="52">
        <v>0</v>
      </c>
      <c r="DL94" s="52">
        <v>0</v>
      </c>
      <c r="DM94" s="52">
        <v>267</v>
      </c>
      <c r="DN94" s="52">
        <v>21</v>
      </c>
      <c r="DO94" s="52">
        <v>4</v>
      </c>
      <c r="DP94" s="52">
        <v>0</v>
      </c>
      <c r="DQ94" s="52">
        <v>198</v>
      </c>
      <c r="DR94" s="52">
        <v>143</v>
      </c>
      <c r="DS94" s="53">
        <v>0</v>
      </c>
      <c r="DT94" s="53">
        <v>0</v>
      </c>
      <c r="DU94" s="53">
        <v>0</v>
      </c>
      <c r="DV94" s="53">
        <v>0</v>
      </c>
      <c r="DW94" s="53">
        <v>0</v>
      </c>
      <c r="DX94" s="2"/>
      <c r="DY94" s="2"/>
      <c r="DZ94" s="46">
        <f t="shared" si="11"/>
        <v>0</v>
      </c>
      <c r="EA94" s="46">
        <f t="shared" si="12"/>
        <v>0</v>
      </c>
      <c r="EB94" s="46">
        <f t="shared" si="13"/>
        <v>0</v>
      </c>
      <c r="EC94" s="46">
        <f t="shared" si="14"/>
        <v>72961</v>
      </c>
      <c r="ED94" s="46">
        <f t="shared" si="15"/>
        <v>88714</v>
      </c>
      <c r="EE94" s="46">
        <f t="shared" si="16"/>
        <v>48576</v>
      </c>
      <c r="EF94" s="46">
        <f t="shared" si="17"/>
        <v>2971</v>
      </c>
      <c r="EG94" s="46">
        <f t="shared" si="18"/>
        <v>1685</v>
      </c>
      <c r="EH94" s="46">
        <f t="shared" si="19"/>
        <v>1558</v>
      </c>
      <c r="EI94" s="46">
        <f t="shared" si="21"/>
        <v>292</v>
      </c>
    </row>
    <row r="95" spans="3:139" ht="12">
      <c r="C95" s="36" t="s">
        <v>248</v>
      </c>
      <c r="D95" s="36" t="s">
        <v>246</v>
      </c>
      <c r="E95" s="36" t="s">
        <v>247</v>
      </c>
      <c r="F95" s="38">
        <f t="shared" si="20"/>
        <v>495750</v>
      </c>
      <c r="G95" s="37" t="s">
        <v>225</v>
      </c>
      <c r="H95" s="47"/>
      <c r="I95" s="48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8"/>
      <c r="U95" s="48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8"/>
      <c r="AG95" s="48"/>
      <c r="AH95" s="49"/>
      <c r="AI95" s="49"/>
      <c r="AJ95" s="49"/>
      <c r="AK95" s="49">
        <v>15</v>
      </c>
      <c r="AL95" s="49">
        <v>1900</v>
      </c>
      <c r="AM95" s="49">
        <v>1600</v>
      </c>
      <c r="AN95" s="49">
        <v>3600</v>
      </c>
      <c r="AO95" s="49">
        <v>5460</v>
      </c>
      <c r="AP95" s="49">
        <v>1325</v>
      </c>
      <c r="AQ95" s="49">
        <v>1998</v>
      </c>
      <c r="AR95" s="49">
        <v>3300</v>
      </c>
      <c r="AS95" s="49">
        <v>2599</v>
      </c>
      <c r="AT95" s="49">
        <v>4600</v>
      </c>
      <c r="AU95" s="49">
        <v>600</v>
      </c>
      <c r="AV95" s="49">
        <v>2300</v>
      </c>
      <c r="AW95" s="49">
        <v>3719</v>
      </c>
      <c r="AX95" s="49">
        <v>6400</v>
      </c>
      <c r="AY95" s="49">
        <v>9407</v>
      </c>
      <c r="AZ95" s="49">
        <v>11850</v>
      </c>
      <c r="BA95" s="49">
        <v>7299</v>
      </c>
      <c r="BB95" s="49">
        <v>11400</v>
      </c>
      <c r="BC95" s="49">
        <v>8100</v>
      </c>
      <c r="BD95" s="49">
        <v>9400</v>
      </c>
      <c r="BE95" s="49">
        <v>10920</v>
      </c>
      <c r="BF95" s="49">
        <v>15200</v>
      </c>
      <c r="BG95" s="49">
        <v>12000</v>
      </c>
      <c r="BH95" s="49">
        <v>8700</v>
      </c>
      <c r="BI95" s="49">
        <v>12000</v>
      </c>
      <c r="BJ95" s="49">
        <v>16200</v>
      </c>
      <c r="BK95" s="49">
        <v>9520</v>
      </c>
      <c r="BL95" s="49">
        <v>15200</v>
      </c>
      <c r="BM95" s="49">
        <v>15659</v>
      </c>
      <c r="BN95" s="49">
        <v>9660</v>
      </c>
      <c r="BO95" s="49">
        <v>10055</v>
      </c>
      <c r="BP95" s="50">
        <v>11619</v>
      </c>
      <c r="BQ95" s="50">
        <v>14199</v>
      </c>
      <c r="BR95" s="50">
        <v>13680</v>
      </c>
      <c r="BS95" s="50">
        <v>11459</v>
      </c>
      <c r="BT95" s="50">
        <v>13549</v>
      </c>
      <c r="BU95" s="50">
        <v>8360</v>
      </c>
      <c r="BV95" s="50">
        <v>10600</v>
      </c>
      <c r="BW95" s="50">
        <v>7500</v>
      </c>
      <c r="BX95" s="50">
        <v>5180</v>
      </c>
      <c r="BY95" s="50">
        <v>16200</v>
      </c>
      <c r="BZ95" s="50">
        <v>8260</v>
      </c>
      <c r="CA95" s="50">
        <v>9940</v>
      </c>
      <c r="CB95" s="50">
        <v>12520</v>
      </c>
      <c r="CC95" s="50">
        <v>8154</v>
      </c>
      <c r="CD95" s="50">
        <v>12198</v>
      </c>
      <c r="CE95" s="50">
        <v>6435</v>
      </c>
      <c r="CF95" s="50">
        <v>8736</v>
      </c>
      <c r="CG95" s="50">
        <v>5661</v>
      </c>
      <c r="CH95" s="50">
        <v>6634</v>
      </c>
      <c r="CI95" s="50">
        <v>8559</v>
      </c>
      <c r="CJ95" s="50">
        <v>10080</v>
      </c>
      <c r="CK95" s="50">
        <v>8288</v>
      </c>
      <c r="CL95" s="50">
        <v>6127</v>
      </c>
      <c r="CM95" s="50">
        <v>4284</v>
      </c>
      <c r="CN95" s="51">
        <v>2942</v>
      </c>
      <c r="CO95" s="51">
        <v>7556</v>
      </c>
      <c r="CP95" s="51">
        <v>6207</v>
      </c>
      <c r="CQ95" s="51">
        <v>5822</v>
      </c>
      <c r="CR95" s="51">
        <v>4775</v>
      </c>
      <c r="CS95" s="51">
        <v>4322</v>
      </c>
      <c r="CT95" s="51">
        <v>180</v>
      </c>
      <c r="CU95" s="51">
        <v>218</v>
      </c>
      <c r="CV95" s="51">
        <v>1</v>
      </c>
      <c r="CW95" s="51">
        <v>430</v>
      </c>
      <c r="CX95" s="51">
        <v>187</v>
      </c>
      <c r="CY95" s="51">
        <v>5</v>
      </c>
      <c r="CZ95" s="51">
        <v>353</v>
      </c>
      <c r="DA95" s="51">
        <v>328</v>
      </c>
      <c r="DB95" s="51">
        <v>179</v>
      </c>
      <c r="DC95" s="51">
        <v>24</v>
      </c>
      <c r="DD95" s="51">
        <v>0</v>
      </c>
      <c r="DE95" s="51">
        <v>334</v>
      </c>
      <c r="DF95" s="52">
        <v>567</v>
      </c>
      <c r="DG95" s="52">
        <v>0</v>
      </c>
      <c r="DH95" s="52">
        <v>27</v>
      </c>
      <c r="DI95" s="52">
        <v>303</v>
      </c>
      <c r="DJ95" s="52">
        <v>0</v>
      </c>
      <c r="DK95" s="52">
        <v>0</v>
      </c>
      <c r="DL95" s="52">
        <v>0</v>
      </c>
      <c r="DM95" s="52">
        <v>307</v>
      </c>
      <c r="DN95" s="52">
        <v>159</v>
      </c>
      <c r="DO95" s="52">
        <v>1</v>
      </c>
      <c r="DP95" s="52">
        <v>0</v>
      </c>
      <c r="DQ95" s="52">
        <v>315</v>
      </c>
      <c r="DR95" s="52">
        <v>389</v>
      </c>
      <c r="DS95" s="53">
        <v>0</v>
      </c>
      <c r="DT95" s="53">
        <v>0</v>
      </c>
      <c r="DU95" s="53">
        <v>0</v>
      </c>
      <c r="DV95" s="53">
        <v>0</v>
      </c>
      <c r="DW95" s="53">
        <v>0</v>
      </c>
      <c r="DX95" s="2"/>
      <c r="DY95" s="2"/>
      <c r="DZ95" s="46">
        <f t="shared" si="11"/>
        <v>0</v>
      </c>
      <c r="EA95" s="46">
        <f t="shared" si="12"/>
        <v>0</v>
      </c>
      <c r="EB95" s="46">
        <f t="shared" si="13"/>
        <v>15898</v>
      </c>
      <c r="EC95" s="46">
        <f t="shared" si="14"/>
        <v>71574</v>
      </c>
      <c r="ED95" s="46">
        <f t="shared" si="15"/>
        <v>144514</v>
      </c>
      <c r="EE95" s="46">
        <f t="shared" si="16"/>
        <v>130546</v>
      </c>
      <c r="EF95" s="46">
        <f t="shared" si="17"/>
        <v>97676</v>
      </c>
      <c r="EG95" s="46">
        <f t="shared" si="18"/>
        <v>32645</v>
      </c>
      <c r="EH95" s="46">
        <f t="shared" si="19"/>
        <v>2115</v>
      </c>
      <c r="EI95" s="46">
        <f t="shared" si="21"/>
        <v>467</v>
      </c>
    </row>
    <row r="96" spans="3:139" ht="12">
      <c r="C96" s="36" t="s">
        <v>249</v>
      </c>
      <c r="D96" s="36" t="s">
        <v>231</v>
      </c>
      <c r="E96" s="36" t="s">
        <v>231</v>
      </c>
      <c r="F96" s="38">
        <f t="shared" si="20"/>
        <v>1464</v>
      </c>
      <c r="G96" s="37" t="s">
        <v>225</v>
      </c>
      <c r="H96" s="47"/>
      <c r="I96" s="48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8"/>
      <c r="U96" s="48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8"/>
      <c r="AG96" s="48"/>
      <c r="AH96" s="49"/>
      <c r="AI96" s="49"/>
      <c r="AJ96" s="49"/>
      <c r="AK96" s="49"/>
      <c r="AL96" s="49">
        <v>0</v>
      </c>
      <c r="AM96" s="49"/>
      <c r="AN96" s="49">
        <v>340</v>
      </c>
      <c r="AO96" s="49">
        <v>524</v>
      </c>
      <c r="AP96" s="49">
        <v>400</v>
      </c>
      <c r="AQ96" s="49">
        <v>200</v>
      </c>
      <c r="AR96" s="49">
        <v>0</v>
      </c>
      <c r="AS96" s="49">
        <v>0</v>
      </c>
      <c r="AT96" s="49"/>
      <c r="AU96" s="49">
        <v>0</v>
      </c>
      <c r="AV96" s="49">
        <v>0</v>
      </c>
      <c r="AW96" s="49"/>
      <c r="AX96" s="49">
        <v>0</v>
      </c>
      <c r="AY96" s="49"/>
      <c r="AZ96" s="49">
        <v>0</v>
      </c>
      <c r="BA96" s="49">
        <v>0</v>
      </c>
      <c r="BB96" s="49">
        <v>0</v>
      </c>
      <c r="BC96" s="49">
        <v>0</v>
      </c>
      <c r="BD96" s="49">
        <v>0</v>
      </c>
      <c r="BE96" s="49">
        <v>0</v>
      </c>
      <c r="BF96" s="49"/>
      <c r="BG96" s="49"/>
      <c r="BH96" s="49"/>
      <c r="BI96" s="49">
        <v>0</v>
      </c>
      <c r="BJ96" s="49"/>
      <c r="BK96" s="49"/>
      <c r="BL96" s="49">
        <v>0</v>
      </c>
      <c r="BM96" s="49"/>
      <c r="BN96" s="49">
        <v>0</v>
      </c>
      <c r="BO96" s="49"/>
      <c r="BP96" s="50">
        <v>0</v>
      </c>
      <c r="BQ96" s="50">
        <v>0</v>
      </c>
      <c r="BR96" s="50"/>
      <c r="BS96" s="50">
        <v>0</v>
      </c>
      <c r="BT96" s="50">
        <v>0</v>
      </c>
      <c r="BU96" s="50">
        <v>0</v>
      </c>
      <c r="BV96" s="50"/>
      <c r="BW96" s="50">
        <v>0</v>
      </c>
      <c r="BX96" s="50"/>
      <c r="BY96" s="50"/>
      <c r="BZ96" s="50"/>
      <c r="CA96" s="50">
        <v>0</v>
      </c>
      <c r="CB96" s="50">
        <v>0</v>
      </c>
      <c r="CC96" s="50">
        <v>0</v>
      </c>
      <c r="CD96" s="50">
        <v>0</v>
      </c>
      <c r="CE96" s="50">
        <v>0</v>
      </c>
      <c r="CF96" s="50">
        <v>0</v>
      </c>
      <c r="CG96" s="50"/>
      <c r="CH96" s="50">
        <v>0</v>
      </c>
      <c r="CI96" s="50">
        <v>0</v>
      </c>
      <c r="CJ96" s="50">
        <v>0</v>
      </c>
      <c r="CK96" s="50">
        <v>0</v>
      </c>
      <c r="CL96" s="50">
        <v>0</v>
      </c>
      <c r="CM96" s="50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2">
        <v>0</v>
      </c>
      <c r="DG96" s="52">
        <v>0</v>
      </c>
      <c r="DH96" s="52">
        <v>0</v>
      </c>
      <c r="DI96" s="52">
        <v>0</v>
      </c>
      <c r="DJ96" s="52">
        <v>0</v>
      </c>
      <c r="DK96" s="52">
        <v>0</v>
      </c>
      <c r="DL96" s="52">
        <v>0</v>
      </c>
      <c r="DM96" s="52">
        <v>0</v>
      </c>
      <c r="DN96" s="52">
        <v>0</v>
      </c>
      <c r="DO96" s="52">
        <v>0</v>
      </c>
      <c r="DP96" s="52">
        <v>0</v>
      </c>
      <c r="DQ96" s="52">
        <v>0</v>
      </c>
      <c r="DR96" s="52">
        <v>0</v>
      </c>
      <c r="DS96" s="53">
        <v>0</v>
      </c>
      <c r="DT96" s="53">
        <v>0</v>
      </c>
      <c r="DU96" s="53">
        <v>0</v>
      </c>
      <c r="DV96" s="53">
        <v>0</v>
      </c>
      <c r="DW96" s="53">
        <v>0</v>
      </c>
      <c r="DX96" s="2"/>
      <c r="DY96" s="2"/>
      <c r="DZ96" s="46">
        <f t="shared" si="11"/>
        <v>0</v>
      </c>
      <c r="EA96" s="46">
        <f t="shared" si="12"/>
        <v>0</v>
      </c>
      <c r="EB96" s="46">
        <f t="shared" si="13"/>
        <v>1464</v>
      </c>
      <c r="EC96" s="46">
        <f t="shared" si="14"/>
        <v>0</v>
      </c>
      <c r="ED96" s="46">
        <f t="shared" si="15"/>
        <v>0</v>
      </c>
      <c r="EE96" s="46">
        <f t="shared" si="16"/>
        <v>0</v>
      </c>
      <c r="EF96" s="46">
        <f t="shared" si="17"/>
        <v>0</v>
      </c>
      <c r="EG96" s="46">
        <f t="shared" si="18"/>
        <v>0</v>
      </c>
      <c r="EH96" s="46">
        <f t="shared" si="19"/>
        <v>0</v>
      </c>
      <c r="EI96" s="46">
        <f t="shared" si="21"/>
        <v>0</v>
      </c>
    </row>
    <row r="97" spans="3:139" ht="12">
      <c r="C97" s="36" t="s">
        <v>250</v>
      </c>
      <c r="D97" s="36" t="s">
        <v>231</v>
      </c>
      <c r="E97" s="36" t="s">
        <v>231</v>
      </c>
      <c r="F97" s="38">
        <f t="shared" si="20"/>
        <v>43439</v>
      </c>
      <c r="G97" s="37" t="s">
        <v>225</v>
      </c>
      <c r="H97" s="47"/>
      <c r="I97" s="48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8"/>
      <c r="U97" s="48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8"/>
      <c r="AG97" s="48"/>
      <c r="AH97" s="49"/>
      <c r="AI97" s="49"/>
      <c r="AJ97" s="49">
        <v>3295</v>
      </c>
      <c r="AK97" s="49">
        <v>4912</v>
      </c>
      <c r="AL97" s="49">
        <v>2600</v>
      </c>
      <c r="AM97" s="49">
        <v>5498</v>
      </c>
      <c r="AN97" s="49">
        <v>4439</v>
      </c>
      <c r="AO97" s="49">
        <v>7815</v>
      </c>
      <c r="AP97" s="49">
        <v>7844</v>
      </c>
      <c r="AQ97" s="49">
        <v>2200</v>
      </c>
      <c r="AR97" s="49">
        <v>3380</v>
      </c>
      <c r="AS97" s="49">
        <v>0</v>
      </c>
      <c r="AT97" s="49">
        <v>400</v>
      </c>
      <c r="AU97" s="49">
        <v>0</v>
      </c>
      <c r="AV97" s="49">
        <v>0</v>
      </c>
      <c r="AW97" s="49"/>
      <c r="AX97" s="49">
        <v>700</v>
      </c>
      <c r="AY97" s="49"/>
      <c r="AZ97" s="49">
        <v>0</v>
      </c>
      <c r="BA97" s="49">
        <v>0</v>
      </c>
      <c r="BB97" s="49">
        <v>0</v>
      </c>
      <c r="BC97" s="49">
        <v>0</v>
      </c>
      <c r="BD97" s="49">
        <v>0</v>
      </c>
      <c r="BE97" s="49">
        <v>0</v>
      </c>
      <c r="BF97" s="49"/>
      <c r="BG97" s="49"/>
      <c r="BH97" s="49"/>
      <c r="BI97" s="49">
        <v>40</v>
      </c>
      <c r="BJ97" s="49">
        <v>0</v>
      </c>
      <c r="BK97" s="49"/>
      <c r="BL97" s="49">
        <v>0</v>
      </c>
      <c r="BM97" s="49"/>
      <c r="BN97" s="49">
        <v>66</v>
      </c>
      <c r="BO97" s="49"/>
      <c r="BP97" s="50">
        <v>0</v>
      </c>
      <c r="BQ97" s="50">
        <v>0</v>
      </c>
      <c r="BR97" s="50"/>
      <c r="BS97" s="50">
        <v>0</v>
      </c>
      <c r="BT97" s="50">
        <v>0</v>
      </c>
      <c r="BU97" s="50">
        <v>0</v>
      </c>
      <c r="BV97" s="50"/>
      <c r="BW97" s="50">
        <v>0</v>
      </c>
      <c r="BX97" s="50"/>
      <c r="BY97" s="50"/>
      <c r="BZ97" s="50">
        <v>32</v>
      </c>
      <c r="CA97" s="50">
        <v>0</v>
      </c>
      <c r="CB97" s="50">
        <v>0</v>
      </c>
      <c r="CC97" s="50">
        <v>34</v>
      </c>
      <c r="CD97" s="50">
        <v>0</v>
      </c>
      <c r="CE97" s="50">
        <v>0</v>
      </c>
      <c r="CF97" s="50">
        <v>0</v>
      </c>
      <c r="CG97" s="50"/>
      <c r="CH97" s="50">
        <v>38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1">
        <v>49</v>
      </c>
      <c r="CO97" s="51">
        <v>0</v>
      </c>
      <c r="CP97" s="51">
        <v>29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27</v>
      </c>
      <c r="CZ97" s="51">
        <v>0</v>
      </c>
      <c r="DA97" s="51">
        <v>0</v>
      </c>
      <c r="DB97" s="51">
        <v>0</v>
      </c>
      <c r="DC97" s="51">
        <v>12</v>
      </c>
      <c r="DD97" s="51">
        <v>0</v>
      </c>
      <c r="DE97" s="51">
        <v>9</v>
      </c>
      <c r="DF97" s="52">
        <v>20</v>
      </c>
      <c r="DG97" s="52">
        <v>0</v>
      </c>
      <c r="DH97" s="52">
        <v>0</v>
      </c>
      <c r="DI97" s="52">
        <v>0</v>
      </c>
      <c r="DJ97" s="52">
        <v>0</v>
      </c>
      <c r="DK97" s="52">
        <v>0</v>
      </c>
      <c r="DL97" s="52">
        <v>0</v>
      </c>
      <c r="DM97" s="52">
        <v>0</v>
      </c>
      <c r="DN97" s="52">
        <v>0</v>
      </c>
      <c r="DO97" s="52">
        <v>0</v>
      </c>
      <c r="DP97" s="52">
        <v>0</v>
      </c>
      <c r="DQ97" s="52">
        <v>0</v>
      </c>
      <c r="DR97" s="52">
        <v>0</v>
      </c>
      <c r="DS97" s="53">
        <v>0</v>
      </c>
      <c r="DT97" s="53">
        <v>0</v>
      </c>
      <c r="DU97" s="53">
        <v>0</v>
      </c>
      <c r="DV97" s="53">
        <v>0</v>
      </c>
      <c r="DW97" s="53">
        <v>0</v>
      </c>
      <c r="DX97" s="2"/>
      <c r="DY97" s="2"/>
      <c r="DZ97" s="46">
        <f t="shared" si="11"/>
        <v>0</v>
      </c>
      <c r="EA97" s="46">
        <f t="shared" si="12"/>
        <v>0</v>
      </c>
      <c r="EB97" s="46">
        <f t="shared" si="13"/>
        <v>38603</v>
      </c>
      <c r="EC97" s="46">
        <f t="shared" si="14"/>
        <v>4480</v>
      </c>
      <c r="ED97" s="46">
        <f t="shared" si="15"/>
        <v>106</v>
      </c>
      <c r="EE97" s="46">
        <f t="shared" si="16"/>
        <v>32</v>
      </c>
      <c r="EF97" s="46">
        <f t="shared" si="17"/>
        <v>72</v>
      </c>
      <c r="EG97" s="46">
        <f t="shared" si="18"/>
        <v>105</v>
      </c>
      <c r="EH97" s="46">
        <f t="shared" si="19"/>
        <v>41</v>
      </c>
      <c r="EI97" s="46">
        <f t="shared" si="21"/>
        <v>0</v>
      </c>
    </row>
    <row r="98" spans="3:139" ht="12">
      <c r="C98" s="36" t="s">
        <v>251</v>
      </c>
      <c r="D98" s="36" t="s">
        <v>231</v>
      </c>
      <c r="E98" s="36" t="s">
        <v>231</v>
      </c>
      <c r="F98" s="38">
        <f t="shared" si="20"/>
        <v>5428</v>
      </c>
      <c r="G98" s="37" t="s">
        <v>225</v>
      </c>
      <c r="H98" s="47"/>
      <c r="I98" s="48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8"/>
      <c r="U98" s="48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8"/>
      <c r="AG98" s="48"/>
      <c r="AH98" s="49"/>
      <c r="AI98" s="49"/>
      <c r="AJ98" s="49"/>
      <c r="AK98" s="49">
        <v>3292</v>
      </c>
      <c r="AL98" s="49">
        <v>700</v>
      </c>
      <c r="AM98" s="49"/>
      <c r="AN98" s="49">
        <v>300</v>
      </c>
      <c r="AO98" s="49">
        <v>420</v>
      </c>
      <c r="AP98" s="49"/>
      <c r="AQ98" s="49">
        <v>400</v>
      </c>
      <c r="AR98" s="49">
        <v>0</v>
      </c>
      <c r="AS98" s="49">
        <v>0</v>
      </c>
      <c r="AT98" s="49"/>
      <c r="AU98" s="49">
        <v>0</v>
      </c>
      <c r="AV98" s="49">
        <v>0</v>
      </c>
      <c r="AW98" s="49"/>
      <c r="AX98" s="49">
        <v>0</v>
      </c>
      <c r="AY98" s="49">
        <v>100</v>
      </c>
      <c r="AZ98" s="49">
        <v>0</v>
      </c>
      <c r="BA98" s="49">
        <v>0</v>
      </c>
      <c r="BB98" s="49">
        <v>0</v>
      </c>
      <c r="BC98" s="49">
        <v>0</v>
      </c>
      <c r="BD98" s="49">
        <v>0</v>
      </c>
      <c r="BE98" s="49">
        <v>0</v>
      </c>
      <c r="BF98" s="49"/>
      <c r="BG98" s="49"/>
      <c r="BH98" s="49"/>
      <c r="BI98" s="49">
        <v>0</v>
      </c>
      <c r="BJ98" s="49"/>
      <c r="BK98" s="49"/>
      <c r="BL98" s="49">
        <v>0</v>
      </c>
      <c r="BM98" s="49"/>
      <c r="BN98" s="49">
        <v>0</v>
      </c>
      <c r="BO98" s="49"/>
      <c r="BP98" s="50">
        <v>0</v>
      </c>
      <c r="BQ98" s="50">
        <v>0</v>
      </c>
      <c r="BR98" s="50"/>
      <c r="BS98" s="50">
        <v>0</v>
      </c>
      <c r="BT98" s="50">
        <v>9</v>
      </c>
      <c r="BU98" s="50">
        <v>0</v>
      </c>
      <c r="BV98" s="50"/>
      <c r="BW98" s="50">
        <v>0</v>
      </c>
      <c r="BX98" s="50">
        <v>10</v>
      </c>
      <c r="BY98" s="50"/>
      <c r="BZ98" s="50">
        <v>20</v>
      </c>
      <c r="CA98" s="50">
        <v>0</v>
      </c>
      <c r="CB98" s="50">
        <v>0</v>
      </c>
      <c r="CC98" s="50">
        <v>20</v>
      </c>
      <c r="CD98" s="50">
        <v>0</v>
      </c>
      <c r="CE98" s="50">
        <v>19</v>
      </c>
      <c r="CF98" s="50">
        <v>0</v>
      </c>
      <c r="CG98" s="50"/>
      <c r="CH98" s="50">
        <v>10</v>
      </c>
      <c r="CI98" s="50">
        <v>0</v>
      </c>
      <c r="CJ98" s="50">
        <v>20</v>
      </c>
      <c r="CK98" s="50">
        <v>0</v>
      </c>
      <c r="CL98" s="50">
        <v>25</v>
      </c>
      <c r="CM98" s="50">
        <v>0</v>
      </c>
      <c r="CN98" s="51">
        <v>0</v>
      </c>
      <c r="CO98" s="51">
        <v>0</v>
      </c>
      <c r="CP98" s="51">
        <v>0</v>
      </c>
      <c r="CQ98" s="51">
        <v>0</v>
      </c>
      <c r="CR98" s="51">
        <v>30</v>
      </c>
      <c r="CS98" s="51">
        <v>0</v>
      </c>
      <c r="CT98" s="51">
        <v>0</v>
      </c>
      <c r="CU98" s="51">
        <v>0</v>
      </c>
      <c r="CV98" s="51">
        <v>0</v>
      </c>
      <c r="CW98" s="51">
        <v>0</v>
      </c>
      <c r="CX98" s="51">
        <v>0</v>
      </c>
      <c r="CY98" s="51">
        <v>15</v>
      </c>
      <c r="CZ98" s="51">
        <v>0</v>
      </c>
      <c r="DA98" s="51">
        <v>0</v>
      </c>
      <c r="DB98" s="51">
        <v>0</v>
      </c>
      <c r="DC98" s="51">
        <v>0</v>
      </c>
      <c r="DD98" s="51">
        <v>35</v>
      </c>
      <c r="DE98" s="51">
        <v>0</v>
      </c>
      <c r="DF98" s="52">
        <v>3</v>
      </c>
      <c r="DG98" s="52">
        <v>0</v>
      </c>
      <c r="DH98" s="52">
        <v>0</v>
      </c>
      <c r="DI98" s="52">
        <v>0</v>
      </c>
      <c r="DJ98" s="52">
        <v>0</v>
      </c>
      <c r="DK98" s="52">
        <v>0</v>
      </c>
      <c r="DL98" s="52">
        <v>0</v>
      </c>
      <c r="DM98" s="52">
        <v>0</v>
      </c>
      <c r="DN98" s="52">
        <v>0</v>
      </c>
      <c r="DO98" s="52">
        <v>0</v>
      </c>
      <c r="DP98" s="52">
        <v>0</v>
      </c>
      <c r="DQ98" s="52">
        <v>0</v>
      </c>
      <c r="DR98" s="52">
        <v>25</v>
      </c>
      <c r="DS98" s="53">
        <v>0</v>
      </c>
      <c r="DT98" s="53">
        <v>0</v>
      </c>
      <c r="DU98" s="53">
        <v>0</v>
      </c>
      <c r="DV98" s="53">
        <v>0</v>
      </c>
      <c r="DW98" s="53">
        <v>0</v>
      </c>
      <c r="DX98" s="2"/>
      <c r="DY98" s="2"/>
      <c r="DZ98" s="46">
        <f t="shared" si="11"/>
        <v>0</v>
      </c>
      <c r="EA98" s="46">
        <f t="shared" si="12"/>
        <v>0</v>
      </c>
      <c r="EB98" s="46">
        <f t="shared" si="13"/>
        <v>5112</v>
      </c>
      <c r="EC98" s="46">
        <f t="shared" si="14"/>
        <v>100</v>
      </c>
      <c r="ED98" s="46">
        <f t="shared" si="15"/>
        <v>0</v>
      </c>
      <c r="EE98" s="46">
        <f t="shared" si="16"/>
        <v>39</v>
      </c>
      <c r="EF98" s="46">
        <f t="shared" si="17"/>
        <v>94</v>
      </c>
      <c r="EG98" s="46">
        <f t="shared" si="18"/>
        <v>45</v>
      </c>
      <c r="EH98" s="46">
        <f t="shared" si="19"/>
        <v>38</v>
      </c>
      <c r="EI98" s="46">
        <f t="shared" si="21"/>
        <v>0</v>
      </c>
    </row>
    <row r="99" spans="3:139" ht="12">
      <c r="C99" s="36" t="s">
        <v>252</v>
      </c>
      <c r="D99" s="36" t="s">
        <v>231</v>
      </c>
      <c r="E99" s="36" t="s">
        <v>231</v>
      </c>
      <c r="F99" s="38">
        <f t="shared" si="20"/>
        <v>48350</v>
      </c>
      <c r="G99" s="37" t="s">
        <v>225</v>
      </c>
      <c r="H99" s="47"/>
      <c r="I99" s="48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8"/>
      <c r="U99" s="48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8"/>
      <c r="AG99" s="48"/>
      <c r="AH99" s="49"/>
      <c r="AI99" s="49"/>
      <c r="AJ99" s="49">
        <v>3398</v>
      </c>
      <c r="AK99" s="49">
        <v>5979</v>
      </c>
      <c r="AL99" s="49">
        <v>3001</v>
      </c>
      <c r="AM99" s="49">
        <v>3300</v>
      </c>
      <c r="AN99" s="49">
        <v>6178</v>
      </c>
      <c r="AO99" s="49">
        <v>13279</v>
      </c>
      <c r="AP99" s="49">
        <v>2110</v>
      </c>
      <c r="AQ99" s="49">
        <v>3000</v>
      </c>
      <c r="AR99" s="49">
        <v>5100</v>
      </c>
      <c r="AS99" s="49">
        <v>960</v>
      </c>
      <c r="AT99" s="49">
        <v>1100</v>
      </c>
      <c r="AU99" s="49">
        <v>0</v>
      </c>
      <c r="AV99" s="49">
        <v>0</v>
      </c>
      <c r="AW99" s="49"/>
      <c r="AX99" s="49">
        <v>80</v>
      </c>
      <c r="AY99" s="49"/>
      <c r="AZ99" s="49">
        <v>0</v>
      </c>
      <c r="BA99" s="49">
        <v>140</v>
      </c>
      <c r="BB99" s="49">
        <v>0</v>
      </c>
      <c r="BC99" s="49">
        <v>0</v>
      </c>
      <c r="BD99" s="49">
        <v>0</v>
      </c>
      <c r="BE99" s="49">
        <v>0</v>
      </c>
      <c r="BF99" s="49"/>
      <c r="BG99" s="49">
        <v>60</v>
      </c>
      <c r="BH99" s="49"/>
      <c r="BI99" s="49">
        <v>60</v>
      </c>
      <c r="BJ99" s="49">
        <v>60</v>
      </c>
      <c r="BK99" s="49"/>
      <c r="BL99" s="49">
        <v>0</v>
      </c>
      <c r="BM99" s="49"/>
      <c r="BN99" s="49">
        <v>99</v>
      </c>
      <c r="BO99" s="49"/>
      <c r="BP99" s="50">
        <v>0</v>
      </c>
      <c r="BQ99" s="50">
        <v>0</v>
      </c>
      <c r="BR99" s="50"/>
      <c r="BS99" s="50">
        <v>0</v>
      </c>
      <c r="BT99" s="50">
        <v>0</v>
      </c>
      <c r="BU99" s="50">
        <v>0</v>
      </c>
      <c r="BV99" s="50"/>
      <c r="BW99" s="50">
        <v>0</v>
      </c>
      <c r="BX99" s="50">
        <v>17</v>
      </c>
      <c r="BY99" s="50"/>
      <c r="BZ99" s="50">
        <v>53</v>
      </c>
      <c r="CA99" s="50">
        <v>0</v>
      </c>
      <c r="CB99" s="50">
        <v>0</v>
      </c>
      <c r="CC99" s="50">
        <v>50</v>
      </c>
      <c r="CD99" s="50">
        <v>0</v>
      </c>
      <c r="CE99" s="50">
        <v>45</v>
      </c>
      <c r="CF99" s="50">
        <v>0</v>
      </c>
      <c r="CG99" s="50">
        <v>21</v>
      </c>
      <c r="CH99" s="50">
        <v>0</v>
      </c>
      <c r="CI99" s="50">
        <v>19</v>
      </c>
      <c r="CJ99" s="50">
        <v>0</v>
      </c>
      <c r="CK99" s="50">
        <v>0</v>
      </c>
      <c r="CL99" s="50">
        <v>20</v>
      </c>
      <c r="CM99" s="50">
        <v>0</v>
      </c>
      <c r="CN99" s="51">
        <v>48</v>
      </c>
      <c r="CO99" s="51">
        <v>0</v>
      </c>
      <c r="CP99" s="51">
        <v>0</v>
      </c>
      <c r="CQ99" s="51">
        <v>0</v>
      </c>
      <c r="CR99" s="51">
        <v>20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0</v>
      </c>
      <c r="CY99" s="51">
        <v>35</v>
      </c>
      <c r="CZ99" s="51">
        <v>0</v>
      </c>
      <c r="DA99" s="51">
        <v>0</v>
      </c>
      <c r="DB99" s="51">
        <v>0</v>
      </c>
      <c r="DC99" s="51">
        <v>0</v>
      </c>
      <c r="DD99" s="51">
        <v>57</v>
      </c>
      <c r="DE99" s="51">
        <v>28</v>
      </c>
      <c r="DF99" s="52">
        <v>3</v>
      </c>
      <c r="DG99" s="52">
        <v>0</v>
      </c>
      <c r="DH99" s="52">
        <v>0</v>
      </c>
      <c r="DI99" s="52">
        <v>0</v>
      </c>
      <c r="DJ99" s="52">
        <v>0</v>
      </c>
      <c r="DK99" s="52">
        <v>0</v>
      </c>
      <c r="DL99" s="52">
        <v>0</v>
      </c>
      <c r="DM99" s="52">
        <v>0</v>
      </c>
      <c r="DN99" s="52">
        <v>0</v>
      </c>
      <c r="DO99" s="52">
        <v>30</v>
      </c>
      <c r="DP99" s="52">
        <v>0</v>
      </c>
      <c r="DQ99" s="52">
        <v>0</v>
      </c>
      <c r="DR99" s="52">
        <v>0</v>
      </c>
      <c r="DS99" s="53">
        <v>0</v>
      </c>
      <c r="DT99" s="53">
        <v>0</v>
      </c>
      <c r="DU99" s="53">
        <v>0</v>
      </c>
      <c r="DV99" s="53">
        <v>0</v>
      </c>
      <c r="DW99" s="53">
        <v>0</v>
      </c>
      <c r="DX99" s="2"/>
      <c r="DY99" s="2"/>
      <c r="DZ99" s="46">
        <f t="shared" si="11"/>
        <v>0</v>
      </c>
      <c r="EA99" s="46">
        <f t="shared" si="12"/>
        <v>0</v>
      </c>
      <c r="EB99" s="46">
        <f t="shared" si="13"/>
        <v>40245</v>
      </c>
      <c r="EC99" s="46">
        <f t="shared" si="14"/>
        <v>7380</v>
      </c>
      <c r="ED99" s="46">
        <f t="shared" si="15"/>
        <v>279</v>
      </c>
      <c r="EE99" s="46">
        <f t="shared" si="16"/>
        <v>70</v>
      </c>
      <c r="EF99" s="46">
        <f t="shared" si="17"/>
        <v>155</v>
      </c>
      <c r="EG99" s="46">
        <f t="shared" si="18"/>
        <v>103</v>
      </c>
      <c r="EH99" s="46">
        <f t="shared" si="19"/>
        <v>88</v>
      </c>
      <c r="EI99" s="46">
        <f t="shared" si="21"/>
        <v>30</v>
      </c>
    </row>
    <row r="100" spans="3:139" ht="12">
      <c r="C100" s="36" t="s">
        <v>253</v>
      </c>
      <c r="D100" s="36" t="s">
        <v>231</v>
      </c>
      <c r="E100" s="36" t="s">
        <v>231</v>
      </c>
      <c r="F100" s="38">
        <f t="shared" si="20"/>
        <v>27132</v>
      </c>
      <c r="G100" s="37" t="s">
        <v>225</v>
      </c>
      <c r="H100" s="47"/>
      <c r="I100" s="48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8"/>
      <c r="U100" s="48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8"/>
      <c r="AG100" s="48"/>
      <c r="AH100" s="49"/>
      <c r="AI100" s="49"/>
      <c r="AJ100" s="49"/>
      <c r="AK100" s="49">
        <v>3992</v>
      </c>
      <c r="AL100" s="49">
        <v>2300</v>
      </c>
      <c r="AM100" s="49">
        <v>3400</v>
      </c>
      <c r="AN100" s="49">
        <v>3300</v>
      </c>
      <c r="AO100" s="49">
        <v>1920</v>
      </c>
      <c r="AP100" s="49">
        <v>5550</v>
      </c>
      <c r="AQ100" s="49">
        <v>1000</v>
      </c>
      <c r="AR100" s="49">
        <v>3098</v>
      </c>
      <c r="AS100" s="49">
        <v>850</v>
      </c>
      <c r="AT100" s="49">
        <v>1200</v>
      </c>
      <c r="AU100" s="49">
        <v>0</v>
      </c>
      <c r="AV100" s="49">
        <v>0</v>
      </c>
      <c r="AW100" s="49"/>
      <c r="AX100" s="49">
        <v>60</v>
      </c>
      <c r="AY100" s="49"/>
      <c r="AZ100" s="49">
        <v>0</v>
      </c>
      <c r="BA100" s="49">
        <v>40</v>
      </c>
      <c r="BB100" s="49">
        <v>0</v>
      </c>
      <c r="BC100" s="49">
        <v>0</v>
      </c>
      <c r="BD100" s="49">
        <v>50</v>
      </c>
      <c r="BE100" s="49">
        <v>0</v>
      </c>
      <c r="BF100" s="49"/>
      <c r="BG100" s="49"/>
      <c r="BH100" s="49"/>
      <c r="BI100" s="49">
        <v>0</v>
      </c>
      <c r="BJ100" s="49"/>
      <c r="BK100" s="49"/>
      <c r="BL100" s="49">
        <v>0</v>
      </c>
      <c r="BM100" s="49"/>
      <c r="BN100" s="49">
        <v>39</v>
      </c>
      <c r="BO100" s="49"/>
      <c r="BP100" s="50">
        <v>0</v>
      </c>
      <c r="BQ100" s="50">
        <v>0</v>
      </c>
      <c r="BR100" s="50"/>
      <c r="BS100" s="50">
        <v>0</v>
      </c>
      <c r="BT100" s="50">
        <v>19</v>
      </c>
      <c r="BU100" s="50">
        <v>0</v>
      </c>
      <c r="BV100" s="50"/>
      <c r="BW100" s="50">
        <v>0</v>
      </c>
      <c r="BX100" s="50"/>
      <c r="BY100" s="50"/>
      <c r="BZ100" s="50">
        <v>22</v>
      </c>
      <c r="CA100" s="50">
        <v>25</v>
      </c>
      <c r="CB100" s="50">
        <v>0</v>
      </c>
      <c r="CC100" s="50">
        <v>0</v>
      </c>
      <c r="CD100" s="50">
        <v>25</v>
      </c>
      <c r="CE100" s="50">
        <v>10</v>
      </c>
      <c r="CF100" s="50">
        <v>0</v>
      </c>
      <c r="CG100" s="50"/>
      <c r="CH100" s="50">
        <v>0</v>
      </c>
      <c r="CI100" s="50">
        <v>0</v>
      </c>
      <c r="CJ100" s="50">
        <v>0</v>
      </c>
      <c r="CK100" s="50">
        <v>0</v>
      </c>
      <c r="CL100" s="50">
        <v>20</v>
      </c>
      <c r="CM100" s="50">
        <v>0</v>
      </c>
      <c r="CN100" s="51">
        <v>0</v>
      </c>
      <c r="CO100" s="51">
        <v>0</v>
      </c>
      <c r="CP100" s="51">
        <v>30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34</v>
      </c>
      <c r="CY100" s="51">
        <v>0</v>
      </c>
      <c r="CZ100" s="51">
        <v>0</v>
      </c>
      <c r="DA100" s="51">
        <v>9</v>
      </c>
      <c r="DB100" s="51">
        <v>34</v>
      </c>
      <c r="DC100" s="51">
        <v>0</v>
      </c>
      <c r="DD100" s="51">
        <v>29</v>
      </c>
      <c r="DE100" s="51">
        <v>0</v>
      </c>
      <c r="DF100" s="52">
        <v>4</v>
      </c>
      <c r="DG100" s="52">
        <v>0</v>
      </c>
      <c r="DH100" s="52">
        <v>0</v>
      </c>
      <c r="DI100" s="52">
        <v>0</v>
      </c>
      <c r="DJ100" s="52">
        <v>0</v>
      </c>
      <c r="DK100" s="52">
        <v>0</v>
      </c>
      <c r="DL100" s="52">
        <v>0</v>
      </c>
      <c r="DM100" s="52">
        <v>72</v>
      </c>
      <c r="DN100" s="52">
        <v>0</v>
      </c>
      <c r="DO100" s="52">
        <v>0</v>
      </c>
      <c r="DP100" s="52">
        <v>0</v>
      </c>
      <c r="DQ100" s="52">
        <v>0</v>
      </c>
      <c r="DR100" s="52">
        <v>0</v>
      </c>
      <c r="DS100" s="53">
        <v>0</v>
      </c>
      <c r="DT100" s="53">
        <v>0</v>
      </c>
      <c r="DU100" s="53">
        <v>0</v>
      </c>
      <c r="DV100" s="53">
        <v>0</v>
      </c>
      <c r="DW100" s="53">
        <v>0</v>
      </c>
      <c r="DX100" s="2"/>
      <c r="DY100" s="2"/>
      <c r="DZ100" s="46">
        <f t="shared" si="11"/>
        <v>0</v>
      </c>
      <c r="EA100" s="46">
        <f t="shared" si="12"/>
        <v>0</v>
      </c>
      <c r="EB100" s="46">
        <f t="shared" si="13"/>
        <v>21462</v>
      </c>
      <c r="EC100" s="46">
        <f t="shared" si="14"/>
        <v>5248</v>
      </c>
      <c r="ED100" s="46">
        <f t="shared" si="15"/>
        <v>89</v>
      </c>
      <c r="EE100" s="46">
        <f t="shared" si="16"/>
        <v>66</v>
      </c>
      <c r="EF100" s="46">
        <f t="shared" si="17"/>
        <v>55</v>
      </c>
      <c r="EG100" s="46">
        <f t="shared" si="18"/>
        <v>64</v>
      </c>
      <c r="EH100" s="46">
        <f t="shared" si="19"/>
        <v>76</v>
      </c>
      <c r="EI100" s="46">
        <f t="shared" si="21"/>
        <v>72</v>
      </c>
    </row>
    <row r="101" spans="3:139" ht="12">
      <c r="C101" s="36" t="s">
        <v>254</v>
      </c>
      <c r="D101" s="36" t="s">
        <v>231</v>
      </c>
      <c r="E101" s="36" t="s">
        <v>231</v>
      </c>
      <c r="F101" s="38">
        <f t="shared" si="20"/>
        <v>14863</v>
      </c>
      <c r="G101" s="37" t="s">
        <v>225</v>
      </c>
      <c r="H101" s="47"/>
      <c r="I101" s="48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8"/>
      <c r="U101" s="48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8"/>
      <c r="AG101" s="48"/>
      <c r="AH101" s="49"/>
      <c r="AI101" s="49">
        <v>1380</v>
      </c>
      <c r="AJ101" s="49">
        <v>5163</v>
      </c>
      <c r="AK101" s="49">
        <v>3905</v>
      </c>
      <c r="AL101" s="49">
        <v>1600</v>
      </c>
      <c r="AM101" s="49">
        <v>1393</v>
      </c>
      <c r="AN101" s="49">
        <v>0</v>
      </c>
      <c r="AO101" s="49">
        <v>800</v>
      </c>
      <c r="AP101" s="49"/>
      <c r="AQ101" s="49"/>
      <c r="AR101" s="49">
        <v>400</v>
      </c>
      <c r="AS101" s="49">
        <v>0</v>
      </c>
      <c r="AT101" s="49">
        <v>120</v>
      </c>
      <c r="AU101" s="49">
        <v>0</v>
      </c>
      <c r="AV101" s="49">
        <v>0</v>
      </c>
      <c r="AW101" s="49"/>
      <c r="AX101" s="49">
        <v>0</v>
      </c>
      <c r="AY101" s="49"/>
      <c r="AZ101" s="49">
        <v>0</v>
      </c>
      <c r="BA101" s="49">
        <v>0</v>
      </c>
      <c r="BB101" s="49">
        <v>0</v>
      </c>
      <c r="BC101" s="49">
        <v>0</v>
      </c>
      <c r="BD101" s="49">
        <v>0</v>
      </c>
      <c r="BE101" s="49">
        <v>0</v>
      </c>
      <c r="BF101" s="49"/>
      <c r="BG101" s="49"/>
      <c r="BH101" s="49"/>
      <c r="BI101" s="49">
        <v>40</v>
      </c>
      <c r="BJ101" s="49"/>
      <c r="BK101" s="49"/>
      <c r="BL101" s="49">
        <v>0</v>
      </c>
      <c r="BM101" s="49"/>
      <c r="BN101" s="49">
        <v>16</v>
      </c>
      <c r="BO101" s="49"/>
      <c r="BP101" s="50">
        <v>0</v>
      </c>
      <c r="BQ101" s="50">
        <v>0</v>
      </c>
      <c r="BR101" s="50"/>
      <c r="BS101" s="50">
        <v>0</v>
      </c>
      <c r="BT101" s="50">
        <v>0</v>
      </c>
      <c r="BU101" s="50">
        <v>0</v>
      </c>
      <c r="BV101" s="50"/>
      <c r="BW101" s="50">
        <v>0</v>
      </c>
      <c r="BX101" s="50"/>
      <c r="BY101" s="50"/>
      <c r="BZ101" s="50"/>
      <c r="CA101" s="50">
        <v>0</v>
      </c>
      <c r="CB101" s="50">
        <v>0</v>
      </c>
      <c r="CC101" s="50">
        <v>5</v>
      </c>
      <c r="CD101" s="50">
        <v>0</v>
      </c>
      <c r="CE101" s="50">
        <v>0</v>
      </c>
      <c r="CF101" s="50">
        <v>0</v>
      </c>
      <c r="CG101" s="50"/>
      <c r="CH101" s="50">
        <v>8</v>
      </c>
      <c r="CI101" s="50">
        <v>1</v>
      </c>
      <c r="CJ101" s="50">
        <v>0</v>
      </c>
      <c r="CK101" s="50">
        <v>0</v>
      </c>
      <c r="CL101" s="50">
        <v>0</v>
      </c>
      <c r="CM101" s="50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12</v>
      </c>
      <c r="CU101" s="51">
        <v>1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19</v>
      </c>
      <c r="DC101" s="51">
        <v>0</v>
      </c>
      <c r="DD101" s="51">
        <v>0</v>
      </c>
      <c r="DE101" s="51">
        <v>0</v>
      </c>
      <c r="DF101" s="52">
        <v>0</v>
      </c>
      <c r="DG101" s="52">
        <v>0</v>
      </c>
      <c r="DH101" s="52">
        <v>0</v>
      </c>
      <c r="DI101" s="52">
        <v>0</v>
      </c>
      <c r="DJ101" s="52">
        <v>0</v>
      </c>
      <c r="DK101" s="52">
        <v>0</v>
      </c>
      <c r="DL101" s="52">
        <v>0</v>
      </c>
      <c r="DM101" s="52">
        <v>0</v>
      </c>
      <c r="DN101" s="52">
        <v>0</v>
      </c>
      <c r="DO101" s="52">
        <v>0</v>
      </c>
      <c r="DP101" s="52">
        <v>0</v>
      </c>
      <c r="DQ101" s="52">
        <v>0</v>
      </c>
      <c r="DR101" s="52">
        <v>0</v>
      </c>
      <c r="DS101" s="53">
        <v>0</v>
      </c>
      <c r="DT101" s="53">
        <v>0</v>
      </c>
      <c r="DU101" s="53">
        <v>0</v>
      </c>
      <c r="DV101" s="53">
        <v>0</v>
      </c>
      <c r="DW101" s="53">
        <v>0</v>
      </c>
      <c r="DX101" s="2"/>
      <c r="DY101" s="2"/>
      <c r="DZ101" s="46">
        <f t="shared" si="11"/>
        <v>0</v>
      </c>
      <c r="EA101" s="46">
        <f t="shared" si="12"/>
        <v>0</v>
      </c>
      <c r="EB101" s="46">
        <f t="shared" si="13"/>
        <v>14241</v>
      </c>
      <c r="EC101" s="46">
        <f t="shared" si="14"/>
        <v>520</v>
      </c>
      <c r="ED101" s="46">
        <f t="shared" si="15"/>
        <v>56</v>
      </c>
      <c r="EE101" s="46">
        <f t="shared" si="16"/>
        <v>0</v>
      </c>
      <c r="EF101" s="46">
        <f t="shared" si="17"/>
        <v>14</v>
      </c>
      <c r="EG101" s="46">
        <f t="shared" si="18"/>
        <v>13</v>
      </c>
      <c r="EH101" s="46">
        <f t="shared" si="19"/>
        <v>19</v>
      </c>
      <c r="EI101" s="46">
        <f t="shared" si="21"/>
        <v>0</v>
      </c>
    </row>
    <row r="102" spans="3:139" ht="12">
      <c r="C102" s="36" t="s">
        <v>255</v>
      </c>
      <c r="D102" s="36" t="s">
        <v>231</v>
      </c>
      <c r="E102" s="36" t="s">
        <v>231</v>
      </c>
      <c r="F102" s="38">
        <f t="shared" si="20"/>
        <v>1361</v>
      </c>
      <c r="G102" s="37" t="s">
        <v>225</v>
      </c>
      <c r="H102" s="47"/>
      <c r="I102" s="48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8"/>
      <c r="U102" s="48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8"/>
      <c r="AG102" s="48"/>
      <c r="AH102" s="49"/>
      <c r="AI102" s="49"/>
      <c r="AJ102" s="49"/>
      <c r="AK102" s="49"/>
      <c r="AL102" s="49"/>
      <c r="AM102" s="49"/>
      <c r="AN102" s="49">
        <v>700</v>
      </c>
      <c r="AO102" s="49"/>
      <c r="AP102" s="49"/>
      <c r="AQ102" s="49"/>
      <c r="AR102" s="49">
        <v>0</v>
      </c>
      <c r="AS102" s="49">
        <v>599</v>
      </c>
      <c r="AT102" s="49"/>
      <c r="AU102" s="49">
        <v>0</v>
      </c>
      <c r="AV102" s="49">
        <v>0</v>
      </c>
      <c r="AW102" s="49"/>
      <c r="AX102" s="49">
        <v>0</v>
      </c>
      <c r="AY102" s="49"/>
      <c r="AZ102" s="49">
        <v>0</v>
      </c>
      <c r="BA102" s="49">
        <v>0</v>
      </c>
      <c r="BB102" s="49">
        <v>0</v>
      </c>
      <c r="BC102" s="49">
        <v>0</v>
      </c>
      <c r="BD102" s="49">
        <v>0</v>
      </c>
      <c r="BE102" s="49">
        <v>0</v>
      </c>
      <c r="BF102" s="49"/>
      <c r="BG102" s="49"/>
      <c r="BH102" s="49"/>
      <c r="BI102" s="49">
        <v>0</v>
      </c>
      <c r="BJ102" s="49"/>
      <c r="BK102" s="49"/>
      <c r="BL102" s="49">
        <v>0</v>
      </c>
      <c r="BM102" s="49"/>
      <c r="BN102" s="49">
        <v>0</v>
      </c>
      <c r="BO102" s="49"/>
      <c r="BP102" s="50">
        <v>57</v>
      </c>
      <c r="BQ102" s="50">
        <v>0</v>
      </c>
      <c r="BR102" s="50"/>
      <c r="BS102" s="50">
        <v>0</v>
      </c>
      <c r="BT102" s="50">
        <v>0</v>
      </c>
      <c r="BU102" s="50">
        <v>5</v>
      </c>
      <c r="BV102" s="50"/>
      <c r="BW102" s="50">
        <v>0</v>
      </c>
      <c r="BX102" s="50"/>
      <c r="BY102" s="50"/>
      <c r="BZ102" s="50"/>
      <c r="CA102" s="50">
        <v>0</v>
      </c>
      <c r="CB102" s="50">
        <v>0</v>
      </c>
      <c r="CC102" s="50">
        <v>0</v>
      </c>
      <c r="CD102" s="50">
        <v>0</v>
      </c>
      <c r="CE102" s="50">
        <v>0</v>
      </c>
      <c r="CF102" s="50">
        <v>0</v>
      </c>
      <c r="CG102" s="50"/>
      <c r="CH102" s="50">
        <v>0</v>
      </c>
      <c r="CI102" s="50">
        <v>0</v>
      </c>
      <c r="CJ102" s="50">
        <v>0</v>
      </c>
      <c r="CK102" s="50">
        <v>0</v>
      </c>
      <c r="CL102" s="50">
        <v>0</v>
      </c>
      <c r="CM102" s="50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2">
        <v>0</v>
      </c>
      <c r="DG102" s="52">
        <v>0</v>
      </c>
      <c r="DH102" s="52">
        <v>0</v>
      </c>
      <c r="DI102" s="52">
        <v>0</v>
      </c>
      <c r="DJ102" s="52">
        <v>0</v>
      </c>
      <c r="DK102" s="52">
        <v>0</v>
      </c>
      <c r="DL102" s="52">
        <v>0</v>
      </c>
      <c r="DM102" s="52">
        <v>0</v>
      </c>
      <c r="DN102" s="52">
        <v>0</v>
      </c>
      <c r="DO102" s="52">
        <v>0</v>
      </c>
      <c r="DP102" s="52">
        <v>0</v>
      </c>
      <c r="DQ102" s="52">
        <v>0</v>
      </c>
      <c r="DR102" s="52">
        <v>0</v>
      </c>
      <c r="DS102" s="53">
        <v>0</v>
      </c>
      <c r="DT102" s="53">
        <v>0</v>
      </c>
      <c r="DU102" s="53">
        <v>0</v>
      </c>
      <c r="DV102" s="53">
        <v>0</v>
      </c>
      <c r="DW102" s="53">
        <v>0</v>
      </c>
      <c r="DX102" s="2"/>
      <c r="DY102" s="2"/>
      <c r="DZ102" s="46">
        <f t="shared" si="11"/>
        <v>0</v>
      </c>
      <c r="EA102" s="46">
        <f t="shared" si="12"/>
        <v>0</v>
      </c>
      <c r="EB102" s="46">
        <f t="shared" si="13"/>
        <v>700</v>
      </c>
      <c r="EC102" s="46">
        <f t="shared" si="14"/>
        <v>599</v>
      </c>
      <c r="ED102" s="46">
        <f t="shared" si="15"/>
        <v>0</v>
      </c>
      <c r="EE102" s="46">
        <f t="shared" si="16"/>
        <v>62</v>
      </c>
      <c r="EF102" s="46">
        <f t="shared" si="17"/>
        <v>0</v>
      </c>
      <c r="EG102" s="46">
        <f t="shared" si="18"/>
        <v>0</v>
      </c>
      <c r="EH102" s="46">
        <f t="shared" si="19"/>
        <v>0</v>
      </c>
      <c r="EI102" s="46">
        <f t="shared" si="21"/>
        <v>0</v>
      </c>
    </row>
    <row r="103" spans="3:139" ht="12">
      <c r="C103" s="36" t="s">
        <v>256</v>
      </c>
      <c r="D103" s="36" t="s">
        <v>246</v>
      </c>
      <c r="E103" s="36" t="s">
        <v>247</v>
      </c>
      <c r="F103" s="38">
        <f t="shared" si="20"/>
        <v>17352</v>
      </c>
      <c r="G103" s="37" t="s">
        <v>225</v>
      </c>
      <c r="H103" s="47"/>
      <c r="I103" s="48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8"/>
      <c r="U103" s="48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8"/>
      <c r="AG103" s="48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>
        <v>0</v>
      </c>
      <c r="AS103" s="49">
        <v>1093</v>
      </c>
      <c r="AT103" s="49">
        <v>400</v>
      </c>
      <c r="AU103" s="49">
        <v>0</v>
      </c>
      <c r="AV103" s="49">
        <v>0</v>
      </c>
      <c r="AW103" s="49">
        <v>200</v>
      </c>
      <c r="AX103" s="49">
        <v>800</v>
      </c>
      <c r="AY103" s="49">
        <v>798</v>
      </c>
      <c r="AZ103" s="49">
        <v>-3</v>
      </c>
      <c r="BA103" s="49">
        <v>700</v>
      </c>
      <c r="BB103" s="49">
        <v>800</v>
      </c>
      <c r="BC103" s="49">
        <v>1600</v>
      </c>
      <c r="BD103" s="49">
        <v>500</v>
      </c>
      <c r="BE103" s="49">
        <v>1200</v>
      </c>
      <c r="BF103" s="49"/>
      <c r="BG103" s="49">
        <v>800</v>
      </c>
      <c r="BH103" s="49"/>
      <c r="BI103" s="49">
        <v>380</v>
      </c>
      <c r="BJ103" s="49">
        <v>300</v>
      </c>
      <c r="BK103" s="49">
        <v>400</v>
      </c>
      <c r="BL103" s="49">
        <v>500</v>
      </c>
      <c r="BM103" s="49">
        <v>340</v>
      </c>
      <c r="BN103" s="49">
        <v>600</v>
      </c>
      <c r="BO103" s="49">
        <v>100</v>
      </c>
      <c r="BP103" s="50">
        <v>760</v>
      </c>
      <c r="BQ103" s="50">
        <v>620</v>
      </c>
      <c r="BR103" s="50">
        <v>1100</v>
      </c>
      <c r="BS103" s="50">
        <v>0</v>
      </c>
      <c r="BT103" s="50">
        <v>700</v>
      </c>
      <c r="BU103" s="50">
        <v>560</v>
      </c>
      <c r="BV103" s="50"/>
      <c r="BW103" s="50">
        <v>0</v>
      </c>
      <c r="BX103" s="50">
        <v>1338</v>
      </c>
      <c r="BY103" s="50">
        <v>260</v>
      </c>
      <c r="BZ103" s="50">
        <v>0</v>
      </c>
      <c r="CA103" s="50">
        <v>500</v>
      </c>
      <c r="CB103" s="50">
        <v>0</v>
      </c>
      <c r="CC103" s="50">
        <v>0</v>
      </c>
      <c r="CD103" s="50">
        <v>0</v>
      </c>
      <c r="CE103" s="50">
        <v>0</v>
      </c>
      <c r="CF103" s="50">
        <v>0</v>
      </c>
      <c r="CG103" s="50">
        <v>2</v>
      </c>
      <c r="CH103" s="50">
        <v>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0</v>
      </c>
      <c r="DB103" s="51">
        <v>0</v>
      </c>
      <c r="DC103" s="51">
        <v>0</v>
      </c>
      <c r="DD103" s="51">
        <v>0</v>
      </c>
      <c r="DE103" s="51">
        <v>0</v>
      </c>
      <c r="DF103" s="52">
        <v>0</v>
      </c>
      <c r="DG103" s="52">
        <v>0</v>
      </c>
      <c r="DH103" s="52">
        <v>0</v>
      </c>
      <c r="DI103" s="52">
        <v>0</v>
      </c>
      <c r="DJ103" s="52">
        <v>0</v>
      </c>
      <c r="DK103" s="52">
        <v>0</v>
      </c>
      <c r="DL103" s="52">
        <v>0</v>
      </c>
      <c r="DM103" s="52">
        <v>0</v>
      </c>
      <c r="DN103" s="52">
        <v>4</v>
      </c>
      <c r="DO103" s="52">
        <v>0</v>
      </c>
      <c r="DP103" s="52">
        <v>0</v>
      </c>
      <c r="DQ103" s="52">
        <v>0</v>
      </c>
      <c r="DR103" s="52">
        <v>0</v>
      </c>
      <c r="DS103" s="53">
        <v>0</v>
      </c>
      <c r="DT103" s="53">
        <v>0</v>
      </c>
      <c r="DU103" s="53">
        <v>0</v>
      </c>
      <c r="DV103" s="53">
        <v>0</v>
      </c>
      <c r="DW103" s="53">
        <v>0</v>
      </c>
      <c r="DX103" s="2"/>
      <c r="DY103" s="2"/>
      <c r="DZ103" s="46">
        <f t="shared" si="11"/>
        <v>0</v>
      </c>
      <c r="EA103" s="46">
        <f t="shared" si="12"/>
        <v>0</v>
      </c>
      <c r="EB103" s="46">
        <f t="shared" si="13"/>
        <v>0</v>
      </c>
      <c r="EC103" s="46">
        <f t="shared" si="14"/>
        <v>6388</v>
      </c>
      <c r="ED103" s="46">
        <f t="shared" si="15"/>
        <v>5120</v>
      </c>
      <c r="EE103" s="46">
        <f t="shared" si="16"/>
        <v>5838</v>
      </c>
      <c r="EF103" s="46">
        <f t="shared" si="17"/>
        <v>2</v>
      </c>
      <c r="EG103" s="46">
        <f t="shared" si="18"/>
        <v>0</v>
      </c>
      <c r="EH103" s="46">
        <f t="shared" si="19"/>
        <v>0</v>
      </c>
      <c r="EI103" s="46">
        <f t="shared" si="21"/>
        <v>4</v>
      </c>
    </row>
    <row r="104" spans="3:139" ht="12">
      <c r="C104" s="36" t="s">
        <v>257</v>
      </c>
      <c r="D104" s="36" t="s">
        <v>246</v>
      </c>
      <c r="E104" s="36" t="s">
        <v>247</v>
      </c>
      <c r="F104" s="38">
        <f t="shared" si="20"/>
        <v>4804</v>
      </c>
      <c r="G104" s="37" t="s">
        <v>225</v>
      </c>
      <c r="H104" s="47"/>
      <c r="I104" s="48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8"/>
      <c r="U104" s="48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8"/>
      <c r="AG104" s="48"/>
      <c r="AH104" s="49"/>
      <c r="AI104" s="49"/>
      <c r="AJ104" s="49"/>
      <c r="AK104" s="49"/>
      <c r="AL104" s="49"/>
      <c r="AM104" s="49"/>
      <c r="AN104" s="49"/>
      <c r="AO104" s="49">
        <v>840</v>
      </c>
      <c r="AP104" s="49">
        <v>900</v>
      </c>
      <c r="AQ104" s="49">
        <v>200</v>
      </c>
      <c r="AR104" s="49">
        <v>200</v>
      </c>
      <c r="AS104" s="49">
        <v>180</v>
      </c>
      <c r="AT104" s="49">
        <v>431</v>
      </c>
      <c r="AU104" s="49">
        <v>0</v>
      </c>
      <c r="AV104" s="49">
        <v>100</v>
      </c>
      <c r="AW104" s="49">
        <v>400</v>
      </c>
      <c r="AX104" s="49">
        <v>700</v>
      </c>
      <c r="AY104" s="49">
        <v>20</v>
      </c>
      <c r="AZ104" s="49">
        <v>0</v>
      </c>
      <c r="BA104" s="49">
        <v>200</v>
      </c>
      <c r="BB104" s="49">
        <v>400</v>
      </c>
      <c r="BC104" s="49">
        <v>100</v>
      </c>
      <c r="BD104" s="49">
        <v>80</v>
      </c>
      <c r="BE104" s="49">
        <v>0</v>
      </c>
      <c r="BF104" s="49"/>
      <c r="BG104" s="49"/>
      <c r="BH104" s="49"/>
      <c r="BI104" s="49">
        <v>0</v>
      </c>
      <c r="BJ104" s="49"/>
      <c r="BK104" s="49"/>
      <c r="BL104" s="49">
        <v>0</v>
      </c>
      <c r="BM104" s="49"/>
      <c r="BN104" s="49">
        <v>0</v>
      </c>
      <c r="BO104" s="49"/>
      <c r="BP104" s="50">
        <v>-111</v>
      </c>
      <c r="BQ104" s="50">
        <v>0</v>
      </c>
      <c r="BR104" s="50">
        <v>10</v>
      </c>
      <c r="BS104" s="50">
        <v>10</v>
      </c>
      <c r="BT104" s="50">
        <v>0</v>
      </c>
      <c r="BU104" s="50">
        <v>0</v>
      </c>
      <c r="BV104" s="50"/>
      <c r="BW104" s="50">
        <v>0</v>
      </c>
      <c r="BX104" s="50"/>
      <c r="BY104" s="50"/>
      <c r="BZ104" s="50"/>
      <c r="CA104" s="50">
        <v>0</v>
      </c>
      <c r="CB104" s="50">
        <v>0</v>
      </c>
      <c r="CC104" s="50">
        <v>0</v>
      </c>
      <c r="CD104" s="50">
        <v>0</v>
      </c>
      <c r="CE104" s="50">
        <v>19</v>
      </c>
      <c r="CF104" s="50">
        <v>0</v>
      </c>
      <c r="CG104" s="50"/>
      <c r="CH104" s="50">
        <v>0</v>
      </c>
      <c r="CI104" s="50">
        <v>0</v>
      </c>
      <c r="CJ104" s="50">
        <v>0</v>
      </c>
      <c r="CK104" s="50">
        <v>0</v>
      </c>
      <c r="CL104" s="50">
        <v>35</v>
      </c>
      <c r="CM104" s="50">
        <v>0</v>
      </c>
      <c r="CN104" s="51">
        <v>0</v>
      </c>
      <c r="CO104" s="51">
        <v>0</v>
      </c>
      <c r="CP104" s="51">
        <v>19</v>
      </c>
      <c r="CQ104" s="51">
        <v>0</v>
      </c>
      <c r="CR104" s="51">
        <v>33</v>
      </c>
      <c r="CS104" s="51">
        <v>0</v>
      </c>
      <c r="CT104" s="51">
        <v>0</v>
      </c>
      <c r="CU104" s="51">
        <v>17</v>
      </c>
      <c r="CV104" s="51">
        <v>0</v>
      </c>
      <c r="CW104" s="51">
        <v>0</v>
      </c>
      <c r="CX104" s="51">
        <v>0</v>
      </c>
      <c r="CY104" s="51">
        <v>0</v>
      </c>
      <c r="CZ104" s="51">
        <v>0</v>
      </c>
      <c r="DA104" s="51">
        <v>0</v>
      </c>
      <c r="DB104" s="51">
        <v>21</v>
      </c>
      <c r="DC104" s="51">
        <v>0</v>
      </c>
      <c r="DD104" s="51">
        <v>0</v>
      </c>
      <c r="DE104" s="51">
        <v>0</v>
      </c>
      <c r="DF104" s="52">
        <v>0</v>
      </c>
      <c r="DG104" s="52">
        <v>0</v>
      </c>
      <c r="DH104" s="52">
        <v>0</v>
      </c>
      <c r="DI104" s="52">
        <v>0</v>
      </c>
      <c r="DJ104" s="52">
        <v>0</v>
      </c>
      <c r="DK104" s="52">
        <v>0</v>
      </c>
      <c r="DL104" s="52">
        <v>0</v>
      </c>
      <c r="DM104" s="52">
        <v>0</v>
      </c>
      <c r="DN104" s="52">
        <v>0</v>
      </c>
      <c r="DO104" s="52">
        <v>0</v>
      </c>
      <c r="DP104" s="52">
        <v>0</v>
      </c>
      <c r="DQ104" s="52">
        <v>0</v>
      </c>
      <c r="DR104" s="52">
        <v>0</v>
      </c>
      <c r="DS104" s="53">
        <v>0</v>
      </c>
      <c r="DT104" s="53">
        <v>0</v>
      </c>
      <c r="DU104" s="53">
        <v>0</v>
      </c>
      <c r="DV104" s="53">
        <v>0</v>
      </c>
      <c r="DW104" s="53">
        <v>0</v>
      </c>
      <c r="DX104" s="2"/>
      <c r="DY104" s="2"/>
      <c r="DZ104" s="46">
        <f t="shared" si="11"/>
        <v>0</v>
      </c>
      <c r="EA104" s="46">
        <f t="shared" si="12"/>
        <v>0</v>
      </c>
      <c r="EB104" s="46">
        <f t="shared" si="13"/>
        <v>1940</v>
      </c>
      <c r="EC104" s="46">
        <f t="shared" si="14"/>
        <v>2731</v>
      </c>
      <c r="ED104" s="46">
        <f t="shared" si="15"/>
        <v>80</v>
      </c>
      <c r="EE104" s="46">
        <f t="shared" si="16"/>
        <v>-91</v>
      </c>
      <c r="EF104" s="46">
        <f t="shared" si="17"/>
        <v>54</v>
      </c>
      <c r="EG104" s="46">
        <f t="shared" si="18"/>
        <v>69</v>
      </c>
      <c r="EH104" s="46">
        <f t="shared" si="19"/>
        <v>21</v>
      </c>
      <c r="EI104" s="46">
        <f t="shared" si="21"/>
        <v>0</v>
      </c>
    </row>
    <row r="105" spans="3:139" ht="12">
      <c r="C105" s="36" t="s">
        <v>258</v>
      </c>
      <c r="D105" s="36" t="s">
        <v>246</v>
      </c>
      <c r="E105" s="36" t="s">
        <v>247</v>
      </c>
      <c r="F105" s="38">
        <f t="shared" si="20"/>
        <v>410315</v>
      </c>
      <c r="G105" s="37" t="s">
        <v>225</v>
      </c>
      <c r="H105" s="47"/>
      <c r="I105" s="48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8"/>
      <c r="U105" s="48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8"/>
      <c r="AG105" s="48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>
        <v>240</v>
      </c>
      <c r="AR105" s="49">
        <v>99</v>
      </c>
      <c r="AS105" s="49">
        <v>5897</v>
      </c>
      <c r="AT105" s="49">
        <v>4359</v>
      </c>
      <c r="AU105" s="49">
        <v>3199</v>
      </c>
      <c r="AV105" s="49">
        <v>7495</v>
      </c>
      <c r="AW105" s="49">
        <v>10715</v>
      </c>
      <c r="AX105" s="49">
        <v>11171</v>
      </c>
      <c r="AY105" s="49">
        <v>10397</v>
      </c>
      <c r="AZ105" s="49">
        <v>7461</v>
      </c>
      <c r="BA105" s="49">
        <v>11899</v>
      </c>
      <c r="BB105" s="49">
        <v>13460</v>
      </c>
      <c r="BC105" s="49">
        <v>9200</v>
      </c>
      <c r="BD105" s="49">
        <v>13038</v>
      </c>
      <c r="BE105" s="49">
        <v>5700</v>
      </c>
      <c r="BF105" s="49">
        <v>13680</v>
      </c>
      <c r="BG105" s="49">
        <v>10500</v>
      </c>
      <c r="BH105" s="49">
        <v>10180</v>
      </c>
      <c r="BI105" s="49">
        <v>11700</v>
      </c>
      <c r="BJ105" s="49">
        <v>10900</v>
      </c>
      <c r="BK105" s="49">
        <v>11040</v>
      </c>
      <c r="BL105" s="49">
        <v>9260</v>
      </c>
      <c r="BM105" s="49">
        <v>10780</v>
      </c>
      <c r="BN105" s="49">
        <v>11300</v>
      </c>
      <c r="BO105" s="49">
        <v>9231</v>
      </c>
      <c r="BP105" s="50">
        <v>9840</v>
      </c>
      <c r="BQ105" s="50">
        <v>8900</v>
      </c>
      <c r="BR105" s="50">
        <v>13660</v>
      </c>
      <c r="BS105" s="50">
        <v>10300</v>
      </c>
      <c r="BT105" s="50">
        <v>8500</v>
      </c>
      <c r="BU105" s="50">
        <v>7720</v>
      </c>
      <c r="BV105" s="50">
        <v>4640</v>
      </c>
      <c r="BW105" s="50">
        <v>7120</v>
      </c>
      <c r="BX105" s="50">
        <v>4000</v>
      </c>
      <c r="BY105" s="50">
        <v>12020</v>
      </c>
      <c r="BZ105" s="50">
        <v>8300</v>
      </c>
      <c r="CA105" s="50">
        <v>4100</v>
      </c>
      <c r="CB105" s="50">
        <v>6400</v>
      </c>
      <c r="CC105" s="50">
        <v>11322</v>
      </c>
      <c r="CD105" s="50">
        <v>7797</v>
      </c>
      <c r="CE105" s="50">
        <v>7276</v>
      </c>
      <c r="CF105" s="50">
        <v>5081</v>
      </c>
      <c r="CG105" s="50">
        <v>7680</v>
      </c>
      <c r="CH105" s="50">
        <v>6659</v>
      </c>
      <c r="CI105" s="50">
        <v>9685</v>
      </c>
      <c r="CJ105" s="50">
        <v>6886</v>
      </c>
      <c r="CK105" s="50">
        <v>4867</v>
      </c>
      <c r="CL105" s="50">
        <v>1522</v>
      </c>
      <c r="CM105" s="50">
        <v>449</v>
      </c>
      <c r="CN105" s="51">
        <v>561</v>
      </c>
      <c r="CO105" s="51">
        <v>2053</v>
      </c>
      <c r="CP105" s="51">
        <v>2566</v>
      </c>
      <c r="CQ105" s="51">
        <v>1780</v>
      </c>
      <c r="CR105" s="51">
        <v>1097</v>
      </c>
      <c r="CS105" s="51">
        <v>1159</v>
      </c>
      <c r="CT105" s="51">
        <v>595</v>
      </c>
      <c r="CU105" s="51">
        <v>221</v>
      </c>
      <c r="CV105" s="51">
        <v>3</v>
      </c>
      <c r="CW105" s="51">
        <v>299</v>
      </c>
      <c r="CX105" s="51">
        <v>0</v>
      </c>
      <c r="CY105" s="51">
        <v>0</v>
      </c>
      <c r="CZ105" s="51">
        <v>196</v>
      </c>
      <c r="DA105" s="51">
        <v>295</v>
      </c>
      <c r="DB105" s="51">
        <v>0</v>
      </c>
      <c r="DC105" s="51">
        <v>0</v>
      </c>
      <c r="DD105" s="51">
        <v>0</v>
      </c>
      <c r="DE105" s="51">
        <v>290</v>
      </c>
      <c r="DF105" s="52">
        <v>466</v>
      </c>
      <c r="DG105" s="52">
        <v>60</v>
      </c>
      <c r="DH105" s="52">
        <v>30</v>
      </c>
      <c r="DI105" s="52">
        <v>71</v>
      </c>
      <c r="DJ105" s="52">
        <v>0</v>
      </c>
      <c r="DK105" s="52">
        <v>0</v>
      </c>
      <c r="DL105" s="52">
        <v>0</v>
      </c>
      <c r="DM105" s="52">
        <v>233</v>
      </c>
      <c r="DN105" s="52">
        <v>362</v>
      </c>
      <c r="DO105" s="52">
        <v>30</v>
      </c>
      <c r="DP105" s="52">
        <v>0</v>
      </c>
      <c r="DQ105" s="52">
        <v>323</v>
      </c>
      <c r="DR105" s="52">
        <v>314</v>
      </c>
      <c r="DS105" s="53">
        <v>0</v>
      </c>
      <c r="DT105" s="53">
        <v>0</v>
      </c>
      <c r="DU105" s="53">
        <v>0</v>
      </c>
      <c r="DV105" s="53">
        <v>0</v>
      </c>
      <c r="DW105" s="53">
        <v>0</v>
      </c>
      <c r="DX105" s="2"/>
      <c r="DY105" s="2"/>
      <c r="DZ105" s="46">
        <f t="shared" si="11"/>
        <v>0</v>
      </c>
      <c r="EA105" s="46">
        <f t="shared" si="12"/>
        <v>0</v>
      </c>
      <c r="EB105" s="46">
        <f t="shared" si="13"/>
        <v>240</v>
      </c>
      <c r="EC105" s="46">
        <f t="shared" si="14"/>
        <v>95352</v>
      </c>
      <c r="ED105" s="46">
        <f t="shared" si="15"/>
        <v>127309</v>
      </c>
      <c r="EE105" s="46">
        <f t="shared" si="16"/>
        <v>99100</v>
      </c>
      <c r="EF105" s="46">
        <f t="shared" si="17"/>
        <v>75624</v>
      </c>
      <c r="EG105" s="46">
        <f t="shared" si="18"/>
        <v>10334</v>
      </c>
      <c r="EH105" s="46">
        <f t="shared" si="19"/>
        <v>1408</v>
      </c>
      <c r="EI105" s="46">
        <f t="shared" si="21"/>
        <v>625</v>
      </c>
    </row>
    <row r="106" spans="3:139" ht="12">
      <c r="C106" s="36" t="s">
        <v>259</v>
      </c>
      <c r="D106" s="36" t="s">
        <v>246</v>
      </c>
      <c r="E106" s="36" t="s">
        <v>247</v>
      </c>
      <c r="F106" s="38">
        <f t="shared" si="20"/>
        <v>331843</v>
      </c>
      <c r="G106" s="37" t="s">
        <v>225</v>
      </c>
      <c r="H106" s="47"/>
      <c r="I106" s="48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8"/>
      <c r="U106" s="48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8"/>
      <c r="AG106" s="48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>
        <v>260</v>
      </c>
      <c r="AR106" s="49">
        <v>0</v>
      </c>
      <c r="AS106" s="49">
        <v>3789</v>
      </c>
      <c r="AT106" s="49">
        <v>1439</v>
      </c>
      <c r="AU106" s="49">
        <v>3900</v>
      </c>
      <c r="AV106" s="49">
        <v>4896</v>
      </c>
      <c r="AW106" s="49">
        <v>5597</v>
      </c>
      <c r="AX106" s="49">
        <v>4800</v>
      </c>
      <c r="AY106" s="49">
        <v>7193</v>
      </c>
      <c r="AZ106" s="49">
        <v>10605</v>
      </c>
      <c r="BA106" s="49">
        <v>7099</v>
      </c>
      <c r="BB106" s="49">
        <v>7200</v>
      </c>
      <c r="BC106" s="49">
        <v>8395</v>
      </c>
      <c r="BD106" s="49">
        <v>8720</v>
      </c>
      <c r="BE106" s="49">
        <v>5400</v>
      </c>
      <c r="BF106" s="49">
        <v>10600</v>
      </c>
      <c r="BG106" s="49">
        <v>10340</v>
      </c>
      <c r="BH106" s="49">
        <v>8160</v>
      </c>
      <c r="BI106" s="49">
        <v>10480</v>
      </c>
      <c r="BJ106" s="49">
        <v>7040</v>
      </c>
      <c r="BK106" s="49">
        <v>6620</v>
      </c>
      <c r="BL106" s="49">
        <v>8700</v>
      </c>
      <c r="BM106" s="49">
        <v>10280</v>
      </c>
      <c r="BN106" s="49">
        <v>10300</v>
      </c>
      <c r="BO106" s="49">
        <v>8120</v>
      </c>
      <c r="BP106" s="50">
        <v>7929</v>
      </c>
      <c r="BQ106" s="50">
        <v>11580</v>
      </c>
      <c r="BR106" s="50">
        <v>8340</v>
      </c>
      <c r="BS106" s="50">
        <v>4759</v>
      </c>
      <c r="BT106" s="50">
        <v>8300</v>
      </c>
      <c r="BU106" s="50">
        <v>5100</v>
      </c>
      <c r="BV106" s="50">
        <v>6040</v>
      </c>
      <c r="BW106" s="50">
        <v>11260</v>
      </c>
      <c r="BX106" s="50">
        <v>7560</v>
      </c>
      <c r="BY106" s="50">
        <v>5200</v>
      </c>
      <c r="BZ106" s="50">
        <v>8819</v>
      </c>
      <c r="CA106" s="50">
        <v>7279</v>
      </c>
      <c r="CB106" s="50">
        <v>5800</v>
      </c>
      <c r="CC106" s="50">
        <v>2537</v>
      </c>
      <c r="CD106" s="50">
        <v>12430</v>
      </c>
      <c r="CE106" s="50">
        <v>4723</v>
      </c>
      <c r="CF106" s="50">
        <v>6383</v>
      </c>
      <c r="CG106" s="50">
        <v>5620</v>
      </c>
      <c r="CH106" s="50">
        <v>4951</v>
      </c>
      <c r="CI106" s="50">
        <v>3138</v>
      </c>
      <c r="CJ106" s="50">
        <v>7600</v>
      </c>
      <c r="CK106" s="50">
        <v>3775</v>
      </c>
      <c r="CL106" s="50">
        <v>1404</v>
      </c>
      <c r="CM106" s="50">
        <v>1183</v>
      </c>
      <c r="CN106" s="51">
        <v>1116</v>
      </c>
      <c r="CO106" s="51">
        <v>1376</v>
      </c>
      <c r="CP106" s="51">
        <v>1161</v>
      </c>
      <c r="CQ106" s="51">
        <v>2564</v>
      </c>
      <c r="CR106" s="51">
        <v>1240</v>
      </c>
      <c r="CS106" s="51">
        <v>186</v>
      </c>
      <c r="CT106" s="51">
        <v>40</v>
      </c>
      <c r="CU106" s="51">
        <v>201</v>
      </c>
      <c r="CV106" s="51">
        <v>0</v>
      </c>
      <c r="CW106" s="51">
        <v>382</v>
      </c>
      <c r="CX106" s="51">
        <v>4</v>
      </c>
      <c r="CY106" s="51">
        <v>0</v>
      </c>
      <c r="CZ106" s="51">
        <v>0</v>
      </c>
      <c r="DA106" s="51">
        <v>160</v>
      </c>
      <c r="DB106" s="51">
        <v>0</v>
      </c>
      <c r="DC106" s="51">
        <v>0</v>
      </c>
      <c r="DD106" s="51">
        <v>0</v>
      </c>
      <c r="DE106" s="51">
        <v>271</v>
      </c>
      <c r="DF106" s="52">
        <v>500</v>
      </c>
      <c r="DG106" s="52">
        <v>0</v>
      </c>
      <c r="DH106" s="52">
        <v>188</v>
      </c>
      <c r="DI106" s="52">
        <v>0</v>
      </c>
      <c r="DJ106" s="52">
        <v>0</v>
      </c>
      <c r="DK106" s="52">
        <v>0</v>
      </c>
      <c r="DL106" s="52">
        <v>11</v>
      </c>
      <c r="DM106" s="52">
        <v>770</v>
      </c>
      <c r="DN106" s="52">
        <v>-12</v>
      </c>
      <c r="DO106" s="52">
        <v>37</v>
      </c>
      <c r="DP106" s="52">
        <v>0</v>
      </c>
      <c r="DQ106" s="52">
        <v>5</v>
      </c>
      <c r="DR106" s="52">
        <v>737</v>
      </c>
      <c r="DS106" s="53">
        <v>0</v>
      </c>
      <c r="DT106" s="53">
        <v>0</v>
      </c>
      <c r="DU106" s="53">
        <v>0</v>
      </c>
      <c r="DV106" s="53">
        <v>0</v>
      </c>
      <c r="DW106" s="53">
        <v>0</v>
      </c>
      <c r="DX106" s="2"/>
      <c r="DY106" s="2"/>
      <c r="DZ106" s="46">
        <f t="shared" si="11"/>
        <v>0</v>
      </c>
      <c r="EA106" s="46">
        <f t="shared" si="12"/>
        <v>0</v>
      </c>
      <c r="EB106" s="46">
        <f t="shared" si="13"/>
        <v>260</v>
      </c>
      <c r="EC106" s="46">
        <f t="shared" si="14"/>
        <v>64913</v>
      </c>
      <c r="ED106" s="46">
        <f t="shared" si="15"/>
        <v>104760</v>
      </c>
      <c r="EE106" s="46">
        <f t="shared" si="16"/>
        <v>92166</v>
      </c>
      <c r="EF106" s="46">
        <f t="shared" si="17"/>
        <v>59544</v>
      </c>
      <c r="EG106" s="46">
        <f t="shared" si="18"/>
        <v>8270</v>
      </c>
      <c r="EH106" s="46">
        <f t="shared" si="19"/>
        <v>1119</v>
      </c>
      <c r="EI106" s="46">
        <f t="shared" si="21"/>
        <v>806</v>
      </c>
    </row>
    <row r="107" spans="3:139" ht="12">
      <c r="C107" s="36" t="s">
        <v>260</v>
      </c>
      <c r="D107" s="36" t="s">
        <v>246</v>
      </c>
      <c r="E107" s="36" t="s">
        <v>247</v>
      </c>
      <c r="F107" s="38">
        <f t="shared" si="20"/>
        <v>47348</v>
      </c>
      <c r="G107" s="37" t="s">
        <v>225</v>
      </c>
      <c r="H107" s="47"/>
      <c r="I107" s="48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8"/>
      <c r="U107" s="48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8"/>
      <c r="AG107" s="48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>
        <v>0</v>
      </c>
      <c r="AT107" s="49">
        <v>900</v>
      </c>
      <c r="AU107" s="49">
        <v>0</v>
      </c>
      <c r="AV107" s="49">
        <v>0</v>
      </c>
      <c r="AW107" s="49">
        <v>1500</v>
      </c>
      <c r="AX107" s="49">
        <v>1700</v>
      </c>
      <c r="AY107" s="49">
        <v>998</v>
      </c>
      <c r="AZ107" s="49">
        <v>2697</v>
      </c>
      <c r="BA107" s="49">
        <v>1700</v>
      </c>
      <c r="BB107" s="49">
        <v>2398</v>
      </c>
      <c r="BC107" s="49">
        <v>1600</v>
      </c>
      <c r="BD107" s="49">
        <v>1560</v>
      </c>
      <c r="BE107" s="49">
        <v>1600</v>
      </c>
      <c r="BF107" s="49">
        <v>1200</v>
      </c>
      <c r="BG107" s="49">
        <v>2400</v>
      </c>
      <c r="BH107" s="49">
        <v>2600</v>
      </c>
      <c r="BI107" s="49">
        <v>0</v>
      </c>
      <c r="BJ107" s="49">
        <v>5280</v>
      </c>
      <c r="BK107" s="49">
        <v>2900</v>
      </c>
      <c r="BL107" s="49">
        <v>2860</v>
      </c>
      <c r="BM107" s="49">
        <v>2040</v>
      </c>
      <c r="BN107" s="49">
        <v>1460</v>
      </c>
      <c r="BO107" s="49">
        <v>1320</v>
      </c>
      <c r="BP107" s="50">
        <v>478</v>
      </c>
      <c r="BQ107" s="50">
        <v>360</v>
      </c>
      <c r="BR107" s="50">
        <v>1100</v>
      </c>
      <c r="BS107" s="50">
        <v>557</v>
      </c>
      <c r="BT107" s="50">
        <v>60</v>
      </c>
      <c r="BU107" s="50">
        <v>0</v>
      </c>
      <c r="BV107" s="50">
        <v>500</v>
      </c>
      <c r="BW107" s="50">
        <v>260</v>
      </c>
      <c r="BX107" s="50">
        <v>460</v>
      </c>
      <c r="BY107" s="50">
        <v>200</v>
      </c>
      <c r="BZ107" s="50">
        <v>560</v>
      </c>
      <c r="CA107" s="50">
        <v>0</v>
      </c>
      <c r="CB107" s="50">
        <v>180</v>
      </c>
      <c r="CC107" s="50">
        <v>293</v>
      </c>
      <c r="CD107" s="50">
        <v>229</v>
      </c>
      <c r="CE107" s="50">
        <v>10</v>
      </c>
      <c r="CF107" s="50">
        <v>53</v>
      </c>
      <c r="CG107" s="50">
        <v>100</v>
      </c>
      <c r="CH107" s="50">
        <v>223</v>
      </c>
      <c r="CI107" s="50">
        <v>16</v>
      </c>
      <c r="CJ107" s="50">
        <v>391</v>
      </c>
      <c r="CK107" s="50">
        <v>751</v>
      </c>
      <c r="CL107" s="50">
        <v>80</v>
      </c>
      <c r="CM107" s="50">
        <v>58</v>
      </c>
      <c r="CN107" s="51">
        <v>2</v>
      </c>
      <c r="CO107" s="51">
        <v>334</v>
      </c>
      <c r="CP107" s="51">
        <v>464</v>
      </c>
      <c r="CQ107" s="51">
        <v>298</v>
      </c>
      <c r="CR107" s="51">
        <v>250</v>
      </c>
      <c r="CS107" s="51">
        <v>0</v>
      </c>
      <c r="CT107" s="51">
        <v>61</v>
      </c>
      <c r="CU107" s="51">
        <v>0</v>
      </c>
      <c r="CV107" s="51">
        <v>0</v>
      </c>
      <c r="CW107" s="51">
        <v>0</v>
      </c>
      <c r="CX107" s="51">
        <v>30</v>
      </c>
      <c r="CY107" s="51">
        <v>123</v>
      </c>
      <c r="CZ107" s="51">
        <v>0</v>
      </c>
      <c r="DA107" s="51">
        <v>0</v>
      </c>
      <c r="DB107" s="51">
        <v>0</v>
      </c>
      <c r="DC107" s="51">
        <v>0</v>
      </c>
      <c r="DD107" s="51">
        <v>0</v>
      </c>
      <c r="DE107" s="51">
        <v>0</v>
      </c>
      <c r="DF107" s="52">
        <v>0</v>
      </c>
      <c r="DG107" s="52">
        <v>0</v>
      </c>
      <c r="DH107" s="52">
        <v>0</v>
      </c>
      <c r="DI107" s="52">
        <v>0</v>
      </c>
      <c r="DJ107" s="52">
        <v>45</v>
      </c>
      <c r="DK107" s="52">
        <v>0</v>
      </c>
      <c r="DL107" s="52">
        <v>0</v>
      </c>
      <c r="DM107" s="52">
        <v>94</v>
      </c>
      <c r="DN107" s="52">
        <v>0</v>
      </c>
      <c r="DO107" s="52">
        <v>9</v>
      </c>
      <c r="DP107" s="52">
        <v>0</v>
      </c>
      <c r="DQ107" s="52">
        <v>6</v>
      </c>
      <c r="DR107" s="52">
        <v>50</v>
      </c>
      <c r="DS107" s="53">
        <v>0</v>
      </c>
      <c r="DT107" s="53">
        <v>0</v>
      </c>
      <c r="DU107" s="53">
        <v>0</v>
      </c>
      <c r="DV107" s="53">
        <v>0</v>
      </c>
      <c r="DW107" s="53">
        <v>0</v>
      </c>
      <c r="DX107" s="2"/>
      <c r="DY107" s="2"/>
      <c r="DZ107" s="46">
        <f t="shared" si="11"/>
        <v>0</v>
      </c>
      <c r="EA107" s="46">
        <f t="shared" si="12"/>
        <v>0</v>
      </c>
      <c r="EB107" s="46">
        <f t="shared" si="13"/>
        <v>0</v>
      </c>
      <c r="EC107" s="46">
        <f t="shared" si="14"/>
        <v>13493</v>
      </c>
      <c r="ED107" s="46">
        <f t="shared" si="15"/>
        <v>25220</v>
      </c>
      <c r="EE107" s="46">
        <f t="shared" si="16"/>
        <v>4535</v>
      </c>
      <c r="EF107" s="46">
        <f t="shared" si="17"/>
        <v>2384</v>
      </c>
      <c r="EG107" s="46">
        <f t="shared" si="18"/>
        <v>1562</v>
      </c>
      <c r="EH107" s="46">
        <f t="shared" si="19"/>
        <v>45</v>
      </c>
      <c r="EI107" s="46">
        <f t="shared" si="21"/>
        <v>103</v>
      </c>
    </row>
    <row r="108" spans="3:139" ht="12">
      <c r="C108" s="36" t="s">
        <v>261</v>
      </c>
      <c r="D108" s="36" t="s">
        <v>246</v>
      </c>
      <c r="E108" s="36" t="s">
        <v>247</v>
      </c>
      <c r="F108" s="38">
        <f t="shared" si="20"/>
        <v>25736</v>
      </c>
      <c r="G108" s="37" t="s">
        <v>225</v>
      </c>
      <c r="H108" s="47"/>
      <c r="I108" s="48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8"/>
      <c r="U108" s="48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8"/>
      <c r="AG108" s="48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>
        <v>1180</v>
      </c>
      <c r="AV108" s="49">
        <v>212</v>
      </c>
      <c r="AW108" s="49">
        <v>438</v>
      </c>
      <c r="AX108" s="49">
        <v>800</v>
      </c>
      <c r="AY108" s="49">
        <v>400</v>
      </c>
      <c r="AZ108" s="49">
        <v>497</v>
      </c>
      <c r="BA108" s="49">
        <v>1000</v>
      </c>
      <c r="BB108" s="49">
        <v>200</v>
      </c>
      <c r="BC108" s="49">
        <v>1400</v>
      </c>
      <c r="BD108" s="49">
        <v>600</v>
      </c>
      <c r="BE108" s="49">
        <v>880</v>
      </c>
      <c r="BF108" s="49">
        <v>700</v>
      </c>
      <c r="BG108" s="49">
        <v>700</v>
      </c>
      <c r="BH108" s="49">
        <v>420</v>
      </c>
      <c r="BI108" s="49">
        <v>100</v>
      </c>
      <c r="BJ108" s="49">
        <v>300</v>
      </c>
      <c r="BK108" s="49">
        <v>420</v>
      </c>
      <c r="BL108" s="49">
        <v>1120</v>
      </c>
      <c r="BM108" s="49">
        <v>600</v>
      </c>
      <c r="BN108" s="49">
        <v>680</v>
      </c>
      <c r="BO108" s="49">
        <v>440</v>
      </c>
      <c r="BP108" s="50">
        <v>700</v>
      </c>
      <c r="BQ108" s="50">
        <v>640</v>
      </c>
      <c r="BR108" s="50">
        <v>220</v>
      </c>
      <c r="BS108" s="50">
        <v>780</v>
      </c>
      <c r="BT108" s="50">
        <v>700</v>
      </c>
      <c r="BU108" s="50">
        <v>220</v>
      </c>
      <c r="BV108" s="50">
        <v>540</v>
      </c>
      <c r="BW108" s="50">
        <v>640</v>
      </c>
      <c r="BX108" s="50">
        <v>700</v>
      </c>
      <c r="BY108" s="50">
        <v>300</v>
      </c>
      <c r="BZ108" s="50"/>
      <c r="CA108" s="50">
        <v>120</v>
      </c>
      <c r="CB108" s="50">
        <v>660</v>
      </c>
      <c r="CC108" s="50">
        <v>400</v>
      </c>
      <c r="CD108" s="50">
        <v>388</v>
      </c>
      <c r="CE108" s="50">
        <v>552</v>
      </c>
      <c r="CF108" s="50">
        <v>288</v>
      </c>
      <c r="CG108" s="50">
        <v>401</v>
      </c>
      <c r="CH108" s="50">
        <v>373</v>
      </c>
      <c r="CI108" s="50">
        <v>619</v>
      </c>
      <c r="CJ108" s="50">
        <v>424</v>
      </c>
      <c r="CK108" s="50">
        <v>342</v>
      </c>
      <c r="CL108" s="50">
        <v>380</v>
      </c>
      <c r="CM108" s="50">
        <v>249</v>
      </c>
      <c r="CN108" s="51">
        <v>471</v>
      </c>
      <c r="CO108" s="51">
        <v>322</v>
      </c>
      <c r="CP108" s="51">
        <v>480</v>
      </c>
      <c r="CQ108" s="51">
        <v>73</v>
      </c>
      <c r="CR108" s="51">
        <v>357</v>
      </c>
      <c r="CS108" s="51">
        <v>60</v>
      </c>
      <c r="CT108" s="51">
        <v>236</v>
      </c>
      <c r="CU108" s="51">
        <v>0</v>
      </c>
      <c r="CV108" s="51">
        <v>0</v>
      </c>
      <c r="CW108" s="51">
        <v>14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2">
        <v>0</v>
      </c>
      <c r="DG108" s="52">
        <v>0</v>
      </c>
      <c r="DH108" s="52">
        <v>0</v>
      </c>
      <c r="DI108" s="52">
        <v>0</v>
      </c>
      <c r="DJ108" s="52">
        <v>0</v>
      </c>
      <c r="DK108" s="52">
        <v>0</v>
      </c>
      <c r="DL108" s="52">
        <v>0</v>
      </c>
      <c r="DM108" s="52">
        <v>0</v>
      </c>
      <c r="DN108" s="52">
        <v>0</v>
      </c>
      <c r="DO108" s="52">
        <v>0</v>
      </c>
      <c r="DP108" s="52">
        <v>0</v>
      </c>
      <c r="DQ108" s="52">
        <v>0</v>
      </c>
      <c r="DR108" s="52">
        <v>0</v>
      </c>
      <c r="DS108" s="53">
        <v>0</v>
      </c>
      <c r="DT108" s="53">
        <v>0</v>
      </c>
      <c r="DU108" s="53">
        <v>0</v>
      </c>
      <c r="DV108" s="53">
        <v>0</v>
      </c>
      <c r="DW108" s="53">
        <v>0</v>
      </c>
      <c r="DX108" s="2"/>
      <c r="DY108" s="2"/>
      <c r="DZ108" s="46">
        <f t="shared" si="11"/>
        <v>0</v>
      </c>
      <c r="EA108" s="46">
        <f t="shared" si="12"/>
        <v>0</v>
      </c>
      <c r="EB108" s="46">
        <f t="shared" si="13"/>
        <v>0</v>
      </c>
      <c r="EC108" s="46">
        <f t="shared" si="14"/>
        <v>6127</v>
      </c>
      <c r="ED108" s="46">
        <f t="shared" si="15"/>
        <v>6960</v>
      </c>
      <c r="EE108" s="46">
        <f t="shared" si="16"/>
        <v>5560</v>
      </c>
      <c r="EF108" s="46">
        <f t="shared" si="17"/>
        <v>5076</v>
      </c>
      <c r="EG108" s="46">
        <f t="shared" si="18"/>
        <v>2013</v>
      </c>
      <c r="EH108" s="46">
        <f t="shared" si="19"/>
        <v>0</v>
      </c>
      <c r="EI108" s="46">
        <f t="shared" si="21"/>
        <v>0</v>
      </c>
    </row>
    <row r="109" spans="3:139" ht="12">
      <c r="C109" s="36" t="s">
        <v>262</v>
      </c>
      <c r="D109" s="36" t="s">
        <v>246</v>
      </c>
      <c r="E109" s="36" t="s">
        <v>247</v>
      </c>
      <c r="F109" s="38">
        <f t="shared" si="20"/>
        <v>1974</v>
      </c>
      <c r="G109" s="37" t="s">
        <v>225</v>
      </c>
      <c r="H109" s="47"/>
      <c r="I109" s="48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8"/>
      <c r="U109" s="48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8"/>
      <c r="AG109" s="48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>
        <v>200</v>
      </c>
      <c r="BH109" s="49"/>
      <c r="BI109" s="49">
        <v>0</v>
      </c>
      <c r="BJ109" s="49">
        <v>300</v>
      </c>
      <c r="BK109" s="49">
        <v>100</v>
      </c>
      <c r="BL109" s="49">
        <v>500</v>
      </c>
      <c r="BM109" s="49"/>
      <c r="BN109" s="49">
        <v>0</v>
      </c>
      <c r="BO109" s="49">
        <v>120</v>
      </c>
      <c r="BP109" s="50">
        <v>-2</v>
      </c>
      <c r="BQ109" s="50">
        <v>0</v>
      </c>
      <c r="BR109" s="50">
        <v>220</v>
      </c>
      <c r="BS109" s="50">
        <v>0</v>
      </c>
      <c r="BT109" s="50">
        <v>0</v>
      </c>
      <c r="BU109" s="50">
        <v>100</v>
      </c>
      <c r="BV109" s="50"/>
      <c r="BW109" s="50">
        <v>0</v>
      </c>
      <c r="BX109" s="50">
        <v>300</v>
      </c>
      <c r="BY109" s="50"/>
      <c r="BZ109" s="50">
        <v>140</v>
      </c>
      <c r="CA109" s="50">
        <v>0</v>
      </c>
      <c r="CB109" s="50">
        <v>0</v>
      </c>
      <c r="CC109" s="50">
        <v>-4</v>
      </c>
      <c r="CD109" s="50">
        <v>0</v>
      </c>
      <c r="CE109" s="50">
        <v>0</v>
      </c>
      <c r="CF109" s="50">
        <v>0</v>
      </c>
      <c r="CG109" s="50"/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0</v>
      </c>
      <c r="DF109" s="52">
        <v>0</v>
      </c>
      <c r="DG109" s="52">
        <v>0</v>
      </c>
      <c r="DH109" s="52">
        <v>0</v>
      </c>
      <c r="DI109" s="52">
        <v>0</v>
      </c>
      <c r="DJ109" s="52">
        <v>0</v>
      </c>
      <c r="DK109" s="52">
        <v>0</v>
      </c>
      <c r="DL109" s="52">
        <v>0</v>
      </c>
      <c r="DM109" s="52">
        <v>0</v>
      </c>
      <c r="DN109" s="52">
        <v>0</v>
      </c>
      <c r="DO109" s="52">
        <v>0</v>
      </c>
      <c r="DP109" s="52">
        <v>0</v>
      </c>
      <c r="DQ109" s="52">
        <v>0</v>
      </c>
      <c r="DR109" s="52">
        <v>0</v>
      </c>
      <c r="DS109" s="53">
        <v>0</v>
      </c>
      <c r="DT109" s="53">
        <v>0</v>
      </c>
      <c r="DU109" s="53">
        <v>0</v>
      </c>
      <c r="DV109" s="53">
        <v>0</v>
      </c>
      <c r="DW109" s="53">
        <v>0</v>
      </c>
      <c r="DX109" s="2"/>
      <c r="DY109" s="2"/>
      <c r="DZ109" s="46">
        <f t="shared" si="11"/>
        <v>0</v>
      </c>
      <c r="EA109" s="46">
        <f t="shared" si="12"/>
        <v>0</v>
      </c>
      <c r="EB109" s="46">
        <f t="shared" si="13"/>
        <v>0</v>
      </c>
      <c r="EC109" s="46">
        <f t="shared" si="14"/>
        <v>0</v>
      </c>
      <c r="ED109" s="46">
        <f t="shared" si="15"/>
        <v>1220</v>
      </c>
      <c r="EE109" s="46">
        <f t="shared" si="16"/>
        <v>758</v>
      </c>
      <c r="EF109" s="46">
        <f t="shared" si="17"/>
        <v>-4</v>
      </c>
      <c r="EG109" s="46">
        <f t="shared" si="18"/>
        <v>0</v>
      </c>
      <c r="EH109" s="46">
        <f t="shared" si="19"/>
        <v>0</v>
      </c>
      <c r="EI109" s="46">
        <f t="shared" si="21"/>
        <v>0</v>
      </c>
    </row>
    <row r="110" spans="3:139" ht="12">
      <c r="C110" s="36" t="s">
        <v>263</v>
      </c>
      <c r="D110" s="36" t="s">
        <v>246</v>
      </c>
      <c r="E110" s="36" t="s">
        <v>247</v>
      </c>
      <c r="F110" s="38">
        <f t="shared" si="20"/>
        <v>29792</v>
      </c>
      <c r="G110" s="37" t="s">
        <v>225</v>
      </c>
      <c r="H110" s="47"/>
      <c r="I110" s="48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8"/>
      <c r="U110" s="48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8"/>
      <c r="AG110" s="48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>
        <v>700</v>
      </c>
      <c r="AZ110" s="49">
        <v>1397</v>
      </c>
      <c r="BA110" s="49">
        <v>1080</v>
      </c>
      <c r="BB110" s="49">
        <v>700</v>
      </c>
      <c r="BC110" s="49">
        <v>900</v>
      </c>
      <c r="BD110" s="49">
        <v>520</v>
      </c>
      <c r="BE110" s="49">
        <v>0</v>
      </c>
      <c r="BF110" s="49"/>
      <c r="BG110" s="49">
        <v>1000</v>
      </c>
      <c r="BH110" s="49">
        <v>200</v>
      </c>
      <c r="BI110" s="49">
        <v>740</v>
      </c>
      <c r="BJ110" s="49">
        <v>1100</v>
      </c>
      <c r="BK110" s="49">
        <v>580</v>
      </c>
      <c r="BL110" s="49">
        <v>1380</v>
      </c>
      <c r="BM110" s="49">
        <v>780</v>
      </c>
      <c r="BN110" s="49">
        <v>860</v>
      </c>
      <c r="BO110" s="49">
        <v>1240</v>
      </c>
      <c r="BP110" s="50">
        <v>939</v>
      </c>
      <c r="BQ110" s="50">
        <v>700</v>
      </c>
      <c r="BR110" s="50">
        <v>1400</v>
      </c>
      <c r="BS110" s="50">
        <v>500</v>
      </c>
      <c r="BT110" s="50">
        <v>500</v>
      </c>
      <c r="BU110" s="50">
        <v>700</v>
      </c>
      <c r="BV110" s="50">
        <v>160</v>
      </c>
      <c r="BW110" s="50">
        <v>340</v>
      </c>
      <c r="BX110" s="50">
        <v>100</v>
      </c>
      <c r="BY110" s="50">
        <v>1300</v>
      </c>
      <c r="BZ110" s="50">
        <v>500</v>
      </c>
      <c r="CA110" s="50">
        <v>620</v>
      </c>
      <c r="CB110" s="50">
        <v>400</v>
      </c>
      <c r="CC110" s="50">
        <v>40</v>
      </c>
      <c r="CD110" s="50">
        <v>0</v>
      </c>
      <c r="CE110" s="50">
        <v>585</v>
      </c>
      <c r="CF110" s="50">
        <v>658</v>
      </c>
      <c r="CG110" s="50">
        <v>555</v>
      </c>
      <c r="CH110" s="50">
        <v>107</v>
      </c>
      <c r="CI110" s="50">
        <v>524</v>
      </c>
      <c r="CJ110" s="50">
        <v>558</v>
      </c>
      <c r="CK110" s="50">
        <v>411</v>
      </c>
      <c r="CL110" s="50">
        <v>767</v>
      </c>
      <c r="CM110" s="50">
        <v>374</v>
      </c>
      <c r="CN110" s="51">
        <v>226</v>
      </c>
      <c r="CO110" s="51">
        <v>434</v>
      </c>
      <c r="CP110" s="51">
        <v>438</v>
      </c>
      <c r="CQ110" s="51">
        <v>575</v>
      </c>
      <c r="CR110" s="51">
        <v>641</v>
      </c>
      <c r="CS110" s="51">
        <v>1079</v>
      </c>
      <c r="CT110" s="51">
        <v>4</v>
      </c>
      <c r="CU110" s="51">
        <v>44</v>
      </c>
      <c r="CV110" s="51">
        <v>0</v>
      </c>
      <c r="CW110" s="51">
        <v>80</v>
      </c>
      <c r="CX110" s="51">
        <v>63</v>
      </c>
      <c r="CY110" s="51">
        <v>0</v>
      </c>
      <c r="CZ110" s="51">
        <v>0</v>
      </c>
      <c r="DA110" s="51">
        <v>0</v>
      </c>
      <c r="DB110" s="51">
        <v>0</v>
      </c>
      <c r="DC110" s="51">
        <v>0</v>
      </c>
      <c r="DD110" s="51">
        <v>0</v>
      </c>
      <c r="DE110" s="51">
        <v>0</v>
      </c>
      <c r="DF110" s="52">
        <v>60</v>
      </c>
      <c r="DG110" s="52">
        <v>0</v>
      </c>
      <c r="DH110" s="52">
        <v>0</v>
      </c>
      <c r="DI110" s="52">
        <v>0</v>
      </c>
      <c r="DJ110" s="52">
        <v>0</v>
      </c>
      <c r="DK110" s="52">
        <v>0</v>
      </c>
      <c r="DL110" s="52">
        <v>0</v>
      </c>
      <c r="DM110" s="52">
        <v>80</v>
      </c>
      <c r="DN110" s="52">
        <v>12</v>
      </c>
      <c r="DO110" s="52">
        <v>40</v>
      </c>
      <c r="DP110" s="52">
        <v>0</v>
      </c>
      <c r="DQ110" s="52">
        <v>101</v>
      </c>
      <c r="DR110" s="52">
        <v>0</v>
      </c>
      <c r="DS110" s="53">
        <v>0</v>
      </c>
      <c r="DT110" s="53">
        <v>0</v>
      </c>
      <c r="DU110" s="53">
        <v>0</v>
      </c>
      <c r="DV110" s="53">
        <v>0</v>
      </c>
      <c r="DW110" s="53">
        <v>0</v>
      </c>
      <c r="DX110" s="2"/>
      <c r="DY110" s="2"/>
      <c r="DZ110" s="46">
        <f t="shared" si="11"/>
        <v>0</v>
      </c>
      <c r="EA110" s="46">
        <f t="shared" si="12"/>
        <v>0</v>
      </c>
      <c r="EB110" s="46">
        <f t="shared" si="13"/>
        <v>0</v>
      </c>
      <c r="EC110" s="46">
        <f t="shared" si="14"/>
        <v>4777</v>
      </c>
      <c r="ED110" s="46">
        <f t="shared" si="15"/>
        <v>8400</v>
      </c>
      <c r="EE110" s="46">
        <f t="shared" si="16"/>
        <v>7759</v>
      </c>
      <c r="EF110" s="46">
        <f t="shared" si="17"/>
        <v>4979</v>
      </c>
      <c r="EG110" s="46">
        <f t="shared" si="18"/>
        <v>3584</v>
      </c>
      <c r="EH110" s="46">
        <f t="shared" si="19"/>
        <v>60</v>
      </c>
      <c r="EI110" s="46">
        <f t="shared" si="21"/>
        <v>132</v>
      </c>
    </row>
    <row r="111" spans="3:139" ht="12">
      <c r="C111" s="36" t="s">
        <v>264</v>
      </c>
      <c r="D111" s="36" t="s">
        <v>246</v>
      </c>
      <c r="E111" s="36" t="s">
        <v>247</v>
      </c>
      <c r="F111" s="38">
        <f t="shared" si="20"/>
        <v>4490</v>
      </c>
      <c r="G111" s="37" t="s">
        <v>225</v>
      </c>
      <c r="H111" s="47"/>
      <c r="I111" s="48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8"/>
      <c r="U111" s="48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8"/>
      <c r="AG111" s="48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>
        <v>200</v>
      </c>
      <c r="BH111" s="49">
        <v>300</v>
      </c>
      <c r="BI111" s="49">
        <v>0</v>
      </c>
      <c r="BJ111" s="49"/>
      <c r="BK111" s="49">
        <v>180</v>
      </c>
      <c r="BL111" s="49">
        <v>200</v>
      </c>
      <c r="BM111" s="49">
        <v>60</v>
      </c>
      <c r="BN111" s="49">
        <v>320</v>
      </c>
      <c r="BO111" s="49"/>
      <c r="BP111" s="50">
        <v>480</v>
      </c>
      <c r="BQ111" s="50">
        <v>240</v>
      </c>
      <c r="BR111" s="50">
        <v>140</v>
      </c>
      <c r="BS111" s="50">
        <v>200</v>
      </c>
      <c r="BT111" s="50">
        <v>100</v>
      </c>
      <c r="BU111" s="50">
        <v>0</v>
      </c>
      <c r="BV111" s="50"/>
      <c r="BW111" s="50">
        <v>160</v>
      </c>
      <c r="BX111" s="50"/>
      <c r="BY111" s="50">
        <v>200</v>
      </c>
      <c r="BZ111" s="50"/>
      <c r="CA111" s="50">
        <v>100</v>
      </c>
      <c r="CB111" s="50">
        <v>100</v>
      </c>
      <c r="CC111" s="50">
        <v>-6</v>
      </c>
      <c r="CD111" s="50">
        <v>195</v>
      </c>
      <c r="CE111" s="50">
        <v>5</v>
      </c>
      <c r="CF111" s="50">
        <v>140</v>
      </c>
      <c r="CG111" s="50">
        <v>198</v>
      </c>
      <c r="CH111" s="50">
        <v>120</v>
      </c>
      <c r="CI111" s="50">
        <v>283</v>
      </c>
      <c r="CJ111" s="50">
        <v>36</v>
      </c>
      <c r="CK111" s="50">
        <v>0</v>
      </c>
      <c r="CL111" s="50">
        <v>-1</v>
      </c>
      <c r="CM111" s="50">
        <v>50</v>
      </c>
      <c r="CN111" s="51">
        <v>191</v>
      </c>
      <c r="CO111" s="51">
        <v>109</v>
      </c>
      <c r="CP111" s="51">
        <v>8</v>
      </c>
      <c r="CQ111" s="51">
        <v>140</v>
      </c>
      <c r="CR111" s="51">
        <v>0</v>
      </c>
      <c r="CS111" s="51">
        <v>0</v>
      </c>
      <c r="CT111" s="51">
        <v>25</v>
      </c>
      <c r="CU111" s="51">
        <v>0</v>
      </c>
      <c r="CV111" s="51">
        <v>0</v>
      </c>
      <c r="CW111" s="51">
        <v>17</v>
      </c>
      <c r="CX111" s="51">
        <v>0</v>
      </c>
      <c r="CY111" s="51">
        <v>0</v>
      </c>
      <c r="CZ111" s="51">
        <v>0</v>
      </c>
      <c r="DA111" s="51">
        <v>0</v>
      </c>
      <c r="DB111" s="51">
        <v>0</v>
      </c>
      <c r="DC111" s="51">
        <v>0</v>
      </c>
      <c r="DD111" s="51">
        <v>0</v>
      </c>
      <c r="DE111" s="51">
        <v>0</v>
      </c>
      <c r="DF111" s="52">
        <v>0</v>
      </c>
      <c r="DG111" s="52">
        <v>0</v>
      </c>
      <c r="DH111" s="52">
        <v>0</v>
      </c>
      <c r="DI111" s="52">
        <v>0</v>
      </c>
      <c r="DJ111" s="52">
        <v>0</v>
      </c>
      <c r="DK111" s="52">
        <v>0</v>
      </c>
      <c r="DL111" s="52">
        <v>0</v>
      </c>
      <c r="DM111" s="52">
        <v>0</v>
      </c>
      <c r="DN111" s="52">
        <v>0</v>
      </c>
      <c r="DO111" s="52">
        <v>0</v>
      </c>
      <c r="DP111" s="52">
        <v>0</v>
      </c>
      <c r="DQ111" s="52">
        <v>0</v>
      </c>
      <c r="DR111" s="52">
        <v>0</v>
      </c>
      <c r="DS111" s="53">
        <v>0</v>
      </c>
      <c r="DT111" s="53">
        <v>0</v>
      </c>
      <c r="DU111" s="53">
        <v>0</v>
      </c>
      <c r="DV111" s="53">
        <v>0</v>
      </c>
      <c r="DW111" s="53">
        <v>0</v>
      </c>
      <c r="DX111" s="2"/>
      <c r="DY111" s="2"/>
      <c r="DZ111" s="46">
        <f t="shared" si="11"/>
        <v>0</v>
      </c>
      <c r="EA111" s="46">
        <f t="shared" si="12"/>
        <v>0</v>
      </c>
      <c r="EB111" s="46">
        <f t="shared" si="13"/>
        <v>0</v>
      </c>
      <c r="EC111" s="46">
        <f t="shared" si="14"/>
        <v>0</v>
      </c>
      <c r="ED111" s="46">
        <f t="shared" si="15"/>
        <v>1260</v>
      </c>
      <c r="EE111" s="46">
        <f t="shared" si="16"/>
        <v>1620</v>
      </c>
      <c r="EF111" s="46">
        <f t="shared" si="17"/>
        <v>1120</v>
      </c>
      <c r="EG111" s="46">
        <f t="shared" si="18"/>
        <v>490</v>
      </c>
      <c r="EH111" s="46">
        <f t="shared" si="19"/>
        <v>0</v>
      </c>
      <c r="EI111" s="46">
        <f t="shared" si="21"/>
        <v>0</v>
      </c>
    </row>
    <row r="112" spans="3:139" ht="12">
      <c r="C112" s="36" t="s">
        <v>265</v>
      </c>
      <c r="D112" s="36" t="s">
        <v>246</v>
      </c>
      <c r="E112" s="36" t="s">
        <v>247</v>
      </c>
      <c r="F112" s="38">
        <f t="shared" si="20"/>
        <v>430</v>
      </c>
      <c r="G112" s="37" t="s">
        <v>225</v>
      </c>
      <c r="H112" s="47"/>
      <c r="I112" s="48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8"/>
      <c r="U112" s="48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8"/>
      <c r="AG112" s="48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>
        <v>20</v>
      </c>
      <c r="BO112" s="49"/>
      <c r="BP112" s="50">
        <v>0</v>
      </c>
      <c r="BQ112" s="50">
        <v>0</v>
      </c>
      <c r="BR112" s="50">
        <v>10</v>
      </c>
      <c r="BS112" s="50">
        <v>400</v>
      </c>
      <c r="BT112" s="50">
        <v>0</v>
      </c>
      <c r="BU112" s="50">
        <v>0</v>
      </c>
      <c r="BV112" s="50"/>
      <c r="BW112" s="50">
        <v>0</v>
      </c>
      <c r="BX112" s="50"/>
      <c r="BY112" s="50"/>
      <c r="BZ112" s="50"/>
      <c r="CA112" s="50">
        <v>0</v>
      </c>
      <c r="CB112" s="50">
        <v>0</v>
      </c>
      <c r="CC112" s="50">
        <v>0</v>
      </c>
      <c r="CD112" s="50">
        <v>0</v>
      </c>
      <c r="CE112" s="50">
        <v>0</v>
      </c>
      <c r="CF112" s="50">
        <v>0</v>
      </c>
      <c r="CG112" s="50"/>
      <c r="CH112" s="50">
        <v>0</v>
      </c>
      <c r="CI112" s="50">
        <v>0</v>
      </c>
      <c r="CJ112" s="50">
        <v>0</v>
      </c>
      <c r="CK112" s="50">
        <v>0</v>
      </c>
      <c r="CL112" s="50">
        <v>0</v>
      </c>
      <c r="CM112" s="50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</v>
      </c>
      <c r="CY112" s="51">
        <v>0</v>
      </c>
      <c r="CZ112" s="51">
        <v>0</v>
      </c>
      <c r="DA112" s="51">
        <v>0</v>
      </c>
      <c r="DB112" s="51">
        <v>0</v>
      </c>
      <c r="DC112" s="51">
        <v>0</v>
      </c>
      <c r="DD112" s="51">
        <v>0</v>
      </c>
      <c r="DE112" s="51">
        <v>0</v>
      </c>
      <c r="DF112" s="52">
        <v>0</v>
      </c>
      <c r="DG112" s="52">
        <v>0</v>
      </c>
      <c r="DH112" s="52">
        <v>0</v>
      </c>
      <c r="DI112" s="52">
        <v>0</v>
      </c>
      <c r="DJ112" s="52">
        <v>0</v>
      </c>
      <c r="DK112" s="52">
        <v>0</v>
      </c>
      <c r="DL112" s="52">
        <v>0</v>
      </c>
      <c r="DM112" s="52">
        <v>0</v>
      </c>
      <c r="DN112" s="52">
        <v>0</v>
      </c>
      <c r="DO112" s="52">
        <v>0</v>
      </c>
      <c r="DP112" s="52">
        <v>0</v>
      </c>
      <c r="DQ112" s="52">
        <v>0</v>
      </c>
      <c r="DR112" s="52">
        <v>0</v>
      </c>
      <c r="DS112" s="53">
        <v>0</v>
      </c>
      <c r="DT112" s="53">
        <v>0</v>
      </c>
      <c r="DU112" s="53">
        <v>0</v>
      </c>
      <c r="DV112" s="53">
        <v>0</v>
      </c>
      <c r="DW112" s="53">
        <v>0</v>
      </c>
      <c r="DX112" s="2"/>
      <c r="DY112" s="2"/>
      <c r="DZ112" s="46">
        <f t="shared" si="11"/>
        <v>0</v>
      </c>
      <c r="EA112" s="46">
        <f t="shared" si="12"/>
        <v>0</v>
      </c>
      <c r="EB112" s="46">
        <f t="shared" si="13"/>
        <v>0</v>
      </c>
      <c r="EC112" s="46">
        <f t="shared" si="14"/>
        <v>0</v>
      </c>
      <c r="ED112" s="46">
        <f t="shared" si="15"/>
        <v>20</v>
      </c>
      <c r="EE112" s="46">
        <f t="shared" si="16"/>
        <v>410</v>
      </c>
      <c r="EF112" s="46">
        <f t="shared" si="17"/>
        <v>0</v>
      </c>
      <c r="EG112" s="46">
        <f t="shared" si="18"/>
        <v>0</v>
      </c>
      <c r="EH112" s="46">
        <f t="shared" si="19"/>
        <v>0</v>
      </c>
      <c r="EI112" s="46">
        <f t="shared" si="21"/>
        <v>0</v>
      </c>
    </row>
    <row r="113" spans="3:139" ht="12">
      <c r="C113" s="36" t="s">
        <v>266</v>
      </c>
      <c r="D113" s="36" t="s">
        <v>246</v>
      </c>
      <c r="E113" s="36" t="s">
        <v>247</v>
      </c>
      <c r="F113" s="38">
        <f t="shared" si="20"/>
        <v>123004</v>
      </c>
      <c r="G113" s="37" t="s">
        <v>225</v>
      </c>
      <c r="H113" s="47"/>
      <c r="I113" s="48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8"/>
      <c r="U113" s="48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8"/>
      <c r="AG113" s="48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50"/>
      <c r="BQ113" s="50"/>
      <c r="BR113" s="50">
        <v>15</v>
      </c>
      <c r="BS113" s="50">
        <v>0</v>
      </c>
      <c r="BT113" s="50">
        <v>2800</v>
      </c>
      <c r="BU113" s="50">
        <v>7280</v>
      </c>
      <c r="BV113" s="50">
        <v>4100</v>
      </c>
      <c r="BW113" s="50">
        <v>6020</v>
      </c>
      <c r="BX113" s="50">
        <v>4360</v>
      </c>
      <c r="BY113" s="50">
        <v>10040</v>
      </c>
      <c r="BZ113" s="50">
        <v>7800</v>
      </c>
      <c r="CA113" s="50">
        <v>7340</v>
      </c>
      <c r="CB113" s="50">
        <v>8000</v>
      </c>
      <c r="CC113" s="50">
        <v>9340</v>
      </c>
      <c r="CD113" s="50">
        <v>6857</v>
      </c>
      <c r="CE113" s="50">
        <v>3749</v>
      </c>
      <c r="CF113" s="50">
        <v>4822</v>
      </c>
      <c r="CG113" s="50">
        <v>6060</v>
      </c>
      <c r="CH113" s="50">
        <v>8553</v>
      </c>
      <c r="CI113" s="50">
        <v>5868</v>
      </c>
      <c r="CJ113" s="50">
        <v>4671</v>
      </c>
      <c r="CK113" s="50">
        <v>4394</v>
      </c>
      <c r="CL113" s="50">
        <v>4920</v>
      </c>
      <c r="CM113" s="50">
        <v>4280</v>
      </c>
      <c r="CN113" s="51">
        <v>1743</v>
      </c>
      <c r="CO113" s="51">
        <v>-7</v>
      </c>
      <c r="CP113" s="51">
        <v>0</v>
      </c>
      <c r="CQ113" s="51">
        <v>-1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0</v>
      </c>
      <c r="DC113" s="51">
        <v>0</v>
      </c>
      <c r="DD113" s="51">
        <v>0</v>
      </c>
      <c r="DE113" s="51">
        <v>0</v>
      </c>
      <c r="DF113" s="52">
        <v>0</v>
      </c>
      <c r="DG113" s="52">
        <v>0</v>
      </c>
      <c r="DH113" s="52">
        <v>0</v>
      </c>
      <c r="DI113" s="52">
        <v>0</v>
      </c>
      <c r="DJ113" s="52">
        <v>0</v>
      </c>
      <c r="DK113" s="52">
        <v>0</v>
      </c>
      <c r="DL113" s="52">
        <v>0</v>
      </c>
      <c r="DM113" s="52">
        <v>0</v>
      </c>
      <c r="DN113" s="52">
        <v>0</v>
      </c>
      <c r="DO113" s="52">
        <v>0</v>
      </c>
      <c r="DP113" s="52">
        <v>0</v>
      </c>
      <c r="DQ113" s="52">
        <v>0</v>
      </c>
      <c r="DR113" s="52">
        <v>0</v>
      </c>
      <c r="DS113" s="53">
        <v>0</v>
      </c>
      <c r="DT113" s="53">
        <v>0</v>
      </c>
      <c r="DU113" s="53">
        <v>0</v>
      </c>
      <c r="DV113" s="53">
        <v>0</v>
      </c>
      <c r="DW113" s="53">
        <v>0</v>
      </c>
      <c r="DX113" s="2"/>
      <c r="DY113" s="2"/>
      <c r="DZ113" s="46">
        <f t="shared" si="11"/>
        <v>0</v>
      </c>
      <c r="EA113" s="46">
        <f t="shared" si="12"/>
        <v>0</v>
      </c>
      <c r="EB113" s="46">
        <f t="shared" si="13"/>
        <v>0</v>
      </c>
      <c r="EC113" s="46">
        <f t="shared" si="14"/>
        <v>0</v>
      </c>
      <c r="ED113" s="46">
        <f t="shared" si="15"/>
        <v>0</v>
      </c>
      <c r="EE113" s="46">
        <f t="shared" si="16"/>
        <v>49755</v>
      </c>
      <c r="EF113" s="46">
        <f t="shared" si="17"/>
        <v>71514</v>
      </c>
      <c r="EG113" s="46">
        <f t="shared" si="18"/>
        <v>1735</v>
      </c>
      <c r="EH113" s="46">
        <f t="shared" si="19"/>
        <v>0</v>
      </c>
      <c r="EI113" s="46">
        <f t="shared" si="21"/>
        <v>0</v>
      </c>
    </row>
    <row r="114" spans="3:139" ht="12">
      <c r="C114" s="36" t="s">
        <v>267</v>
      </c>
      <c r="D114" s="36" t="s">
        <v>268</v>
      </c>
      <c r="E114" s="36" t="s">
        <v>269</v>
      </c>
      <c r="F114" s="38">
        <f t="shared" si="20"/>
        <v>4377</v>
      </c>
      <c r="G114" s="37" t="s">
        <v>225</v>
      </c>
      <c r="H114" s="47"/>
      <c r="I114" s="48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8"/>
      <c r="U114" s="48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8"/>
      <c r="AG114" s="48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>
        <v>49</v>
      </c>
      <c r="CA114" s="50">
        <v>0</v>
      </c>
      <c r="CB114" s="50">
        <v>150</v>
      </c>
      <c r="CC114" s="50">
        <v>79</v>
      </c>
      <c r="CD114" s="50">
        <v>340</v>
      </c>
      <c r="CE114" s="50">
        <v>100</v>
      </c>
      <c r="CF114" s="50">
        <v>720</v>
      </c>
      <c r="CG114" s="50">
        <v>299</v>
      </c>
      <c r="CH114" s="50">
        <v>453</v>
      </c>
      <c r="CI114" s="50">
        <v>221</v>
      </c>
      <c r="CJ114" s="50">
        <v>702</v>
      </c>
      <c r="CK114" s="50">
        <v>751</v>
      </c>
      <c r="CL114" s="50">
        <v>475</v>
      </c>
      <c r="CM114" s="50">
        <v>0</v>
      </c>
      <c r="CN114" s="51">
        <v>0</v>
      </c>
      <c r="CO114" s="51">
        <v>0</v>
      </c>
      <c r="CP114" s="51">
        <v>44</v>
      </c>
      <c r="CQ114" s="51">
        <v>0</v>
      </c>
      <c r="CR114" s="51">
        <v>-5</v>
      </c>
      <c r="CS114" s="51">
        <v>-1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0</v>
      </c>
      <c r="DB114" s="51">
        <v>0</v>
      </c>
      <c r="DC114" s="51">
        <v>0</v>
      </c>
      <c r="DD114" s="51">
        <v>0</v>
      </c>
      <c r="DE114" s="51">
        <v>0</v>
      </c>
      <c r="DF114" s="52">
        <v>0</v>
      </c>
      <c r="DG114" s="52">
        <v>0</v>
      </c>
      <c r="DH114" s="52">
        <v>0</v>
      </c>
      <c r="DI114" s="52">
        <v>0</v>
      </c>
      <c r="DJ114" s="52">
        <v>0</v>
      </c>
      <c r="DK114" s="52">
        <v>0</v>
      </c>
      <c r="DL114" s="52">
        <v>0</v>
      </c>
      <c r="DM114" s="52">
        <v>0</v>
      </c>
      <c r="DN114" s="52">
        <v>0</v>
      </c>
      <c r="DO114" s="52">
        <v>0</v>
      </c>
      <c r="DP114" s="52">
        <v>0</v>
      </c>
      <c r="DQ114" s="52">
        <v>0</v>
      </c>
      <c r="DR114" s="52">
        <v>0</v>
      </c>
      <c r="DS114" s="53">
        <v>0</v>
      </c>
      <c r="DT114" s="53">
        <v>0</v>
      </c>
      <c r="DU114" s="53">
        <v>0</v>
      </c>
      <c r="DV114" s="53">
        <v>0</v>
      </c>
      <c r="DW114" s="53">
        <v>0</v>
      </c>
      <c r="DX114" s="2"/>
      <c r="DY114" s="2"/>
      <c r="DZ114" s="46">
        <f t="shared" si="11"/>
        <v>0</v>
      </c>
      <c r="EA114" s="46">
        <f t="shared" si="12"/>
        <v>0</v>
      </c>
      <c r="EB114" s="46">
        <f t="shared" si="13"/>
        <v>0</v>
      </c>
      <c r="EC114" s="46">
        <f t="shared" si="14"/>
        <v>0</v>
      </c>
      <c r="ED114" s="46">
        <f t="shared" si="15"/>
        <v>0</v>
      </c>
      <c r="EE114" s="46">
        <f t="shared" si="16"/>
        <v>49</v>
      </c>
      <c r="EF114" s="46">
        <f t="shared" si="17"/>
        <v>4290</v>
      </c>
      <c r="EG114" s="46">
        <f t="shared" si="18"/>
        <v>38</v>
      </c>
      <c r="EH114" s="46">
        <f t="shared" si="19"/>
        <v>0</v>
      </c>
      <c r="EI114" s="46">
        <f t="shared" si="21"/>
        <v>0</v>
      </c>
    </row>
    <row r="115" spans="3:139" ht="12">
      <c r="C115" s="36" t="s">
        <v>270</v>
      </c>
      <c r="D115" s="36" t="s">
        <v>268</v>
      </c>
      <c r="E115" s="36" t="s">
        <v>269</v>
      </c>
      <c r="F115" s="38">
        <f t="shared" si="20"/>
        <v>15529</v>
      </c>
      <c r="G115" s="37" t="s">
        <v>225</v>
      </c>
      <c r="H115" s="47"/>
      <c r="I115" s="48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8"/>
      <c r="U115" s="48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8"/>
      <c r="AG115" s="48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>
        <v>16</v>
      </c>
      <c r="CJ115" s="50">
        <v>340</v>
      </c>
      <c r="CK115" s="50">
        <v>219</v>
      </c>
      <c r="CL115" s="50">
        <v>260</v>
      </c>
      <c r="CM115" s="50">
        <v>271</v>
      </c>
      <c r="CN115" s="51">
        <v>771</v>
      </c>
      <c r="CO115" s="51">
        <v>866</v>
      </c>
      <c r="CP115" s="51">
        <v>683</v>
      </c>
      <c r="CQ115" s="51">
        <v>779</v>
      </c>
      <c r="CR115" s="51">
        <v>894</v>
      </c>
      <c r="CS115" s="51">
        <v>650</v>
      </c>
      <c r="CT115" s="51">
        <v>540</v>
      </c>
      <c r="CU115" s="51">
        <v>580</v>
      </c>
      <c r="CV115" s="51">
        <v>520</v>
      </c>
      <c r="CW115" s="51">
        <v>617</v>
      </c>
      <c r="CX115" s="51">
        <v>835</v>
      </c>
      <c r="CY115" s="51">
        <v>360</v>
      </c>
      <c r="CZ115" s="51">
        <v>800</v>
      </c>
      <c r="DA115" s="51">
        <v>489</v>
      </c>
      <c r="DB115" s="51">
        <v>1100</v>
      </c>
      <c r="DC115" s="51">
        <v>1565</v>
      </c>
      <c r="DD115" s="51">
        <v>1045</v>
      </c>
      <c r="DE115" s="51">
        <v>88</v>
      </c>
      <c r="DF115" s="52">
        <v>162</v>
      </c>
      <c r="DG115" s="52">
        <v>636</v>
      </c>
      <c r="DH115" s="52">
        <v>379</v>
      </c>
      <c r="DI115" s="52">
        <v>0</v>
      </c>
      <c r="DJ115" s="52">
        <v>57</v>
      </c>
      <c r="DK115" s="52">
        <v>0</v>
      </c>
      <c r="DL115" s="52">
        <v>7</v>
      </c>
      <c r="DM115" s="52">
        <v>0</v>
      </c>
      <c r="DN115" s="52">
        <v>0</v>
      </c>
      <c r="DO115" s="52">
        <v>0</v>
      </c>
      <c r="DP115" s="52">
        <v>0</v>
      </c>
      <c r="DQ115" s="52">
        <v>0</v>
      </c>
      <c r="DR115" s="52">
        <v>0</v>
      </c>
      <c r="DS115" s="53">
        <v>0</v>
      </c>
      <c r="DT115" s="53">
        <v>0</v>
      </c>
      <c r="DU115" s="53">
        <v>0</v>
      </c>
      <c r="DV115" s="53">
        <v>0</v>
      </c>
      <c r="DW115" s="53">
        <v>0</v>
      </c>
      <c r="DX115" s="2"/>
      <c r="DY115" s="2"/>
      <c r="DZ115" s="46">
        <f t="shared" si="11"/>
        <v>0</v>
      </c>
      <c r="EA115" s="46">
        <f t="shared" si="12"/>
        <v>0</v>
      </c>
      <c r="EB115" s="46">
        <f t="shared" si="13"/>
        <v>0</v>
      </c>
      <c r="EC115" s="46">
        <f t="shared" si="14"/>
        <v>0</v>
      </c>
      <c r="ED115" s="46">
        <f t="shared" si="15"/>
        <v>0</v>
      </c>
      <c r="EE115" s="46">
        <f t="shared" si="16"/>
        <v>0</v>
      </c>
      <c r="EF115" s="46">
        <f t="shared" si="17"/>
        <v>1106</v>
      </c>
      <c r="EG115" s="46">
        <f t="shared" si="18"/>
        <v>8095</v>
      </c>
      <c r="EH115" s="46">
        <f t="shared" si="19"/>
        <v>6321</v>
      </c>
      <c r="EI115" s="46">
        <f t="shared" si="21"/>
        <v>7</v>
      </c>
    </row>
    <row r="116" spans="3:139" ht="12">
      <c r="C116" s="36" t="s">
        <v>271</v>
      </c>
      <c r="D116" s="36" t="s">
        <v>268</v>
      </c>
      <c r="E116" s="36" t="s">
        <v>269</v>
      </c>
      <c r="F116" s="38">
        <f t="shared" si="20"/>
        <v>29720</v>
      </c>
      <c r="G116" s="37" t="s">
        <v>225</v>
      </c>
      <c r="H116" s="47"/>
      <c r="I116" s="48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8"/>
      <c r="U116" s="48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8"/>
      <c r="AG116" s="48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>
        <v>10</v>
      </c>
      <c r="CJ116" s="50">
        <v>0</v>
      </c>
      <c r="CK116" s="50">
        <v>20</v>
      </c>
      <c r="CL116" s="50">
        <v>2489</v>
      </c>
      <c r="CM116" s="50">
        <v>5561</v>
      </c>
      <c r="CN116" s="51">
        <v>7877</v>
      </c>
      <c r="CO116" s="51">
        <v>3678</v>
      </c>
      <c r="CP116" s="51">
        <v>1068</v>
      </c>
      <c r="CQ116" s="51">
        <v>2749</v>
      </c>
      <c r="CR116" s="51">
        <v>4735</v>
      </c>
      <c r="CS116" s="51">
        <v>1379</v>
      </c>
      <c r="CT116" s="51">
        <v>0</v>
      </c>
      <c r="CU116" s="51">
        <v>0</v>
      </c>
      <c r="CV116" s="51">
        <v>20</v>
      </c>
      <c r="CW116" s="51">
        <v>30</v>
      </c>
      <c r="CX116" s="51">
        <v>20</v>
      </c>
      <c r="CY116" s="51">
        <v>0</v>
      </c>
      <c r="CZ116" s="51">
        <v>0</v>
      </c>
      <c r="DA116" s="51">
        <v>0</v>
      </c>
      <c r="DB116" s="51">
        <v>0</v>
      </c>
      <c r="DC116" s="51">
        <v>84</v>
      </c>
      <c r="DD116" s="51">
        <v>0</v>
      </c>
      <c r="DE116" s="51">
        <v>0</v>
      </c>
      <c r="DF116" s="52">
        <v>0</v>
      </c>
      <c r="DG116" s="52">
        <v>0</v>
      </c>
      <c r="DH116" s="52">
        <v>0</v>
      </c>
      <c r="DI116" s="52">
        <v>0</v>
      </c>
      <c r="DJ116" s="52">
        <v>0</v>
      </c>
      <c r="DK116" s="52">
        <v>0</v>
      </c>
      <c r="DL116" s="52">
        <v>0</v>
      </c>
      <c r="DM116" s="52">
        <v>0</v>
      </c>
      <c r="DN116" s="52">
        <v>0</v>
      </c>
      <c r="DO116" s="52">
        <v>0</v>
      </c>
      <c r="DP116" s="52">
        <v>0</v>
      </c>
      <c r="DQ116" s="52">
        <v>0</v>
      </c>
      <c r="DR116" s="52">
        <v>0</v>
      </c>
      <c r="DS116" s="53">
        <v>0</v>
      </c>
      <c r="DT116" s="53">
        <v>0</v>
      </c>
      <c r="DU116" s="53">
        <v>0</v>
      </c>
      <c r="DV116" s="53">
        <v>0</v>
      </c>
      <c r="DW116" s="53">
        <v>0</v>
      </c>
      <c r="DX116" s="2"/>
      <c r="DY116" s="2"/>
      <c r="DZ116" s="46">
        <f t="shared" si="11"/>
        <v>0</v>
      </c>
      <c r="EA116" s="46">
        <f t="shared" si="12"/>
        <v>0</v>
      </c>
      <c r="EB116" s="46">
        <f t="shared" si="13"/>
        <v>0</v>
      </c>
      <c r="EC116" s="46">
        <f t="shared" si="14"/>
        <v>0</v>
      </c>
      <c r="ED116" s="46">
        <f t="shared" si="15"/>
        <v>0</v>
      </c>
      <c r="EE116" s="46">
        <f t="shared" si="16"/>
        <v>0</v>
      </c>
      <c r="EF116" s="46">
        <f t="shared" si="17"/>
        <v>8080</v>
      </c>
      <c r="EG116" s="46">
        <f t="shared" si="18"/>
        <v>21556</v>
      </c>
      <c r="EH116" s="46">
        <f t="shared" si="19"/>
        <v>84</v>
      </c>
      <c r="EI116" s="46">
        <f t="shared" si="21"/>
        <v>0</v>
      </c>
    </row>
    <row r="117" spans="3:139" ht="12">
      <c r="C117" s="36" t="s">
        <v>272</v>
      </c>
      <c r="D117" s="36" t="s">
        <v>273</v>
      </c>
      <c r="E117" s="36" t="s">
        <v>274</v>
      </c>
      <c r="F117" s="38">
        <f t="shared" si="20"/>
        <v>10</v>
      </c>
      <c r="G117" s="37" t="s">
        <v>225</v>
      </c>
      <c r="H117" s="47"/>
      <c r="I117" s="48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8"/>
      <c r="U117" s="48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8"/>
      <c r="AG117" s="48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>
        <v>10</v>
      </c>
      <c r="BO117" s="49"/>
      <c r="BP117" s="50">
        <v>0</v>
      </c>
      <c r="BQ117" s="50">
        <v>0</v>
      </c>
      <c r="BR117" s="50"/>
      <c r="BS117" s="50">
        <v>0</v>
      </c>
      <c r="BT117" s="50">
        <v>0</v>
      </c>
      <c r="BU117" s="50">
        <v>0</v>
      </c>
      <c r="BV117" s="50"/>
      <c r="BW117" s="50">
        <v>0</v>
      </c>
      <c r="BX117" s="50"/>
      <c r="BY117" s="50"/>
      <c r="BZ117" s="50"/>
      <c r="CA117" s="50">
        <v>0</v>
      </c>
      <c r="CB117" s="50">
        <v>0</v>
      </c>
      <c r="CC117" s="50">
        <v>0</v>
      </c>
      <c r="CD117" s="50">
        <v>0</v>
      </c>
      <c r="CE117" s="50">
        <v>0</v>
      </c>
      <c r="CF117" s="50">
        <v>0</v>
      </c>
      <c r="CG117" s="50"/>
      <c r="CH117" s="50">
        <v>0</v>
      </c>
      <c r="CI117" s="50">
        <v>0</v>
      </c>
      <c r="CJ117" s="50">
        <v>0</v>
      </c>
      <c r="CK117" s="50">
        <v>0</v>
      </c>
      <c r="CL117" s="50">
        <v>0</v>
      </c>
      <c r="CM117" s="50">
        <v>0</v>
      </c>
      <c r="CN117" s="51">
        <v>0</v>
      </c>
      <c r="CO117" s="51">
        <v>0</v>
      </c>
      <c r="CP117" s="51">
        <v>0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2">
        <v>0</v>
      </c>
      <c r="DG117" s="52">
        <v>0</v>
      </c>
      <c r="DH117" s="52">
        <v>0</v>
      </c>
      <c r="DI117" s="52">
        <v>0</v>
      </c>
      <c r="DJ117" s="52">
        <v>0</v>
      </c>
      <c r="DK117" s="52">
        <v>0</v>
      </c>
      <c r="DL117" s="52">
        <v>0</v>
      </c>
      <c r="DM117" s="52">
        <v>0</v>
      </c>
      <c r="DN117" s="52">
        <v>0</v>
      </c>
      <c r="DO117" s="52">
        <v>0</v>
      </c>
      <c r="DP117" s="52">
        <v>0</v>
      </c>
      <c r="DQ117" s="52">
        <v>0</v>
      </c>
      <c r="DR117" s="52">
        <v>0</v>
      </c>
      <c r="DS117" s="53">
        <v>0</v>
      </c>
      <c r="DT117" s="53">
        <v>0</v>
      </c>
      <c r="DU117" s="53">
        <v>0</v>
      </c>
      <c r="DV117" s="53">
        <v>0</v>
      </c>
      <c r="DW117" s="53">
        <v>0</v>
      </c>
      <c r="DX117" s="2"/>
      <c r="DY117" s="2"/>
      <c r="DZ117" s="46">
        <f t="shared" si="11"/>
        <v>0</v>
      </c>
      <c r="EA117" s="46">
        <f t="shared" si="12"/>
        <v>0</v>
      </c>
      <c r="EB117" s="46">
        <f t="shared" si="13"/>
        <v>0</v>
      </c>
      <c r="EC117" s="46">
        <f t="shared" si="14"/>
        <v>0</v>
      </c>
      <c r="ED117" s="46">
        <f t="shared" si="15"/>
        <v>10</v>
      </c>
      <c r="EE117" s="46">
        <f t="shared" si="16"/>
        <v>0</v>
      </c>
      <c r="EF117" s="46">
        <f t="shared" si="17"/>
        <v>0</v>
      </c>
      <c r="EG117" s="46">
        <f t="shared" si="18"/>
        <v>0</v>
      </c>
      <c r="EH117" s="46">
        <f t="shared" si="19"/>
        <v>0</v>
      </c>
      <c r="EI117" s="46">
        <f t="shared" si="21"/>
        <v>0</v>
      </c>
    </row>
    <row r="118" spans="3:139" ht="12">
      <c r="C118" s="36" t="s">
        <v>275</v>
      </c>
      <c r="D118" s="36" t="s">
        <v>273</v>
      </c>
      <c r="E118" s="36" t="s">
        <v>274</v>
      </c>
      <c r="F118" s="38">
        <f t="shared" si="20"/>
        <v>30</v>
      </c>
      <c r="G118" s="37" t="s">
        <v>225</v>
      </c>
      <c r="H118" s="47"/>
      <c r="I118" s="48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8"/>
      <c r="U118" s="48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8"/>
      <c r="AG118" s="48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>
        <v>20</v>
      </c>
      <c r="BO118" s="49"/>
      <c r="BP118" s="50">
        <v>0</v>
      </c>
      <c r="BQ118" s="50">
        <v>0</v>
      </c>
      <c r="BR118" s="50"/>
      <c r="BS118" s="50">
        <v>0</v>
      </c>
      <c r="BT118" s="50">
        <v>0</v>
      </c>
      <c r="BU118" s="50">
        <v>0</v>
      </c>
      <c r="BV118" s="50"/>
      <c r="BW118" s="50">
        <v>0</v>
      </c>
      <c r="BX118" s="50"/>
      <c r="BY118" s="50"/>
      <c r="BZ118" s="50"/>
      <c r="CA118" s="50">
        <v>0</v>
      </c>
      <c r="CB118" s="50">
        <v>0</v>
      </c>
      <c r="CC118" s="50">
        <v>10</v>
      </c>
      <c r="CD118" s="50">
        <v>0</v>
      </c>
      <c r="CE118" s="50">
        <v>0</v>
      </c>
      <c r="CF118" s="50">
        <v>0</v>
      </c>
      <c r="CG118" s="50"/>
      <c r="CH118" s="50">
        <v>0</v>
      </c>
      <c r="CI118" s="50">
        <v>0</v>
      </c>
      <c r="CJ118" s="50">
        <v>0</v>
      </c>
      <c r="CK118" s="50">
        <v>0</v>
      </c>
      <c r="CL118" s="50">
        <v>0</v>
      </c>
      <c r="CM118" s="50">
        <v>0</v>
      </c>
      <c r="CN118" s="51">
        <v>0</v>
      </c>
      <c r="CO118" s="51">
        <v>0</v>
      </c>
      <c r="CP118" s="51">
        <v>0</v>
      </c>
      <c r="CQ118" s="51">
        <v>0</v>
      </c>
      <c r="CR118" s="51">
        <v>0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2">
        <v>0</v>
      </c>
      <c r="DG118" s="52">
        <v>0</v>
      </c>
      <c r="DH118" s="52">
        <v>0</v>
      </c>
      <c r="DI118" s="52">
        <v>0</v>
      </c>
      <c r="DJ118" s="52">
        <v>0</v>
      </c>
      <c r="DK118" s="52">
        <v>0</v>
      </c>
      <c r="DL118" s="52">
        <v>0</v>
      </c>
      <c r="DM118" s="52">
        <v>0</v>
      </c>
      <c r="DN118" s="52">
        <v>0</v>
      </c>
      <c r="DO118" s="52">
        <v>0</v>
      </c>
      <c r="DP118" s="52">
        <v>0</v>
      </c>
      <c r="DQ118" s="52">
        <v>0</v>
      </c>
      <c r="DR118" s="52">
        <v>0</v>
      </c>
      <c r="DS118" s="53">
        <v>0</v>
      </c>
      <c r="DT118" s="53">
        <v>0</v>
      </c>
      <c r="DU118" s="53">
        <v>0</v>
      </c>
      <c r="DV118" s="53">
        <v>0</v>
      </c>
      <c r="DW118" s="53">
        <v>0</v>
      </c>
      <c r="DX118" s="2"/>
      <c r="DY118" s="2"/>
      <c r="DZ118" s="46">
        <f t="shared" si="11"/>
        <v>0</v>
      </c>
      <c r="EA118" s="46">
        <f t="shared" si="12"/>
        <v>0</v>
      </c>
      <c r="EB118" s="46">
        <f t="shared" si="13"/>
        <v>0</v>
      </c>
      <c r="EC118" s="46">
        <f t="shared" si="14"/>
        <v>0</v>
      </c>
      <c r="ED118" s="46">
        <f t="shared" si="15"/>
        <v>20</v>
      </c>
      <c r="EE118" s="46">
        <f t="shared" si="16"/>
        <v>0</v>
      </c>
      <c r="EF118" s="46">
        <f t="shared" si="17"/>
        <v>10</v>
      </c>
      <c r="EG118" s="46">
        <f t="shared" si="18"/>
        <v>0</v>
      </c>
      <c r="EH118" s="46">
        <f t="shared" si="19"/>
        <v>0</v>
      </c>
      <c r="EI118" s="46">
        <f t="shared" si="21"/>
        <v>0</v>
      </c>
    </row>
    <row r="119" spans="3:139" ht="12">
      <c r="C119" s="36" t="s">
        <v>276</v>
      </c>
      <c r="D119" s="36" t="s">
        <v>277</v>
      </c>
      <c r="E119" s="36" t="s">
        <v>278</v>
      </c>
      <c r="F119" s="38">
        <f t="shared" si="20"/>
        <v>0</v>
      </c>
      <c r="G119" s="37" t="s">
        <v>225</v>
      </c>
      <c r="H119" s="47"/>
      <c r="I119" s="48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8"/>
      <c r="U119" s="48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8"/>
      <c r="AG119" s="48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3">
        <v>0</v>
      </c>
      <c r="DT119" s="53">
        <v>0</v>
      </c>
      <c r="DU119" s="53">
        <v>0</v>
      </c>
      <c r="DV119" s="53">
        <v>0</v>
      </c>
      <c r="DW119" s="53">
        <v>0</v>
      </c>
      <c r="DX119" s="2"/>
      <c r="DY119" s="2"/>
      <c r="DZ119" s="46"/>
      <c r="EA119" s="46"/>
      <c r="EB119" s="46"/>
      <c r="EC119" s="46"/>
      <c r="ED119" s="46"/>
      <c r="EE119" s="46"/>
      <c r="EF119" s="46"/>
      <c r="EG119" s="46"/>
      <c r="EH119" s="46"/>
      <c r="EI119" s="46">
        <f t="shared" si="21"/>
        <v>0</v>
      </c>
    </row>
    <row r="120" spans="3:139" ht="12">
      <c r="C120" s="36" t="s">
        <v>279</v>
      </c>
      <c r="D120" s="36" t="s">
        <v>277</v>
      </c>
      <c r="E120" s="36" t="s">
        <v>278</v>
      </c>
      <c r="F120" s="38">
        <f t="shared" si="20"/>
        <v>21375</v>
      </c>
      <c r="G120" s="37" t="s">
        <v>225</v>
      </c>
      <c r="H120" s="47"/>
      <c r="I120" s="48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8"/>
      <c r="U120" s="48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8"/>
      <c r="AG120" s="48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>
        <v>1025</v>
      </c>
      <c r="BA120" s="49">
        <v>1400</v>
      </c>
      <c r="BB120" s="49">
        <v>600</v>
      </c>
      <c r="BC120" s="49">
        <v>700</v>
      </c>
      <c r="BD120" s="49">
        <v>400</v>
      </c>
      <c r="BE120" s="49">
        <v>900</v>
      </c>
      <c r="BF120" s="49">
        <v>800</v>
      </c>
      <c r="BG120" s="49"/>
      <c r="BH120" s="49">
        <v>500</v>
      </c>
      <c r="BI120" s="49">
        <v>500</v>
      </c>
      <c r="BJ120" s="49">
        <v>1100</v>
      </c>
      <c r="BK120" s="49">
        <v>380</v>
      </c>
      <c r="BL120" s="49">
        <v>1120</v>
      </c>
      <c r="BM120" s="49">
        <v>100</v>
      </c>
      <c r="BN120" s="49">
        <v>640</v>
      </c>
      <c r="BO120" s="49"/>
      <c r="BP120" s="50">
        <v>1357</v>
      </c>
      <c r="BQ120" s="50">
        <v>680</v>
      </c>
      <c r="BR120" s="50">
        <v>460</v>
      </c>
      <c r="BS120" s="50">
        <v>640</v>
      </c>
      <c r="BT120" s="50">
        <v>0</v>
      </c>
      <c r="BU120" s="50">
        <v>340</v>
      </c>
      <c r="BV120" s="50">
        <v>800</v>
      </c>
      <c r="BW120" s="50">
        <v>640</v>
      </c>
      <c r="BX120" s="50">
        <v>500</v>
      </c>
      <c r="BY120" s="50">
        <v>640</v>
      </c>
      <c r="BZ120" s="50">
        <v>160</v>
      </c>
      <c r="CA120" s="50">
        <v>400</v>
      </c>
      <c r="CB120" s="50">
        <v>440</v>
      </c>
      <c r="CC120" s="50">
        <v>0</v>
      </c>
      <c r="CD120" s="50">
        <v>282</v>
      </c>
      <c r="CE120" s="50">
        <v>258</v>
      </c>
      <c r="CF120" s="50">
        <v>40</v>
      </c>
      <c r="CG120" s="50"/>
      <c r="CH120" s="50">
        <v>300</v>
      </c>
      <c r="CI120" s="50">
        <v>420</v>
      </c>
      <c r="CJ120" s="50">
        <v>200</v>
      </c>
      <c r="CK120" s="50">
        <v>396</v>
      </c>
      <c r="CL120" s="50">
        <v>39</v>
      </c>
      <c r="CM120" s="50">
        <v>230</v>
      </c>
      <c r="CN120" s="51">
        <v>220</v>
      </c>
      <c r="CO120" s="51">
        <v>540</v>
      </c>
      <c r="CP120" s="51">
        <v>20</v>
      </c>
      <c r="CQ120" s="51">
        <v>514</v>
      </c>
      <c r="CR120" s="51">
        <v>193</v>
      </c>
      <c r="CS120" s="51">
        <v>41</v>
      </c>
      <c r="CT120" s="51">
        <v>0</v>
      </c>
      <c r="CU120" s="51">
        <v>0</v>
      </c>
      <c r="CV120" s="51">
        <v>460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2">
        <v>0</v>
      </c>
      <c r="DG120" s="52">
        <v>0</v>
      </c>
      <c r="DH120" s="52">
        <v>0</v>
      </c>
      <c r="DI120" s="52">
        <v>0</v>
      </c>
      <c r="DJ120" s="52">
        <v>0</v>
      </c>
      <c r="DK120" s="52">
        <v>0</v>
      </c>
      <c r="DL120" s="52">
        <v>0</v>
      </c>
      <c r="DM120" s="52">
        <v>0</v>
      </c>
      <c r="DN120" s="52">
        <v>0</v>
      </c>
      <c r="DO120" s="52">
        <v>0</v>
      </c>
      <c r="DP120" s="52">
        <v>0</v>
      </c>
      <c r="DQ120" s="52">
        <v>0</v>
      </c>
      <c r="DR120" s="52">
        <v>0</v>
      </c>
      <c r="DS120" s="53">
        <v>0</v>
      </c>
      <c r="DT120" s="53">
        <v>0</v>
      </c>
      <c r="DU120" s="53">
        <v>0</v>
      </c>
      <c r="DV120" s="53">
        <v>0</v>
      </c>
      <c r="DW120" s="53">
        <v>0</v>
      </c>
      <c r="DX120" s="2"/>
      <c r="DY120" s="2"/>
      <c r="DZ120" s="46">
        <f t="shared" si="11"/>
        <v>0</v>
      </c>
      <c r="EA120" s="46">
        <f t="shared" si="12"/>
        <v>0</v>
      </c>
      <c r="EB120" s="46">
        <f t="shared" si="13"/>
        <v>0</v>
      </c>
      <c r="EC120" s="46">
        <f t="shared" si="14"/>
        <v>3725</v>
      </c>
      <c r="ED120" s="46">
        <f t="shared" si="15"/>
        <v>6440</v>
      </c>
      <c r="EE120" s="46">
        <f t="shared" si="16"/>
        <v>6617</v>
      </c>
      <c r="EF120" s="46">
        <f t="shared" si="17"/>
        <v>2605</v>
      </c>
      <c r="EG120" s="46">
        <f t="shared" si="18"/>
        <v>1988</v>
      </c>
      <c r="EH120" s="46">
        <f t="shared" si="19"/>
        <v>0</v>
      </c>
      <c r="EI120" s="46">
        <f t="shared" si="21"/>
        <v>0</v>
      </c>
    </row>
    <row r="121" spans="3:139" ht="12">
      <c r="C121" s="36" t="s">
        <v>280</v>
      </c>
      <c r="D121" s="36" t="s">
        <v>277</v>
      </c>
      <c r="E121" s="36" t="s">
        <v>278</v>
      </c>
      <c r="F121" s="38">
        <f t="shared" si="20"/>
        <v>17895</v>
      </c>
      <c r="G121" s="37" t="s">
        <v>225</v>
      </c>
      <c r="H121" s="47"/>
      <c r="I121" s="48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8"/>
      <c r="U121" s="48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8"/>
      <c r="AG121" s="48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>
        <v>1180</v>
      </c>
      <c r="BA121" s="49">
        <v>1300</v>
      </c>
      <c r="BB121" s="49">
        <v>0</v>
      </c>
      <c r="BC121" s="49">
        <v>500</v>
      </c>
      <c r="BD121" s="49">
        <v>300</v>
      </c>
      <c r="BE121" s="49">
        <v>500</v>
      </c>
      <c r="BF121" s="49">
        <v>900</v>
      </c>
      <c r="BG121" s="49">
        <v>100</v>
      </c>
      <c r="BH121" s="49">
        <v>400</v>
      </c>
      <c r="BI121" s="49">
        <v>160</v>
      </c>
      <c r="BJ121" s="49">
        <v>500</v>
      </c>
      <c r="BK121" s="49">
        <v>180</v>
      </c>
      <c r="BL121" s="49">
        <v>680</v>
      </c>
      <c r="BM121" s="49">
        <v>440</v>
      </c>
      <c r="BN121" s="49">
        <v>380</v>
      </c>
      <c r="BO121" s="49"/>
      <c r="BP121" s="50">
        <v>1160</v>
      </c>
      <c r="BQ121" s="50">
        <v>80</v>
      </c>
      <c r="BR121" s="50">
        <v>720</v>
      </c>
      <c r="BS121" s="50">
        <v>1500</v>
      </c>
      <c r="BT121" s="50">
        <v>0</v>
      </c>
      <c r="BU121" s="50">
        <v>0</v>
      </c>
      <c r="BV121" s="50">
        <v>1000</v>
      </c>
      <c r="BW121" s="50">
        <v>400</v>
      </c>
      <c r="BX121" s="50">
        <v>160</v>
      </c>
      <c r="BY121" s="50">
        <v>160</v>
      </c>
      <c r="BZ121" s="50"/>
      <c r="CA121" s="50">
        <v>160</v>
      </c>
      <c r="CB121" s="50">
        <v>1000</v>
      </c>
      <c r="CC121" s="50">
        <v>200</v>
      </c>
      <c r="CD121" s="50">
        <v>83</v>
      </c>
      <c r="CE121" s="50">
        <v>177</v>
      </c>
      <c r="CF121" s="50">
        <v>22</v>
      </c>
      <c r="CG121" s="50">
        <v>340</v>
      </c>
      <c r="CH121" s="50">
        <v>199</v>
      </c>
      <c r="CI121" s="50">
        <v>202</v>
      </c>
      <c r="CJ121" s="50">
        <v>396</v>
      </c>
      <c r="CK121" s="50">
        <v>131</v>
      </c>
      <c r="CL121" s="50">
        <v>355</v>
      </c>
      <c r="CM121" s="50">
        <v>197</v>
      </c>
      <c r="CN121" s="51">
        <v>146</v>
      </c>
      <c r="CO121" s="51">
        <v>365</v>
      </c>
      <c r="CP121" s="51">
        <v>356</v>
      </c>
      <c r="CQ121" s="51">
        <v>592</v>
      </c>
      <c r="CR121" s="51">
        <v>274</v>
      </c>
      <c r="CS121" s="51">
        <v>-2</v>
      </c>
      <c r="CT121" s="51">
        <v>0</v>
      </c>
      <c r="CU121" s="51">
        <v>0</v>
      </c>
      <c r="CV121" s="51">
        <v>2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0</v>
      </c>
      <c r="DE121" s="51">
        <v>0</v>
      </c>
      <c r="DF121" s="52">
        <v>0</v>
      </c>
      <c r="DG121" s="52">
        <v>0</v>
      </c>
      <c r="DH121" s="52">
        <v>0</v>
      </c>
      <c r="DI121" s="52">
        <v>0</v>
      </c>
      <c r="DJ121" s="52">
        <v>0</v>
      </c>
      <c r="DK121" s="52">
        <v>0</v>
      </c>
      <c r="DL121" s="52">
        <v>0</v>
      </c>
      <c r="DM121" s="52">
        <v>0</v>
      </c>
      <c r="DN121" s="52">
        <v>0</v>
      </c>
      <c r="DO121" s="52">
        <v>0</v>
      </c>
      <c r="DP121" s="52">
        <v>0</v>
      </c>
      <c r="DQ121" s="52">
        <v>0</v>
      </c>
      <c r="DR121" s="52">
        <v>0</v>
      </c>
      <c r="DS121" s="53">
        <v>0</v>
      </c>
      <c r="DT121" s="53">
        <v>0</v>
      </c>
      <c r="DU121" s="53">
        <v>0</v>
      </c>
      <c r="DV121" s="53">
        <v>0</v>
      </c>
      <c r="DW121" s="53">
        <v>0</v>
      </c>
      <c r="DX121" s="2"/>
      <c r="DY121" s="2"/>
      <c r="DZ121" s="46">
        <f t="shared" si="11"/>
        <v>0</v>
      </c>
      <c r="EA121" s="46">
        <f t="shared" si="12"/>
        <v>0</v>
      </c>
      <c r="EB121" s="46">
        <f t="shared" si="13"/>
        <v>0</v>
      </c>
      <c r="EC121" s="46">
        <f t="shared" si="14"/>
        <v>2980</v>
      </c>
      <c r="ED121" s="46">
        <f t="shared" si="15"/>
        <v>4540</v>
      </c>
      <c r="EE121" s="46">
        <f t="shared" si="16"/>
        <v>5340</v>
      </c>
      <c r="EF121" s="46">
        <f t="shared" si="17"/>
        <v>3302</v>
      </c>
      <c r="EG121" s="46">
        <f t="shared" si="18"/>
        <v>1733</v>
      </c>
      <c r="EH121" s="46">
        <f t="shared" si="19"/>
        <v>0</v>
      </c>
      <c r="EI121" s="46">
        <f t="shared" si="21"/>
        <v>0</v>
      </c>
    </row>
    <row r="122" spans="3:139" ht="12">
      <c r="C122" s="36" t="s">
        <v>281</v>
      </c>
      <c r="D122" s="36" t="s">
        <v>273</v>
      </c>
      <c r="E122" s="36" t="s">
        <v>274</v>
      </c>
      <c r="F122" s="38">
        <f t="shared" si="20"/>
        <v>546</v>
      </c>
      <c r="G122" s="37" t="s">
        <v>225</v>
      </c>
      <c r="H122" s="47"/>
      <c r="I122" s="48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8"/>
      <c r="U122" s="48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8"/>
      <c r="AG122" s="48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>
        <v>100</v>
      </c>
      <c r="BI122" s="49">
        <v>0</v>
      </c>
      <c r="BJ122" s="49"/>
      <c r="BK122" s="49">
        <v>40</v>
      </c>
      <c r="BL122" s="49">
        <v>160</v>
      </c>
      <c r="BM122" s="49"/>
      <c r="BN122" s="49">
        <v>0</v>
      </c>
      <c r="BO122" s="49"/>
      <c r="BP122" s="50">
        <v>0</v>
      </c>
      <c r="BQ122" s="50">
        <v>0</v>
      </c>
      <c r="BR122" s="50"/>
      <c r="BS122" s="50">
        <v>0</v>
      </c>
      <c r="BT122" s="50">
        <v>0</v>
      </c>
      <c r="BU122" s="50">
        <v>0</v>
      </c>
      <c r="BV122" s="50"/>
      <c r="BW122" s="50">
        <v>0</v>
      </c>
      <c r="BX122" s="50"/>
      <c r="BY122" s="50"/>
      <c r="BZ122" s="50"/>
      <c r="CA122" s="50">
        <v>0</v>
      </c>
      <c r="CB122" s="50">
        <v>70</v>
      </c>
      <c r="CC122" s="50">
        <v>154</v>
      </c>
      <c r="CD122" s="50">
        <v>0</v>
      </c>
      <c r="CE122" s="50">
        <v>0</v>
      </c>
      <c r="CF122" s="50">
        <v>20</v>
      </c>
      <c r="CG122" s="50"/>
      <c r="CH122" s="50">
        <v>0</v>
      </c>
      <c r="CI122" s="50">
        <v>2</v>
      </c>
      <c r="CJ122" s="50">
        <v>0</v>
      </c>
      <c r="CK122" s="50">
        <v>0</v>
      </c>
      <c r="CL122" s="50">
        <v>0</v>
      </c>
      <c r="CM122" s="50">
        <v>0</v>
      </c>
      <c r="CN122" s="51">
        <v>0</v>
      </c>
      <c r="CO122" s="51">
        <v>0</v>
      </c>
      <c r="CP122" s="51">
        <v>0</v>
      </c>
      <c r="CQ122" s="51">
        <v>0</v>
      </c>
      <c r="CR122" s="51">
        <v>0</v>
      </c>
      <c r="CS122" s="51">
        <v>0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0</v>
      </c>
      <c r="CZ122" s="51">
        <v>0</v>
      </c>
      <c r="DA122" s="51">
        <v>0</v>
      </c>
      <c r="DB122" s="51">
        <v>0</v>
      </c>
      <c r="DC122" s="51">
        <v>0</v>
      </c>
      <c r="DD122" s="51">
        <v>0</v>
      </c>
      <c r="DE122" s="51">
        <v>0</v>
      </c>
      <c r="DF122" s="52">
        <v>0</v>
      </c>
      <c r="DG122" s="52">
        <v>0</v>
      </c>
      <c r="DH122" s="52">
        <v>0</v>
      </c>
      <c r="DI122" s="52">
        <v>0</v>
      </c>
      <c r="DJ122" s="52">
        <v>0</v>
      </c>
      <c r="DK122" s="52">
        <v>0</v>
      </c>
      <c r="DL122" s="52">
        <v>0</v>
      </c>
      <c r="DM122" s="52">
        <v>0</v>
      </c>
      <c r="DN122" s="52">
        <v>0</v>
      </c>
      <c r="DO122" s="52">
        <v>0</v>
      </c>
      <c r="DP122" s="52">
        <v>0</v>
      </c>
      <c r="DQ122" s="52">
        <v>0</v>
      </c>
      <c r="DR122" s="52">
        <v>0</v>
      </c>
      <c r="DS122" s="53">
        <v>0</v>
      </c>
      <c r="DT122" s="53">
        <v>0</v>
      </c>
      <c r="DU122" s="53">
        <v>0</v>
      </c>
      <c r="DV122" s="53">
        <v>0</v>
      </c>
      <c r="DW122" s="53">
        <v>0</v>
      </c>
      <c r="DX122" s="2"/>
      <c r="DY122" s="2"/>
      <c r="DZ122" s="46">
        <f t="shared" si="11"/>
        <v>0</v>
      </c>
      <c r="EA122" s="46">
        <f t="shared" si="12"/>
        <v>0</v>
      </c>
      <c r="EB122" s="46">
        <f t="shared" si="13"/>
        <v>0</v>
      </c>
      <c r="EC122" s="46">
        <f t="shared" si="14"/>
        <v>0</v>
      </c>
      <c r="ED122" s="46">
        <f t="shared" si="15"/>
        <v>300</v>
      </c>
      <c r="EE122" s="46">
        <f t="shared" si="16"/>
        <v>0</v>
      </c>
      <c r="EF122" s="46">
        <f t="shared" si="17"/>
        <v>246</v>
      </c>
      <c r="EG122" s="46">
        <f t="shared" si="18"/>
        <v>0</v>
      </c>
      <c r="EH122" s="46">
        <f t="shared" si="19"/>
        <v>0</v>
      </c>
      <c r="EI122" s="46">
        <f t="shared" si="21"/>
        <v>0</v>
      </c>
    </row>
    <row r="123" spans="3:139" ht="12">
      <c r="C123" s="36" t="s">
        <v>282</v>
      </c>
      <c r="D123" s="36" t="s">
        <v>277</v>
      </c>
      <c r="E123" s="36" t="s">
        <v>278</v>
      </c>
      <c r="F123" s="38">
        <f t="shared" si="20"/>
        <v>13911</v>
      </c>
      <c r="G123" s="37" t="s">
        <v>225</v>
      </c>
      <c r="H123" s="47"/>
      <c r="I123" s="48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8"/>
      <c r="U123" s="48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8"/>
      <c r="AG123" s="48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>
        <v>20</v>
      </c>
      <c r="BN123" s="49">
        <v>0</v>
      </c>
      <c r="BO123" s="49">
        <v>20</v>
      </c>
      <c r="BP123" s="50">
        <v>1878</v>
      </c>
      <c r="BQ123" s="50">
        <v>2156</v>
      </c>
      <c r="BR123" s="50">
        <v>2900</v>
      </c>
      <c r="BS123" s="50">
        <v>1518</v>
      </c>
      <c r="BT123" s="50">
        <v>0</v>
      </c>
      <c r="BU123" s="50">
        <v>1000</v>
      </c>
      <c r="BV123" s="50">
        <v>160</v>
      </c>
      <c r="BW123" s="50">
        <v>1100</v>
      </c>
      <c r="BX123" s="50">
        <v>1540</v>
      </c>
      <c r="BY123" s="50">
        <v>1500</v>
      </c>
      <c r="BZ123" s="50">
        <v>40</v>
      </c>
      <c r="CA123" s="50">
        <v>0</v>
      </c>
      <c r="CB123" s="50">
        <v>0</v>
      </c>
      <c r="CC123" s="50">
        <v>-1</v>
      </c>
      <c r="CD123" s="50">
        <v>0</v>
      </c>
      <c r="CE123" s="50">
        <v>18</v>
      </c>
      <c r="CF123" s="50">
        <v>0</v>
      </c>
      <c r="CG123" s="50"/>
      <c r="CH123" s="50">
        <v>0</v>
      </c>
      <c r="CI123" s="50">
        <v>0</v>
      </c>
      <c r="CJ123" s="50">
        <v>0</v>
      </c>
      <c r="CK123" s="50">
        <v>0</v>
      </c>
      <c r="CL123" s="50">
        <v>14</v>
      </c>
      <c r="CM123" s="50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47</v>
      </c>
      <c r="CX123" s="51">
        <v>0</v>
      </c>
      <c r="CY123" s="51">
        <v>0</v>
      </c>
      <c r="CZ123" s="51">
        <v>0</v>
      </c>
      <c r="DA123" s="51">
        <v>1</v>
      </c>
      <c r="DB123" s="51">
        <v>0</v>
      </c>
      <c r="DC123" s="51">
        <v>0</v>
      </c>
      <c r="DD123" s="51">
        <v>0</v>
      </c>
      <c r="DE123" s="51">
        <v>0</v>
      </c>
      <c r="DF123" s="52">
        <v>0</v>
      </c>
      <c r="DG123" s="52">
        <v>0</v>
      </c>
      <c r="DH123" s="52">
        <v>0</v>
      </c>
      <c r="DI123" s="52">
        <v>0</v>
      </c>
      <c r="DJ123" s="52">
        <v>0</v>
      </c>
      <c r="DK123" s="52">
        <v>0</v>
      </c>
      <c r="DL123" s="52">
        <v>0</v>
      </c>
      <c r="DM123" s="52">
        <v>0</v>
      </c>
      <c r="DN123" s="52">
        <v>0</v>
      </c>
      <c r="DO123" s="52">
        <v>0</v>
      </c>
      <c r="DP123" s="52">
        <v>0</v>
      </c>
      <c r="DQ123" s="52">
        <v>0</v>
      </c>
      <c r="DR123" s="52">
        <v>0</v>
      </c>
      <c r="DS123" s="53">
        <v>0</v>
      </c>
      <c r="DT123" s="53">
        <v>0</v>
      </c>
      <c r="DU123" s="53">
        <v>0</v>
      </c>
      <c r="DV123" s="53">
        <v>0</v>
      </c>
      <c r="DW123" s="53">
        <v>0</v>
      </c>
      <c r="DX123" s="2"/>
      <c r="DY123" s="2"/>
      <c r="DZ123" s="46">
        <f t="shared" ref="DZ123:DZ136" si="22">SUM(H123:S123)</f>
        <v>0</v>
      </c>
      <c r="EA123" s="46">
        <f t="shared" ref="EA123:EA136" si="23">SUM(T123:AE123)</f>
        <v>0</v>
      </c>
      <c r="EB123" s="46">
        <f t="shared" ref="EB123:EB136" si="24">SUM(AF123:AQ123)</f>
        <v>0</v>
      </c>
      <c r="EC123" s="46">
        <f t="shared" ref="EC123:EC136" si="25">SUM(AR123:BC123)</f>
        <v>0</v>
      </c>
      <c r="ED123" s="46">
        <f t="shared" ref="ED123:ED136" si="26">SUM(BD123:BO123)</f>
        <v>40</v>
      </c>
      <c r="EE123" s="46">
        <f t="shared" ref="EE123:EE136" si="27">SUM(BP123:CA123)</f>
        <v>13792</v>
      </c>
      <c r="EF123" s="46">
        <f t="shared" ref="EF123:EF136" si="28">SUM(CB123:CM123)</f>
        <v>31</v>
      </c>
      <c r="EG123" s="46">
        <f t="shared" ref="EG123:EG136" si="29">SUM(CN123:CY123)</f>
        <v>47</v>
      </c>
      <c r="EH123" s="46">
        <f t="shared" si="19"/>
        <v>1</v>
      </c>
      <c r="EI123" s="46">
        <f t="shared" si="21"/>
        <v>0</v>
      </c>
    </row>
    <row r="124" spans="3:139" ht="12">
      <c r="C124" s="36" t="s">
        <v>283</v>
      </c>
      <c r="D124" s="36" t="s">
        <v>277</v>
      </c>
      <c r="E124" s="36" t="s">
        <v>278</v>
      </c>
      <c r="F124" s="38">
        <f t="shared" si="20"/>
        <v>59006</v>
      </c>
      <c r="G124" s="37" t="s">
        <v>225</v>
      </c>
      <c r="H124" s="47"/>
      <c r="I124" s="48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8"/>
      <c r="U124" s="48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8"/>
      <c r="AG124" s="48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50"/>
      <c r="BQ124" s="50"/>
      <c r="BR124" s="50">
        <v>10</v>
      </c>
      <c r="BS124" s="50">
        <v>400</v>
      </c>
      <c r="BT124" s="50">
        <v>0</v>
      </c>
      <c r="BU124" s="50">
        <v>100</v>
      </c>
      <c r="BV124" s="50">
        <v>400</v>
      </c>
      <c r="BW124" s="50">
        <v>500</v>
      </c>
      <c r="BX124" s="50">
        <v>700</v>
      </c>
      <c r="BY124" s="50">
        <v>640</v>
      </c>
      <c r="BZ124" s="50">
        <v>640</v>
      </c>
      <c r="CA124" s="50">
        <v>160</v>
      </c>
      <c r="CB124" s="50">
        <v>460</v>
      </c>
      <c r="CC124" s="50">
        <v>360</v>
      </c>
      <c r="CD124" s="50">
        <v>1461</v>
      </c>
      <c r="CE124" s="50">
        <v>1039</v>
      </c>
      <c r="CF124" s="50">
        <v>937</v>
      </c>
      <c r="CG124" s="50">
        <v>1152</v>
      </c>
      <c r="CH124" s="50">
        <v>913</v>
      </c>
      <c r="CI124" s="50">
        <v>1033</v>
      </c>
      <c r="CJ124" s="50">
        <v>1085</v>
      </c>
      <c r="CK124" s="50">
        <v>807</v>
      </c>
      <c r="CL124" s="50">
        <v>828</v>
      </c>
      <c r="CM124" s="50">
        <v>608</v>
      </c>
      <c r="CN124" s="51">
        <v>505</v>
      </c>
      <c r="CO124" s="51">
        <v>1771</v>
      </c>
      <c r="CP124" s="51">
        <v>1062</v>
      </c>
      <c r="CQ124" s="51">
        <v>3003</v>
      </c>
      <c r="CR124" s="51">
        <v>2042</v>
      </c>
      <c r="CS124" s="51">
        <v>488</v>
      </c>
      <c r="CT124" s="51">
        <v>2696</v>
      </c>
      <c r="CU124" s="51">
        <v>1160</v>
      </c>
      <c r="CV124" s="51">
        <v>1520</v>
      </c>
      <c r="CW124" s="51">
        <v>1941</v>
      </c>
      <c r="CX124" s="51">
        <v>1120</v>
      </c>
      <c r="CY124" s="51">
        <v>1060</v>
      </c>
      <c r="CZ124" s="51">
        <v>2300</v>
      </c>
      <c r="DA124" s="51">
        <v>1397</v>
      </c>
      <c r="DB124" s="51">
        <v>1669</v>
      </c>
      <c r="DC124" s="51">
        <v>2737</v>
      </c>
      <c r="DD124" s="51">
        <v>1279</v>
      </c>
      <c r="DE124" s="51">
        <v>1673</v>
      </c>
      <c r="DF124" s="52">
        <v>2111</v>
      </c>
      <c r="DG124" s="52">
        <v>755</v>
      </c>
      <c r="DH124" s="52">
        <v>181</v>
      </c>
      <c r="DI124" s="52">
        <v>1877</v>
      </c>
      <c r="DJ124" s="52">
        <v>812</v>
      </c>
      <c r="DK124" s="52">
        <v>1409</v>
      </c>
      <c r="DL124" s="52">
        <v>1141</v>
      </c>
      <c r="DM124" s="52">
        <v>2709</v>
      </c>
      <c r="DN124" s="52">
        <v>1285</v>
      </c>
      <c r="DO124" s="52">
        <v>712</v>
      </c>
      <c r="DP124" s="52">
        <v>1034</v>
      </c>
      <c r="DQ124" s="52">
        <v>1324</v>
      </c>
      <c r="DR124" s="52">
        <v>1376</v>
      </c>
      <c r="DS124" s="53">
        <v>1117</v>
      </c>
      <c r="DT124" s="53">
        <v>1117</v>
      </c>
      <c r="DU124" s="53">
        <v>670</v>
      </c>
      <c r="DV124" s="53">
        <v>514</v>
      </c>
      <c r="DW124" s="53">
        <v>324</v>
      </c>
      <c r="DX124" s="2"/>
      <c r="DY124" s="2"/>
      <c r="DZ124" s="46">
        <f t="shared" si="22"/>
        <v>0</v>
      </c>
      <c r="EA124" s="46">
        <f t="shared" si="23"/>
        <v>0</v>
      </c>
      <c r="EB124" s="46">
        <f t="shared" si="24"/>
        <v>0</v>
      </c>
      <c r="EC124" s="46">
        <f t="shared" si="25"/>
        <v>0</v>
      </c>
      <c r="ED124" s="46">
        <f t="shared" si="26"/>
        <v>0</v>
      </c>
      <c r="EE124" s="46">
        <f t="shared" si="27"/>
        <v>3550</v>
      </c>
      <c r="EF124" s="46">
        <f t="shared" si="28"/>
        <v>10683</v>
      </c>
      <c r="EG124" s="46">
        <f t="shared" si="29"/>
        <v>18368</v>
      </c>
      <c r="EH124" s="46">
        <f t="shared" si="19"/>
        <v>16791</v>
      </c>
      <c r="EI124" s="46">
        <f t="shared" si="21"/>
        <v>5847</v>
      </c>
    </row>
    <row r="125" spans="3:139" ht="12">
      <c r="C125" s="36" t="s">
        <v>284</v>
      </c>
      <c r="D125" s="36" t="s">
        <v>277</v>
      </c>
      <c r="E125" s="36" t="s">
        <v>278</v>
      </c>
      <c r="F125" s="38">
        <f t="shared" si="20"/>
        <v>1829</v>
      </c>
      <c r="G125" s="37" t="s">
        <v>225</v>
      </c>
      <c r="H125" s="47"/>
      <c r="I125" s="48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8"/>
      <c r="U125" s="48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8"/>
      <c r="AG125" s="48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50"/>
      <c r="BQ125" s="50"/>
      <c r="BR125" s="50"/>
      <c r="BS125" s="50"/>
      <c r="BT125" s="50"/>
      <c r="BU125" s="50"/>
      <c r="BV125" s="50"/>
      <c r="BW125" s="50"/>
      <c r="BX125" s="50">
        <v>18</v>
      </c>
      <c r="BY125" s="50">
        <v>100</v>
      </c>
      <c r="BZ125" s="50"/>
      <c r="CA125" s="50">
        <v>0</v>
      </c>
      <c r="CB125" s="50">
        <v>400</v>
      </c>
      <c r="CC125" s="50">
        <v>60</v>
      </c>
      <c r="CD125" s="50">
        <v>0</v>
      </c>
      <c r="CE125" s="50">
        <v>0</v>
      </c>
      <c r="CF125" s="50">
        <v>421</v>
      </c>
      <c r="CG125" s="50">
        <v>399</v>
      </c>
      <c r="CH125" s="50">
        <v>389</v>
      </c>
      <c r="CI125" s="50">
        <v>15</v>
      </c>
      <c r="CJ125" s="50">
        <v>7</v>
      </c>
      <c r="CK125" s="50">
        <v>0</v>
      </c>
      <c r="CL125" s="50">
        <v>0</v>
      </c>
      <c r="CM125" s="50">
        <v>0</v>
      </c>
      <c r="CN125" s="51">
        <v>0</v>
      </c>
      <c r="CO125" s="51">
        <v>-102</v>
      </c>
      <c r="CP125" s="51">
        <v>102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20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2">
        <v>0</v>
      </c>
      <c r="DG125" s="52">
        <v>0</v>
      </c>
      <c r="DH125" s="52">
        <v>0</v>
      </c>
      <c r="DI125" s="52">
        <v>0</v>
      </c>
      <c r="DJ125" s="52">
        <v>0</v>
      </c>
      <c r="DK125" s="52">
        <v>0</v>
      </c>
      <c r="DL125" s="52">
        <v>0</v>
      </c>
      <c r="DM125" s="52">
        <v>0</v>
      </c>
      <c r="DN125" s="52">
        <v>0</v>
      </c>
      <c r="DO125" s="52">
        <v>0</v>
      </c>
      <c r="DP125" s="52">
        <v>0</v>
      </c>
      <c r="DQ125" s="52">
        <v>0</v>
      </c>
      <c r="DR125" s="52">
        <v>0</v>
      </c>
      <c r="DS125" s="53">
        <v>0</v>
      </c>
      <c r="DT125" s="53">
        <v>0</v>
      </c>
      <c r="DU125" s="53">
        <v>0</v>
      </c>
      <c r="DV125" s="53">
        <v>0</v>
      </c>
      <c r="DW125" s="53">
        <v>0</v>
      </c>
      <c r="DX125" s="2"/>
      <c r="DY125" s="2"/>
      <c r="DZ125" s="46">
        <f t="shared" si="22"/>
        <v>0</v>
      </c>
      <c r="EA125" s="46">
        <f t="shared" si="23"/>
        <v>0</v>
      </c>
      <c r="EB125" s="46">
        <f t="shared" si="24"/>
        <v>0</v>
      </c>
      <c r="EC125" s="46">
        <f t="shared" si="25"/>
        <v>0</v>
      </c>
      <c r="ED125" s="46">
        <f t="shared" si="26"/>
        <v>0</v>
      </c>
      <c r="EE125" s="46">
        <f t="shared" si="27"/>
        <v>118</v>
      </c>
      <c r="EF125" s="46">
        <f t="shared" si="28"/>
        <v>1691</v>
      </c>
      <c r="EG125" s="46">
        <f t="shared" si="29"/>
        <v>20</v>
      </c>
      <c r="EH125" s="46">
        <f t="shared" si="19"/>
        <v>0</v>
      </c>
      <c r="EI125" s="46">
        <f t="shared" si="21"/>
        <v>0</v>
      </c>
    </row>
    <row r="126" spans="3:139" ht="12">
      <c r="C126" s="36" t="s">
        <v>285</v>
      </c>
      <c r="D126" s="36" t="s">
        <v>277</v>
      </c>
      <c r="E126" s="36" t="s">
        <v>278</v>
      </c>
      <c r="F126" s="38">
        <f t="shared" si="20"/>
        <v>77229</v>
      </c>
      <c r="G126" s="37" t="s">
        <v>225</v>
      </c>
      <c r="H126" s="47"/>
      <c r="I126" s="48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8"/>
      <c r="U126" s="48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8"/>
      <c r="AG126" s="48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50"/>
      <c r="BQ126" s="50"/>
      <c r="BR126" s="50"/>
      <c r="BS126" s="50"/>
      <c r="BT126" s="50"/>
      <c r="BU126" s="50"/>
      <c r="BV126" s="50"/>
      <c r="BW126" s="50"/>
      <c r="BX126" s="50">
        <v>11</v>
      </c>
      <c r="BY126" s="50"/>
      <c r="BZ126" s="50">
        <v>1760</v>
      </c>
      <c r="CA126" s="50">
        <v>980</v>
      </c>
      <c r="CB126" s="50">
        <v>2440</v>
      </c>
      <c r="CC126" s="50">
        <v>2779</v>
      </c>
      <c r="CD126" s="50">
        <v>1883</v>
      </c>
      <c r="CE126" s="50">
        <v>1818</v>
      </c>
      <c r="CF126" s="50">
        <v>1438</v>
      </c>
      <c r="CG126" s="50">
        <v>1320</v>
      </c>
      <c r="CH126" s="50">
        <v>1090</v>
      </c>
      <c r="CI126" s="50">
        <v>1411</v>
      </c>
      <c r="CJ126" s="50">
        <v>1830</v>
      </c>
      <c r="CK126" s="50">
        <v>1779</v>
      </c>
      <c r="CL126" s="50">
        <v>928</v>
      </c>
      <c r="CM126" s="50">
        <v>791</v>
      </c>
      <c r="CN126" s="51">
        <v>1896</v>
      </c>
      <c r="CO126" s="51">
        <v>1372</v>
      </c>
      <c r="CP126" s="51">
        <v>1177</v>
      </c>
      <c r="CQ126" s="51">
        <v>1204</v>
      </c>
      <c r="CR126" s="51">
        <v>1771</v>
      </c>
      <c r="CS126" s="51">
        <v>1627</v>
      </c>
      <c r="CT126" s="51">
        <v>2901</v>
      </c>
      <c r="CU126" s="51">
        <v>60</v>
      </c>
      <c r="CV126" s="51">
        <v>921</v>
      </c>
      <c r="CW126" s="51">
        <v>1400</v>
      </c>
      <c r="CX126" s="51">
        <v>1420</v>
      </c>
      <c r="CY126" s="51">
        <v>820</v>
      </c>
      <c r="CZ126" s="51">
        <v>720</v>
      </c>
      <c r="DA126" s="51">
        <v>849</v>
      </c>
      <c r="DB126" s="51">
        <v>1716</v>
      </c>
      <c r="DC126" s="51">
        <v>1201</v>
      </c>
      <c r="DD126" s="51">
        <v>2162</v>
      </c>
      <c r="DE126" s="51">
        <v>1702</v>
      </c>
      <c r="DF126" s="52">
        <v>4996</v>
      </c>
      <c r="DG126" s="52">
        <v>1114</v>
      </c>
      <c r="DH126" s="52">
        <v>2071</v>
      </c>
      <c r="DI126" s="52">
        <v>2956</v>
      </c>
      <c r="DJ126" s="52">
        <v>2862</v>
      </c>
      <c r="DK126" s="52">
        <v>3312</v>
      </c>
      <c r="DL126" s="52">
        <v>3692</v>
      </c>
      <c r="DM126" s="52">
        <v>1164</v>
      </c>
      <c r="DN126" s="52">
        <v>686</v>
      </c>
      <c r="DO126" s="52">
        <v>1116</v>
      </c>
      <c r="DP126" s="52">
        <v>1432</v>
      </c>
      <c r="DQ126" s="52">
        <v>4651</v>
      </c>
      <c r="DR126" s="52">
        <v>953</v>
      </c>
      <c r="DS126" s="53">
        <v>1547</v>
      </c>
      <c r="DT126" s="53">
        <v>1547</v>
      </c>
      <c r="DU126" s="53">
        <v>928</v>
      </c>
      <c r="DV126" s="53">
        <v>712</v>
      </c>
      <c r="DW126" s="53">
        <v>449</v>
      </c>
      <c r="DX126" s="2"/>
      <c r="DY126" s="2"/>
      <c r="DZ126" s="46">
        <f t="shared" si="22"/>
        <v>0</v>
      </c>
      <c r="EA126" s="46">
        <f t="shared" si="23"/>
        <v>0</v>
      </c>
      <c r="EB126" s="46">
        <f t="shared" si="24"/>
        <v>0</v>
      </c>
      <c r="EC126" s="46">
        <f t="shared" si="25"/>
        <v>0</v>
      </c>
      <c r="ED126" s="46">
        <f t="shared" si="26"/>
        <v>0</v>
      </c>
      <c r="EE126" s="46">
        <f t="shared" si="27"/>
        <v>2751</v>
      </c>
      <c r="EF126" s="46">
        <f t="shared" si="28"/>
        <v>19507</v>
      </c>
      <c r="EG126" s="46">
        <f t="shared" si="29"/>
        <v>16569</v>
      </c>
      <c r="EH126" s="46">
        <f t="shared" si="19"/>
        <v>22349</v>
      </c>
      <c r="EI126" s="46">
        <f t="shared" si="21"/>
        <v>6658</v>
      </c>
    </row>
    <row r="127" spans="3:139" ht="12">
      <c r="C127" s="36" t="s">
        <v>286</v>
      </c>
      <c r="D127" s="36" t="s">
        <v>277</v>
      </c>
      <c r="E127" s="36" t="s">
        <v>278</v>
      </c>
      <c r="F127" s="38">
        <f t="shared" si="20"/>
        <v>21897</v>
      </c>
      <c r="G127" s="37" t="s">
        <v>225</v>
      </c>
      <c r="H127" s="47"/>
      <c r="I127" s="48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8"/>
      <c r="U127" s="48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8"/>
      <c r="AG127" s="48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>
        <v>1320</v>
      </c>
      <c r="CC127" s="50">
        <v>479</v>
      </c>
      <c r="CD127" s="50">
        <v>376</v>
      </c>
      <c r="CE127" s="50">
        <v>29</v>
      </c>
      <c r="CF127" s="50">
        <v>700</v>
      </c>
      <c r="CG127" s="50">
        <v>578</v>
      </c>
      <c r="CH127" s="50">
        <v>0</v>
      </c>
      <c r="CI127" s="50">
        <v>860</v>
      </c>
      <c r="CJ127" s="50">
        <v>0</v>
      </c>
      <c r="CK127" s="50">
        <v>0</v>
      </c>
      <c r="CL127" s="50">
        <v>0</v>
      </c>
      <c r="CM127" s="50">
        <v>530</v>
      </c>
      <c r="CN127" s="51">
        <v>896</v>
      </c>
      <c r="CO127" s="51">
        <v>910</v>
      </c>
      <c r="CP127" s="51">
        <v>605</v>
      </c>
      <c r="CQ127" s="51">
        <v>637</v>
      </c>
      <c r="CR127" s="51">
        <v>819</v>
      </c>
      <c r="CS127" s="51">
        <v>560</v>
      </c>
      <c r="CT127" s="51">
        <v>1241</v>
      </c>
      <c r="CU127" s="51">
        <v>340</v>
      </c>
      <c r="CV127" s="51">
        <v>475</v>
      </c>
      <c r="CW127" s="51">
        <v>120</v>
      </c>
      <c r="CX127" s="51">
        <v>278</v>
      </c>
      <c r="CY127" s="51">
        <v>460</v>
      </c>
      <c r="CZ127" s="51">
        <v>1440</v>
      </c>
      <c r="DA127" s="51">
        <v>732</v>
      </c>
      <c r="DB127" s="51">
        <v>1072</v>
      </c>
      <c r="DC127" s="51">
        <v>47</v>
      </c>
      <c r="DD127" s="51">
        <v>696</v>
      </c>
      <c r="DE127" s="51">
        <v>990</v>
      </c>
      <c r="DF127" s="52">
        <v>39</v>
      </c>
      <c r="DG127" s="52">
        <v>-1</v>
      </c>
      <c r="DH127" s="52">
        <v>417</v>
      </c>
      <c r="DI127" s="52">
        <v>687</v>
      </c>
      <c r="DJ127" s="52">
        <v>654</v>
      </c>
      <c r="DK127" s="52">
        <v>853</v>
      </c>
      <c r="DL127" s="52">
        <v>1158</v>
      </c>
      <c r="DM127" s="52">
        <v>32</v>
      </c>
      <c r="DN127" s="52">
        <v>309</v>
      </c>
      <c r="DO127" s="52">
        <v>9</v>
      </c>
      <c r="DP127" s="52">
        <v>518</v>
      </c>
      <c r="DQ127" s="52">
        <v>32</v>
      </c>
      <c r="DR127" s="52">
        <v>0</v>
      </c>
      <c r="DS127" s="53">
        <v>559</v>
      </c>
      <c r="DT127" s="53">
        <v>559</v>
      </c>
      <c r="DU127" s="53">
        <v>335</v>
      </c>
      <c r="DV127" s="53">
        <v>257</v>
      </c>
      <c r="DW127" s="53">
        <v>162</v>
      </c>
      <c r="DX127" s="2"/>
      <c r="DY127" s="2"/>
      <c r="DZ127" s="46">
        <f t="shared" si="22"/>
        <v>0</v>
      </c>
      <c r="EA127" s="46">
        <f t="shared" si="23"/>
        <v>0</v>
      </c>
      <c r="EB127" s="46">
        <f t="shared" si="24"/>
        <v>0</v>
      </c>
      <c r="EC127" s="46">
        <f t="shared" si="25"/>
        <v>0</v>
      </c>
      <c r="ED127" s="46">
        <f t="shared" si="26"/>
        <v>0</v>
      </c>
      <c r="EE127" s="46">
        <f t="shared" si="27"/>
        <v>0</v>
      </c>
      <c r="EF127" s="46">
        <f t="shared" si="28"/>
        <v>4872</v>
      </c>
      <c r="EG127" s="46">
        <f t="shared" si="29"/>
        <v>7341</v>
      </c>
      <c r="EH127" s="46">
        <f t="shared" si="19"/>
        <v>6773</v>
      </c>
      <c r="EI127" s="46">
        <f t="shared" si="21"/>
        <v>1508</v>
      </c>
    </row>
    <row r="128" spans="3:139" ht="12">
      <c r="C128" s="36" t="s">
        <v>287</v>
      </c>
      <c r="D128" s="36" t="s">
        <v>277</v>
      </c>
      <c r="E128" s="36" t="s">
        <v>278</v>
      </c>
      <c r="F128" s="38">
        <f t="shared" si="20"/>
        <v>30</v>
      </c>
      <c r="G128" s="37" t="s">
        <v>225</v>
      </c>
      <c r="H128" s="47"/>
      <c r="I128" s="48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8"/>
      <c r="U128" s="48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8"/>
      <c r="AG128" s="48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>
        <v>30</v>
      </c>
      <c r="CF128" s="50">
        <v>0</v>
      </c>
      <c r="CG128" s="50"/>
      <c r="CH128" s="50">
        <v>0</v>
      </c>
      <c r="CI128" s="50">
        <v>0</v>
      </c>
      <c r="CJ128" s="50">
        <v>0</v>
      </c>
      <c r="CK128" s="50">
        <v>0</v>
      </c>
      <c r="CL128" s="50">
        <v>0</v>
      </c>
      <c r="CM128" s="50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</v>
      </c>
      <c r="DC128" s="51">
        <v>0</v>
      </c>
      <c r="DD128" s="51">
        <v>0</v>
      </c>
      <c r="DE128" s="51">
        <v>0</v>
      </c>
      <c r="DF128" s="52">
        <v>0</v>
      </c>
      <c r="DG128" s="52">
        <v>0</v>
      </c>
      <c r="DH128" s="52">
        <v>0</v>
      </c>
      <c r="DI128" s="52">
        <v>0</v>
      </c>
      <c r="DJ128" s="52">
        <v>0</v>
      </c>
      <c r="DK128" s="52">
        <v>0</v>
      </c>
      <c r="DL128" s="52">
        <v>0</v>
      </c>
      <c r="DM128" s="52">
        <v>0</v>
      </c>
      <c r="DN128" s="52">
        <v>0</v>
      </c>
      <c r="DO128" s="52">
        <v>0</v>
      </c>
      <c r="DP128" s="52">
        <v>0</v>
      </c>
      <c r="DQ128" s="52">
        <v>0</v>
      </c>
      <c r="DR128" s="52">
        <v>0</v>
      </c>
      <c r="DS128" s="53">
        <v>0</v>
      </c>
      <c r="DT128" s="53">
        <v>0</v>
      </c>
      <c r="DU128" s="53">
        <v>0</v>
      </c>
      <c r="DV128" s="53">
        <v>0</v>
      </c>
      <c r="DW128" s="53">
        <v>0</v>
      </c>
      <c r="DX128" s="2"/>
      <c r="DY128" s="2"/>
      <c r="DZ128" s="46">
        <f t="shared" si="22"/>
        <v>0</v>
      </c>
      <c r="EA128" s="46">
        <f t="shared" si="23"/>
        <v>0</v>
      </c>
      <c r="EB128" s="46">
        <f t="shared" si="24"/>
        <v>0</v>
      </c>
      <c r="EC128" s="46">
        <f t="shared" si="25"/>
        <v>0</v>
      </c>
      <c r="ED128" s="46">
        <f t="shared" si="26"/>
        <v>0</v>
      </c>
      <c r="EE128" s="46">
        <f t="shared" si="27"/>
        <v>0</v>
      </c>
      <c r="EF128" s="46">
        <f t="shared" si="28"/>
        <v>30</v>
      </c>
      <c r="EG128" s="46">
        <f t="shared" si="29"/>
        <v>0</v>
      </c>
      <c r="EH128" s="46">
        <f t="shared" si="19"/>
        <v>0</v>
      </c>
      <c r="EI128" s="46">
        <f t="shared" si="21"/>
        <v>0</v>
      </c>
    </row>
    <row r="129" spans="3:139" ht="12">
      <c r="C129" s="36" t="s">
        <v>288</v>
      </c>
      <c r="D129" s="36" t="s">
        <v>277</v>
      </c>
      <c r="E129" s="36" t="s">
        <v>278</v>
      </c>
      <c r="F129" s="38">
        <f t="shared" si="20"/>
        <v>949</v>
      </c>
      <c r="G129" s="37" t="s">
        <v>225</v>
      </c>
      <c r="H129" s="47"/>
      <c r="I129" s="48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8"/>
      <c r="U129" s="48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8"/>
      <c r="AG129" s="48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>
        <v>30</v>
      </c>
      <c r="CF129" s="50">
        <v>406</v>
      </c>
      <c r="CG129" s="50">
        <v>120</v>
      </c>
      <c r="CH129" s="50">
        <v>-21</v>
      </c>
      <c r="CI129" s="50">
        <v>114</v>
      </c>
      <c r="CJ129" s="50">
        <v>-1</v>
      </c>
      <c r="CK129" s="50">
        <v>26</v>
      </c>
      <c r="CL129" s="50">
        <v>0</v>
      </c>
      <c r="CM129" s="50">
        <v>227</v>
      </c>
      <c r="CN129" s="51">
        <v>46</v>
      </c>
      <c r="CO129" s="51">
        <v>0</v>
      </c>
      <c r="CP129" s="51">
        <v>0</v>
      </c>
      <c r="CQ129" s="51">
        <v>0</v>
      </c>
      <c r="CR129" s="51">
        <v>0</v>
      </c>
      <c r="CS129" s="51">
        <v>0</v>
      </c>
      <c r="CT129" s="51">
        <v>0</v>
      </c>
      <c r="CU129" s="51">
        <v>0</v>
      </c>
      <c r="CV129" s="51">
        <v>0</v>
      </c>
      <c r="CW129" s="51">
        <v>0</v>
      </c>
      <c r="CX129" s="51">
        <v>0</v>
      </c>
      <c r="CY129" s="51">
        <v>0</v>
      </c>
      <c r="CZ129" s="51">
        <v>0</v>
      </c>
      <c r="DA129" s="51">
        <v>2</v>
      </c>
      <c r="DB129" s="51">
        <v>0</v>
      </c>
      <c r="DC129" s="51">
        <v>0</v>
      </c>
      <c r="DD129" s="51">
        <v>0</v>
      </c>
      <c r="DE129" s="51">
        <v>0</v>
      </c>
      <c r="DF129" s="52">
        <v>0</v>
      </c>
      <c r="DG129" s="52">
        <v>0</v>
      </c>
      <c r="DH129" s="52">
        <v>0</v>
      </c>
      <c r="DI129" s="52">
        <v>0</v>
      </c>
      <c r="DJ129" s="52">
        <v>0</v>
      </c>
      <c r="DK129" s="52">
        <v>0</v>
      </c>
      <c r="DL129" s="52">
        <v>0</v>
      </c>
      <c r="DM129" s="52">
        <v>0</v>
      </c>
      <c r="DN129" s="52">
        <v>0</v>
      </c>
      <c r="DO129" s="52">
        <v>0</v>
      </c>
      <c r="DP129" s="52">
        <v>0</v>
      </c>
      <c r="DQ129" s="52">
        <v>0</v>
      </c>
      <c r="DR129" s="52">
        <v>0</v>
      </c>
      <c r="DS129" s="53">
        <v>0</v>
      </c>
      <c r="DT129" s="53">
        <v>0</v>
      </c>
      <c r="DU129" s="53">
        <v>0</v>
      </c>
      <c r="DV129" s="53">
        <v>0</v>
      </c>
      <c r="DW129" s="53">
        <v>0</v>
      </c>
      <c r="DX129" s="2"/>
      <c r="DY129" s="2"/>
      <c r="DZ129" s="46">
        <f t="shared" si="22"/>
        <v>0</v>
      </c>
      <c r="EA129" s="46">
        <f t="shared" si="23"/>
        <v>0</v>
      </c>
      <c r="EB129" s="46">
        <f t="shared" si="24"/>
        <v>0</v>
      </c>
      <c r="EC129" s="46">
        <f t="shared" si="25"/>
        <v>0</v>
      </c>
      <c r="ED129" s="46">
        <f t="shared" si="26"/>
        <v>0</v>
      </c>
      <c r="EE129" s="46">
        <f t="shared" si="27"/>
        <v>0</v>
      </c>
      <c r="EF129" s="46">
        <f t="shared" si="28"/>
        <v>901</v>
      </c>
      <c r="EG129" s="46">
        <f t="shared" si="29"/>
        <v>46</v>
      </c>
      <c r="EH129" s="46">
        <f t="shared" si="19"/>
        <v>2</v>
      </c>
      <c r="EI129" s="46">
        <f t="shared" si="21"/>
        <v>0</v>
      </c>
    </row>
    <row r="130" spans="3:139" ht="12">
      <c r="C130" s="36" t="s">
        <v>289</v>
      </c>
      <c r="D130" s="36" t="s">
        <v>277</v>
      </c>
      <c r="E130" s="36" t="s">
        <v>278</v>
      </c>
      <c r="F130" s="38">
        <f t="shared" si="20"/>
        <v>81352</v>
      </c>
      <c r="G130" s="37" t="s">
        <v>225</v>
      </c>
      <c r="H130" s="47"/>
      <c r="I130" s="48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8"/>
      <c r="U130" s="48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8"/>
      <c r="AG130" s="48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>
        <v>19</v>
      </c>
      <c r="CL130" s="50">
        <v>0</v>
      </c>
      <c r="CM130" s="50">
        <v>0</v>
      </c>
      <c r="CN130" s="51">
        <v>2080</v>
      </c>
      <c r="CO130" s="51">
        <v>7064</v>
      </c>
      <c r="CP130" s="51">
        <v>3321</v>
      </c>
      <c r="CQ130" s="51">
        <v>2019</v>
      </c>
      <c r="CR130" s="51">
        <v>3159</v>
      </c>
      <c r="CS130" s="51">
        <v>4479</v>
      </c>
      <c r="CT130" s="51">
        <v>3260</v>
      </c>
      <c r="CU130" s="51">
        <v>4740</v>
      </c>
      <c r="CV130" s="51">
        <v>3439</v>
      </c>
      <c r="CW130" s="51">
        <v>5400</v>
      </c>
      <c r="CX130" s="51">
        <v>6469</v>
      </c>
      <c r="CY130" s="51">
        <v>2340</v>
      </c>
      <c r="CZ130" s="51">
        <v>2660</v>
      </c>
      <c r="DA130" s="51">
        <v>2246</v>
      </c>
      <c r="DB130" s="51">
        <v>2123</v>
      </c>
      <c r="DC130" s="51">
        <v>1601</v>
      </c>
      <c r="DD130" s="51">
        <v>3033</v>
      </c>
      <c r="DE130" s="51">
        <v>3874</v>
      </c>
      <c r="DF130" s="52">
        <v>1345</v>
      </c>
      <c r="DG130" s="52">
        <v>1974</v>
      </c>
      <c r="DH130" s="52">
        <v>1276</v>
      </c>
      <c r="DI130" s="52">
        <v>2116</v>
      </c>
      <c r="DJ130" s="52">
        <v>4685</v>
      </c>
      <c r="DK130" s="52">
        <v>3110</v>
      </c>
      <c r="DL130" s="52">
        <v>1213</v>
      </c>
      <c r="DM130" s="52">
        <v>-3</v>
      </c>
      <c r="DN130" s="52">
        <v>2118</v>
      </c>
      <c r="DO130" s="52">
        <v>193</v>
      </c>
      <c r="DP130" s="52">
        <v>0</v>
      </c>
      <c r="DQ130" s="52">
        <v>-1</v>
      </c>
      <c r="DR130" s="52">
        <v>0</v>
      </c>
      <c r="DS130" s="53">
        <v>0</v>
      </c>
      <c r="DT130" s="53">
        <v>0</v>
      </c>
      <c r="DU130" s="53">
        <v>0</v>
      </c>
      <c r="DV130" s="53">
        <v>0</v>
      </c>
      <c r="DW130" s="53">
        <v>0</v>
      </c>
      <c r="DX130" s="2"/>
      <c r="DY130" s="2"/>
      <c r="DZ130" s="46">
        <f t="shared" si="22"/>
        <v>0</v>
      </c>
      <c r="EA130" s="46">
        <f t="shared" si="23"/>
        <v>0</v>
      </c>
      <c r="EB130" s="46">
        <f t="shared" si="24"/>
        <v>0</v>
      </c>
      <c r="EC130" s="46">
        <f t="shared" si="25"/>
        <v>0</v>
      </c>
      <c r="ED130" s="46">
        <f t="shared" si="26"/>
        <v>0</v>
      </c>
      <c r="EE130" s="46">
        <f t="shared" si="27"/>
        <v>0</v>
      </c>
      <c r="EF130" s="46">
        <f t="shared" si="28"/>
        <v>19</v>
      </c>
      <c r="EG130" s="46">
        <f t="shared" si="29"/>
        <v>47770</v>
      </c>
      <c r="EH130" s="46">
        <f t="shared" si="19"/>
        <v>26933</v>
      </c>
      <c r="EI130" s="46">
        <f t="shared" si="21"/>
        <v>3521</v>
      </c>
    </row>
    <row r="131" spans="3:139" ht="12">
      <c r="C131" s="36" t="s">
        <v>290</v>
      </c>
      <c r="D131" s="36" t="s">
        <v>277</v>
      </c>
      <c r="E131" s="36" t="s">
        <v>278</v>
      </c>
      <c r="F131" s="38">
        <f t="shared" si="20"/>
        <v>153040</v>
      </c>
      <c r="G131" s="37" t="s">
        <v>225</v>
      </c>
      <c r="H131" s="47"/>
      <c r="I131" s="48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8"/>
      <c r="U131" s="48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8"/>
      <c r="AG131" s="48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>
        <v>10</v>
      </c>
      <c r="CK131" s="50">
        <v>1103</v>
      </c>
      <c r="CL131" s="50">
        <v>2904</v>
      </c>
      <c r="CM131" s="50">
        <v>5015</v>
      </c>
      <c r="CN131" s="51">
        <v>3221</v>
      </c>
      <c r="CO131" s="51">
        <v>4612</v>
      </c>
      <c r="CP131" s="51">
        <v>5283</v>
      </c>
      <c r="CQ131" s="51">
        <v>4898</v>
      </c>
      <c r="CR131" s="51">
        <v>5278</v>
      </c>
      <c r="CS131" s="51">
        <v>1732</v>
      </c>
      <c r="CT131" s="51">
        <v>8352</v>
      </c>
      <c r="CU131" s="51">
        <v>8800</v>
      </c>
      <c r="CV131" s="51">
        <v>6240</v>
      </c>
      <c r="CW131" s="51">
        <v>6306</v>
      </c>
      <c r="CX131" s="51">
        <v>7657</v>
      </c>
      <c r="CY131" s="51">
        <v>3580</v>
      </c>
      <c r="CZ131" s="51">
        <v>3120</v>
      </c>
      <c r="DA131" s="51">
        <v>6149</v>
      </c>
      <c r="DB131" s="51">
        <v>5435</v>
      </c>
      <c r="DC131" s="51">
        <v>4023</v>
      </c>
      <c r="DD131" s="51">
        <v>4571</v>
      </c>
      <c r="DE131" s="51">
        <v>2076</v>
      </c>
      <c r="DF131" s="52">
        <v>8311</v>
      </c>
      <c r="DG131" s="52">
        <v>6229</v>
      </c>
      <c r="DH131" s="52">
        <v>4471</v>
      </c>
      <c r="DI131" s="52">
        <v>3280</v>
      </c>
      <c r="DJ131" s="52">
        <v>5341</v>
      </c>
      <c r="DK131" s="52">
        <v>4524</v>
      </c>
      <c r="DL131" s="52">
        <v>5202</v>
      </c>
      <c r="DM131" s="52">
        <v>6810</v>
      </c>
      <c r="DN131" s="52">
        <v>3551</v>
      </c>
      <c r="DO131" s="52">
        <v>3428</v>
      </c>
      <c r="DP131" s="52">
        <v>742</v>
      </c>
      <c r="DQ131" s="52">
        <v>786</v>
      </c>
      <c r="DR131" s="52">
        <v>26</v>
      </c>
      <c r="DS131" s="53">
        <v>801</v>
      </c>
      <c r="DT131" s="53">
        <v>801</v>
      </c>
      <c r="DU131" s="53">
        <v>481</v>
      </c>
      <c r="DV131" s="53">
        <v>368</v>
      </c>
      <c r="DW131" s="53">
        <v>232</v>
      </c>
      <c r="DX131" s="2"/>
      <c r="DY131" s="2"/>
      <c r="DZ131" s="46">
        <f t="shared" si="22"/>
        <v>0</v>
      </c>
      <c r="EA131" s="46">
        <f t="shared" si="23"/>
        <v>0</v>
      </c>
      <c r="EB131" s="46">
        <f t="shared" si="24"/>
        <v>0</v>
      </c>
      <c r="EC131" s="46">
        <f t="shared" si="25"/>
        <v>0</v>
      </c>
      <c r="ED131" s="46">
        <f t="shared" si="26"/>
        <v>0</v>
      </c>
      <c r="EE131" s="46">
        <f t="shared" si="27"/>
        <v>0</v>
      </c>
      <c r="EF131" s="46">
        <f t="shared" si="28"/>
        <v>9032</v>
      </c>
      <c r="EG131" s="46">
        <f t="shared" si="29"/>
        <v>65959</v>
      </c>
      <c r="EH131" s="46">
        <f t="shared" si="19"/>
        <v>53006</v>
      </c>
      <c r="EI131" s="46">
        <f t="shared" si="21"/>
        <v>18991</v>
      </c>
    </row>
    <row r="132" spans="3:139" ht="12">
      <c r="C132" s="36" t="s">
        <v>291</v>
      </c>
      <c r="D132" s="36" t="s">
        <v>277</v>
      </c>
      <c r="E132" s="36" t="s">
        <v>278</v>
      </c>
      <c r="F132" s="38">
        <f t="shared" si="20"/>
        <v>257863</v>
      </c>
      <c r="G132" s="37" t="s">
        <v>225</v>
      </c>
      <c r="H132" s="47"/>
      <c r="I132" s="48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8"/>
      <c r="U132" s="48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8"/>
      <c r="AG132" s="48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>
        <v>9</v>
      </c>
      <c r="CK132" s="50">
        <v>4077</v>
      </c>
      <c r="CL132" s="50">
        <v>8737</v>
      </c>
      <c r="CM132" s="50">
        <v>5888</v>
      </c>
      <c r="CN132" s="51">
        <v>10808</v>
      </c>
      <c r="CO132" s="51">
        <v>9194</v>
      </c>
      <c r="CP132" s="51">
        <v>7480</v>
      </c>
      <c r="CQ132" s="51">
        <v>6736</v>
      </c>
      <c r="CR132" s="51">
        <v>6803</v>
      </c>
      <c r="CS132" s="51">
        <v>15412</v>
      </c>
      <c r="CT132" s="51">
        <v>7381</v>
      </c>
      <c r="CU132" s="51">
        <v>7880</v>
      </c>
      <c r="CV132" s="51">
        <v>7736</v>
      </c>
      <c r="CW132" s="51">
        <v>11898</v>
      </c>
      <c r="CX132" s="51">
        <v>10254</v>
      </c>
      <c r="CY132" s="51">
        <v>8580</v>
      </c>
      <c r="CZ132" s="51">
        <v>6720</v>
      </c>
      <c r="DA132" s="51">
        <v>5257</v>
      </c>
      <c r="DB132" s="51">
        <v>10115</v>
      </c>
      <c r="DC132" s="51">
        <v>12121</v>
      </c>
      <c r="DD132" s="51">
        <v>9802</v>
      </c>
      <c r="DE132" s="51">
        <v>7549</v>
      </c>
      <c r="DF132" s="52">
        <v>4657</v>
      </c>
      <c r="DG132" s="52">
        <v>6538</v>
      </c>
      <c r="DH132" s="52">
        <v>5395</v>
      </c>
      <c r="DI132" s="52">
        <v>7658</v>
      </c>
      <c r="DJ132" s="52">
        <v>12228</v>
      </c>
      <c r="DK132" s="52">
        <v>8642</v>
      </c>
      <c r="DL132" s="52">
        <v>8905</v>
      </c>
      <c r="DM132" s="52">
        <v>6652</v>
      </c>
      <c r="DN132" s="52">
        <v>1998</v>
      </c>
      <c r="DO132" s="52">
        <v>2495</v>
      </c>
      <c r="DP132" s="52">
        <v>7366</v>
      </c>
      <c r="DQ132" s="52">
        <v>4892</v>
      </c>
      <c r="DR132" s="52">
        <v>54</v>
      </c>
      <c r="DS132" s="53">
        <v>7955</v>
      </c>
      <c r="DT132" s="53">
        <v>7955</v>
      </c>
      <c r="DU132" s="53">
        <v>4773</v>
      </c>
      <c r="DV132" s="53">
        <v>3659</v>
      </c>
      <c r="DW132" s="53">
        <v>2307</v>
      </c>
      <c r="DX132" s="2"/>
      <c r="DY132" s="2"/>
      <c r="DZ132" s="46">
        <f t="shared" si="22"/>
        <v>0</v>
      </c>
      <c r="EA132" s="46">
        <f t="shared" si="23"/>
        <v>0</v>
      </c>
      <c r="EB132" s="46">
        <f t="shared" si="24"/>
        <v>0</v>
      </c>
      <c r="EC132" s="46">
        <f t="shared" si="25"/>
        <v>0</v>
      </c>
      <c r="ED132" s="46">
        <f t="shared" si="26"/>
        <v>0</v>
      </c>
      <c r="EE132" s="46">
        <f t="shared" si="27"/>
        <v>0</v>
      </c>
      <c r="EF132" s="46">
        <f t="shared" si="28"/>
        <v>18711</v>
      </c>
      <c r="EG132" s="46">
        <f t="shared" si="29"/>
        <v>110162</v>
      </c>
      <c r="EH132" s="46">
        <f t="shared" si="19"/>
        <v>88040</v>
      </c>
      <c r="EI132" s="46">
        <f t="shared" si="21"/>
        <v>20050</v>
      </c>
    </row>
    <row r="133" spans="3:139" ht="12">
      <c r="C133" s="36" t="s">
        <v>292</v>
      </c>
      <c r="D133" s="36" t="s">
        <v>277</v>
      </c>
      <c r="E133" s="36" t="s">
        <v>278</v>
      </c>
      <c r="F133" s="38">
        <f t="shared" si="20"/>
        <v>16934</v>
      </c>
      <c r="G133" s="37" t="s">
        <v>225</v>
      </c>
      <c r="H133" s="47"/>
      <c r="I133" s="48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8"/>
      <c r="U133" s="48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8"/>
      <c r="AG133" s="48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1"/>
      <c r="CO133" s="51"/>
      <c r="CP133" s="51"/>
      <c r="CQ133" s="51">
        <v>620</v>
      </c>
      <c r="CR133" s="51">
        <v>278</v>
      </c>
      <c r="CS133" s="51">
        <v>901</v>
      </c>
      <c r="CT133" s="51">
        <v>1017</v>
      </c>
      <c r="CU133" s="51">
        <v>840</v>
      </c>
      <c r="CV133" s="51">
        <v>1339</v>
      </c>
      <c r="CW133" s="51">
        <v>1299</v>
      </c>
      <c r="CX133" s="51">
        <v>934</v>
      </c>
      <c r="CY133" s="51">
        <v>940</v>
      </c>
      <c r="CZ133" s="51">
        <v>880</v>
      </c>
      <c r="DA133" s="51">
        <v>673</v>
      </c>
      <c r="DB133" s="51">
        <v>522</v>
      </c>
      <c r="DC133" s="51">
        <v>675</v>
      </c>
      <c r="DD133" s="51">
        <v>704</v>
      </c>
      <c r="DE133" s="51">
        <v>443</v>
      </c>
      <c r="DF133" s="52">
        <v>508</v>
      </c>
      <c r="DG133" s="52">
        <v>495</v>
      </c>
      <c r="DH133" s="52">
        <v>435</v>
      </c>
      <c r="DI133" s="52">
        <v>292</v>
      </c>
      <c r="DJ133" s="52">
        <v>279</v>
      </c>
      <c r="DK133" s="52">
        <v>10</v>
      </c>
      <c r="DL133" s="52">
        <v>743</v>
      </c>
      <c r="DM133" s="52">
        <v>83</v>
      </c>
      <c r="DN133" s="52">
        <v>787</v>
      </c>
      <c r="DO133" s="52">
        <v>154</v>
      </c>
      <c r="DP133" s="52">
        <v>570</v>
      </c>
      <c r="DQ133" s="52">
        <v>513</v>
      </c>
      <c r="DR133" s="52">
        <v>112</v>
      </c>
      <c r="DS133" s="53">
        <v>616</v>
      </c>
      <c r="DT133" s="53">
        <v>616</v>
      </c>
      <c r="DU133" s="53">
        <v>370</v>
      </c>
      <c r="DV133" s="53">
        <v>283</v>
      </c>
      <c r="DW133" s="53">
        <v>179</v>
      </c>
      <c r="DX133" s="2"/>
      <c r="DY133" s="2"/>
      <c r="DZ133" s="46">
        <f t="shared" si="22"/>
        <v>0</v>
      </c>
      <c r="EA133" s="46">
        <f t="shared" si="23"/>
        <v>0</v>
      </c>
      <c r="EB133" s="46">
        <f t="shared" si="24"/>
        <v>0</v>
      </c>
      <c r="EC133" s="46">
        <f t="shared" si="25"/>
        <v>0</v>
      </c>
      <c r="ED133" s="46">
        <f t="shared" si="26"/>
        <v>0</v>
      </c>
      <c r="EE133" s="46">
        <f t="shared" si="27"/>
        <v>0</v>
      </c>
      <c r="EF133" s="46">
        <f t="shared" si="28"/>
        <v>0</v>
      </c>
      <c r="EG133" s="46">
        <f t="shared" si="29"/>
        <v>8168</v>
      </c>
      <c r="EH133" s="46">
        <f t="shared" si="19"/>
        <v>5906</v>
      </c>
      <c r="EI133" s="46">
        <f t="shared" si="21"/>
        <v>1767</v>
      </c>
    </row>
    <row r="134" spans="3:139" ht="12">
      <c r="C134" s="36" t="s">
        <v>293</v>
      </c>
      <c r="D134" s="36" t="s">
        <v>277</v>
      </c>
      <c r="E134" s="36" t="s">
        <v>278</v>
      </c>
      <c r="F134" s="38">
        <f t="shared" si="20"/>
        <v>5742</v>
      </c>
      <c r="G134" s="37" t="s">
        <v>225</v>
      </c>
      <c r="H134" s="47"/>
      <c r="I134" s="48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8"/>
      <c r="U134" s="48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8"/>
      <c r="AG134" s="48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1"/>
      <c r="CO134" s="51"/>
      <c r="CP134" s="51"/>
      <c r="CQ134" s="51"/>
      <c r="CR134" s="51"/>
      <c r="CS134" s="51"/>
      <c r="CT134" s="51">
        <v>254</v>
      </c>
      <c r="CU134" s="51">
        <v>120</v>
      </c>
      <c r="CV134" s="51">
        <v>120</v>
      </c>
      <c r="CW134" s="51">
        <v>299</v>
      </c>
      <c r="CX134" s="51">
        <v>220</v>
      </c>
      <c r="CY134" s="51">
        <v>0</v>
      </c>
      <c r="CZ134" s="51">
        <v>180</v>
      </c>
      <c r="DA134" s="51">
        <v>591</v>
      </c>
      <c r="DB134" s="51">
        <v>269</v>
      </c>
      <c r="DC134" s="51">
        <v>362</v>
      </c>
      <c r="DD134" s="51">
        <v>292</v>
      </c>
      <c r="DE134" s="51">
        <v>321</v>
      </c>
      <c r="DF134" s="52">
        <v>104</v>
      </c>
      <c r="DG134" s="52">
        <v>317</v>
      </c>
      <c r="DH134" s="52">
        <v>193</v>
      </c>
      <c r="DI134" s="52">
        <v>0</v>
      </c>
      <c r="DJ134" s="52">
        <v>95</v>
      </c>
      <c r="DK134" s="52">
        <v>116</v>
      </c>
      <c r="DL134" s="52">
        <v>470</v>
      </c>
      <c r="DM134" s="52">
        <v>297</v>
      </c>
      <c r="DN134" s="52">
        <v>246</v>
      </c>
      <c r="DO134" s="52">
        <v>294</v>
      </c>
      <c r="DP134" s="52">
        <v>197</v>
      </c>
      <c r="DQ134" s="52">
        <v>385</v>
      </c>
      <c r="DR134" s="52">
        <v>155</v>
      </c>
      <c r="DS134" s="53">
        <v>213</v>
      </c>
      <c r="DT134" s="53">
        <v>213</v>
      </c>
      <c r="DU134" s="53">
        <v>128</v>
      </c>
      <c r="DV134" s="53">
        <v>98</v>
      </c>
      <c r="DW134" s="53">
        <v>62</v>
      </c>
      <c r="DX134" s="2"/>
      <c r="DY134" s="2"/>
      <c r="DZ134" s="46">
        <f t="shared" si="22"/>
        <v>0</v>
      </c>
      <c r="EA134" s="46">
        <f t="shared" si="23"/>
        <v>0</v>
      </c>
      <c r="EB134" s="46">
        <f t="shared" si="24"/>
        <v>0</v>
      </c>
      <c r="EC134" s="46">
        <f t="shared" si="25"/>
        <v>0</v>
      </c>
      <c r="ED134" s="46">
        <f t="shared" si="26"/>
        <v>0</v>
      </c>
      <c r="EE134" s="46">
        <f t="shared" si="27"/>
        <v>0</v>
      </c>
      <c r="EF134" s="46">
        <f t="shared" si="28"/>
        <v>0</v>
      </c>
      <c r="EG134" s="46">
        <f t="shared" si="29"/>
        <v>1013</v>
      </c>
      <c r="EH134" s="46">
        <f t="shared" si="19"/>
        <v>2724</v>
      </c>
      <c r="EI134" s="46">
        <f t="shared" si="21"/>
        <v>1307</v>
      </c>
    </row>
    <row r="135" spans="3:139" ht="12">
      <c r="C135" s="36" t="s">
        <v>294</v>
      </c>
      <c r="D135" s="36" t="s">
        <v>277</v>
      </c>
      <c r="E135" s="36" t="s">
        <v>278</v>
      </c>
      <c r="F135" s="38">
        <f t="shared" si="20"/>
        <v>28009</v>
      </c>
      <c r="G135" s="37" t="s">
        <v>225</v>
      </c>
      <c r="H135" s="47"/>
      <c r="I135" s="48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8"/>
      <c r="U135" s="48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8"/>
      <c r="AG135" s="48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1"/>
      <c r="CO135" s="51"/>
      <c r="CP135" s="51"/>
      <c r="CQ135" s="51"/>
      <c r="CR135" s="51"/>
      <c r="CS135" s="51"/>
      <c r="CT135" s="51">
        <v>456</v>
      </c>
      <c r="CU135" s="51">
        <v>840</v>
      </c>
      <c r="CV135" s="51">
        <v>1900</v>
      </c>
      <c r="CW135" s="51">
        <v>878</v>
      </c>
      <c r="CX135" s="51">
        <v>17</v>
      </c>
      <c r="CY135" s="51">
        <v>1040</v>
      </c>
      <c r="CZ135" s="51">
        <v>2960</v>
      </c>
      <c r="DA135" s="51">
        <v>1333</v>
      </c>
      <c r="DB135" s="51">
        <v>264</v>
      </c>
      <c r="DC135" s="51">
        <v>655</v>
      </c>
      <c r="DD135" s="51">
        <v>2020</v>
      </c>
      <c r="DE135" s="51">
        <v>896</v>
      </c>
      <c r="DF135" s="52">
        <v>196</v>
      </c>
      <c r="DG135" s="52">
        <v>1142</v>
      </c>
      <c r="DH135" s="52">
        <v>1098</v>
      </c>
      <c r="DI135" s="52">
        <v>821</v>
      </c>
      <c r="DJ135" s="52">
        <v>2788</v>
      </c>
      <c r="DK135" s="52">
        <v>456</v>
      </c>
      <c r="DL135" s="52">
        <v>3560</v>
      </c>
      <c r="DM135" s="52">
        <v>2916</v>
      </c>
      <c r="DN135" s="52">
        <v>-8</v>
      </c>
      <c r="DO135" s="52">
        <v>488</v>
      </c>
      <c r="DP135" s="52">
        <v>345</v>
      </c>
      <c r="DQ135" s="52">
        <v>948</v>
      </c>
      <c r="DR135" s="52">
        <v>719</v>
      </c>
      <c r="DS135" s="53">
        <v>373</v>
      </c>
      <c r="DT135" s="53">
        <v>373</v>
      </c>
      <c r="DU135" s="53">
        <v>224</v>
      </c>
      <c r="DV135" s="53">
        <v>172</v>
      </c>
      <c r="DW135" s="53">
        <v>108</v>
      </c>
      <c r="DX135" s="2"/>
      <c r="DY135" s="2"/>
      <c r="DZ135" s="46">
        <f t="shared" si="22"/>
        <v>0</v>
      </c>
      <c r="EA135" s="46">
        <f t="shared" si="23"/>
        <v>0</v>
      </c>
      <c r="EB135" s="46">
        <f t="shared" si="24"/>
        <v>0</v>
      </c>
      <c r="EC135" s="46">
        <f t="shared" si="25"/>
        <v>0</v>
      </c>
      <c r="ED135" s="46">
        <f t="shared" si="26"/>
        <v>0</v>
      </c>
      <c r="EE135" s="46">
        <f t="shared" si="27"/>
        <v>0</v>
      </c>
      <c r="EF135" s="46">
        <f t="shared" si="28"/>
        <v>0</v>
      </c>
      <c r="EG135" s="46">
        <f t="shared" si="29"/>
        <v>5131</v>
      </c>
      <c r="EH135" s="46">
        <f t="shared" si="19"/>
        <v>14173</v>
      </c>
      <c r="EI135" s="46">
        <f t="shared" si="21"/>
        <v>6956</v>
      </c>
    </row>
    <row r="136" spans="3:139" ht="12">
      <c r="C136" s="36" t="s">
        <v>295</v>
      </c>
      <c r="D136" s="36" t="s">
        <v>277</v>
      </c>
      <c r="E136" s="36" t="s">
        <v>278</v>
      </c>
      <c r="F136" s="38">
        <f t="shared" si="20"/>
        <v>1149</v>
      </c>
      <c r="G136" s="37" t="s">
        <v>225</v>
      </c>
      <c r="H136" s="47"/>
      <c r="I136" s="48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8"/>
      <c r="U136" s="48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8"/>
      <c r="AG136" s="48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1"/>
      <c r="CO136" s="51"/>
      <c r="CP136" s="51"/>
      <c r="CQ136" s="51"/>
      <c r="CR136" s="51"/>
      <c r="CS136" s="51"/>
      <c r="CT136" s="51">
        <v>218</v>
      </c>
      <c r="CU136" s="51">
        <v>40</v>
      </c>
      <c r="CV136" s="51">
        <v>80</v>
      </c>
      <c r="CW136" s="51">
        <v>320</v>
      </c>
      <c r="CX136" s="51">
        <v>0</v>
      </c>
      <c r="CY136" s="51">
        <v>220</v>
      </c>
      <c r="CZ136" s="51">
        <v>0</v>
      </c>
      <c r="DA136" s="51">
        <v>56</v>
      </c>
      <c r="DB136" s="51">
        <v>3</v>
      </c>
      <c r="DC136" s="51">
        <v>0</v>
      </c>
      <c r="DD136" s="51">
        <v>0</v>
      </c>
      <c r="DE136" s="51">
        <v>181</v>
      </c>
      <c r="DF136" s="52">
        <v>24</v>
      </c>
      <c r="DG136" s="52">
        <v>0</v>
      </c>
      <c r="DH136" s="52">
        <v>0</v>
      </c>
      <c r="DI136" s="52">
        <v>0</v>
      </c>
      <c r="DJ136" s="52">
        <v>0</v>
      </c>
      <c r="DK136" s="52">
        <v>0</v>
      </c>
      <c r="DL136" s="52">
        <v>7</v>
      </c>
      <c r="DM136" s="52">
        <v>0</v>
      </c>
      <c r="DN136" s="52">
        <v>0</v>
      </c>
      <c r="DO136" s="52">
        <v>0</v>
      </c>
      <c r="DP136" s="52">
        <v>0</v>
      </c>
      <c r="DQ136" s="52">
        <v>0</v>
      </c>
      <c r="DR136" s="52">
        <v>0</v>
      </c>
      <c r="DS136" s="53">
        <v>0</v>
      </c>
      <c r="DT136" s="53">
        <v>0</v>
      </c>
      <c r="DU136" s="53">
        <v>0</v>
      </c>
      <c r="DV136" s="53">
        <v>0</v>
      </c>
      <c r="DW136" s="53">
        <v>0</v>
      </c>
      <c r="DX136" s="2"/>
      <c r="DY136" s="2"/>
      <c r="DZ136" s="46">
        <f t="shared" si="22"/>
        <v>0</v>
      </c>
      <c r="EA136" s="46">
        <f t="shared" si="23"/>
        <v>0</v>
      </c>
      <c r="EB136" s="46">
        <f t="shared" si="24"/>
        <v>0</v>
      </c>
      <c r="EC136" s="46">
        <f t="shared" si="25"/>
        <v>0</v>
      </c>
      <c r="ED136" s="46">
        <f t="shared" si="26"/>
        <v>0</v>
      </c>
      <c r="EE136" s="46">
        <f t="shared" si="27"/>
        <v>0</v>
      </c>
      <c r="EF136" s="46">
        <f t="shared" si="28"/>
        <v>0</v>
      </c>
      <c r="EG136" s="46">
        <f t="shared" si="29"/>
        <v>878</v>
      </c>
      <c r="EH136" s="46">
        <f t="shared" si="19"/>
        <v>264</v>
      </c>
      <c r="EI136" s="46">
        <f t="shared" si="21"/>
        <v>7</v>
      </c>
    </row>
    <row r="137" spans="3:139" ht="12">
      <c r="C137" s="36" t="s">
        <v>296</v>
      </c>
      <c r="D137" s="36" t="s">
        <v>277</v>
      </c>
      <c r="E137" s="36" t="s">
        <v>278</v>
      </c>
      <c r="F137" s="38">
        <f t="shared" si="20"/>
        <v>252</v>
      </c>
      <c r="G137" s="37" t="s">
        <v>225</v>
      </c>
      <c r="H137" s="47"/>
      <c r="I137" s="48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8"/>
      <c r="U137" s="48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8"/>
      <c r="AG137" s="48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2">
        <v>94</v>
      </c>
      <c r="DG137" s="52">
        <v>0</v>
      </c>
      <c r="DH137" s="52">
        <v>0</v>
      </c>
      <c r="DI137" s="52">
        <v>0</v>
      </c>
      <c r="DJ137" s="52">
        <v>15</v>
      </c>
      <c r="DK137" s="52">
        <v>0</v>
      </c>
      <c r="DL137" s="52">
        <v>-16</v>
      </c>
      <c r="DM137" s="52">
        <v>32</v>
      </c>
      <c r="DN137" s="52">
        <v>127</v>
      </c>
      <c r="DO137" s="52">
        <v>0</v>
      </c>
      <c r="DP137" s="52">
        <v>0</v>
      </c>
      <c r="DQ137" s="52">
        <v>0</v>
      </c>
      <c r="DR137" s="52">
        <v>0</v>
      </c>
      <c r="DS137" s="53">
        <v>0</v>
      </c>
      <c r="DT137" s="53">
        <v>0</v>
      </c>
      <c r="DU137" s="53">
        <v>0</v>
      </c>
      <c r="DV137" s="53">
        <v>0</v>
      </c>
      <c r="DW137" s="53">
        <v>0</v>
      </c>
      <c r="DX137" s="2"/>
      <c r="DY137" s="2"/>
      <c r="DZ137" s="46"/>
      <c r="EA137" s="46"/>
      <c r="EB137" s="46"/>
      <c r="EC137" s="46"/>
      <c r="ED137" s="46"/>
      <c r="EE137" s="46"/>
      <c r="EF137" s="46"/>
      <c r="EG137" s="46"/>
      <c r="EH137" s="46">
        <f t="shared" ref="EH137" si="30">SUM(CZ137:DJ137)</f>
        <v>109</v>
      </c>
      <c r="EI137" s="46">
        <f t="shared" si="21"/>
        <v>143</v>
      </c>
    </row>
    <row r="138" spans="3:139" ht="12">
      <c r="C138" s="36" t="s">
        <v>297</v>
      </c>
      <c r="D138" s="36" t="s">
        <v>298</v>
      </c>
      <c r="E138" s="36" t="s">
        <v>299</v>
      </c>
      <c r="F138" s="38">
        <f t="shared" si="20"/>
        <v>1669</v>
      </c>
      <c r="G138" s="37" t="s">
        <v>225</v>
      </c>
      <c r="H138" s="47"/>
      <c r="I138" s="48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8"/>
      <c r="U138" s="48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8"/>
      <c r="AG138" s="48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2"/>
      <c r="DG138" s="52"/>
      <c r="DH138" s="52"/>
      <c r="DI138" s="52"/>
      <c r="DJ138" s="52"/>
      <c r="DK138" s="52"/>
      <c r="DL138" s="52">
        <v>25</v>
      </c>
      <c r="DM138" s="52">
        <v>25</v>
      </c>
      <c r="DN138" s="52">
        <v>23</v>
      </c>
      <c r="DO138" s="52">
        <v>19</v>
      </c>
      <c r="DP138" s="52">
        <v>20</v>
      </c>
      <c r="DQ138" s="52">
        <v>1557</v>
      </c>
      <c r="DR138" s="52">
        <v>10775</v>
      </c>
      <c r="DS138" s="53">
        <v>22</v>
      </c>
      <c r="DT138" s="53">
        <v>3000</v>
      </c>
      <c r="DU138" s="53">
        <v>1800</v>
      </c>
      <c r="DV138" s="53">
        <v>1380</v>
      </c>
      <c r="DW138" s="53">
        <v>870</v>
      </c>
      <c r="DX138" s="2"/>
      <c r="DY138" s="2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>
        <f t="shared" si="21"/>
        <v>92</v>
      </c>
    </row>
    <row r="139" spans="3:139" ht="12">
      <c r="C139" s="36" t="s">
        <v>300</v>
      </c>
      <c r="D139" s="36" t="s">
        <v>298</v>
      </c>
      <c r="E139" s="36" t="s">
        <v>299</v>
      </c>
      <c r="F139" s="38">
        <f t="shared" ref="F139:F202" si="31">SUM(H139:DQ139)</f>
        <v>7604</v>
      </c>
      <c r="G139" s="37" t="s">
        <v>225</v>
      </c>
      <c r="H139" s="47"/>
      <c r="I139" s="48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8"/>
      <c r="U139" s="48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8"/>
      <c r="AG139" s="48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2"/>
      <c r="DG139" s="52"/>
      <c r="DH139" s="52"/>
      <c r="DI139" s="52"/>
      <c r="DJ139" s="52">
        <v>62</v>
      </c>
      <c r="DK139" s="52">
        <v>0</v>
      </c>
      <c r="DL139" s="52">
        <v>25</v>
      </c>
      <c r="DM139" s="52">
        <v>25</v>
      </c>
      <c r="DN139" s="52">
        <v>0</v>
      </c>
      <c r="DO139" s="52">
        <v>20</v>
      </c>
      <c r="DP139" s="52">
        <v>3967</v>
      </c>
      <c r="DQ139" s="52">
        <v>3505</v>
      </c>
      <c r="DR139" s="52">
        <v>5688</v>
      </c>
      <c r="DS139" s="53">
        <v>4284</v>
      </c>
      <c r="DT139" s="53">
        <v>4284</v>
      </c>
      <c r="DU139" s="53">
        <v>2570</v>
      </c>
      <c r="DV139" s="53">
        <v>1971</v>
      </c>
      <c r="DW139" s="53">
        <v>1242</v>
      </c>
      <c r="DX139" s="2"/>
      <c r="DY139" s="2"/>
      <c r="DZ139" s="46"/>
      <c r="EA139" s="46"/>
      <c r="EB139" s="46"/>
      <c r="EC139" s="46"/>
      <c r="ED139" s="46"/>
      <c r="EE139" s="46"/>
      <c r="EF139" s="46"/>
      <c r="EG139" s="46"/>
      <c r="EH139" s="46">
        <f t="shared" ref="EH139:EH204" si="32">SUM(CZ139:DJ139)</f>
        <v>62</v>
      </c>
      <c r="EI139" s="46">
        <f t="shared" ref="EI139:EI202" si="33">SUM(DL139:DO139)</f>
        <v>70</v>
      </c>
    </row>
    <row r="140" spans="3:139" ht="12">
      <c r="C140" s="36" t="s">
        <v>301</v>
      </c>
      <c r="D140" s="36" t="s">
        <v>212</v>
      </c>
      <c r="E140" s="36"/>
      <c r="F140" s="38">
        <f t="shared" si="31"/>
        <v>10</v>
      </c>
      <c r="G140" s="37" t="s">
        <v>225</v>
      </c>
      <c r="H140" s="47"/>
      <c r="I140" s="48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8"/>
      <c r="U140" s="48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8"/>
      <c r="AG140" s="48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>
        <v>10</v>
      </c>
      <c r="CJ140" s="50">
        <v>0</v>
      </c>
      <c r="CK140" s="50">
        <v>0</v>
      </c>
      <c r="CL140" s="50">
        <v>0</v>
      </c>
      <c r="CM140" s="50">
        <v>0</v>
      </c>
      <c r="CN140" s="51">
        <v>0</v>
      </c>
      <c r="CO140" s="51">
        <v>0</v>
      </c>
      <c r="CP140" s="51">
        <v>0</v>
      </c>
      <c r="CQ140" s="51"/>
      <c r="CR140" s="51">
        <v>0</v>
      </c>
      <c r="CS140" s="51">
        <v>0</v>
      </c>
      <c r="CT140" s="51"/>
      <c r="CU140" s="51">
        <v>0</v>
      </c>
      <c r="CV140" s="51"/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/>
      <c r="DC140" s="51">
        <v>0</v>
      </c>
      <c r="DD140" s="51">
        <v>0</v>
      </c>
      <c r="DE140" s="51">
        <v>0</v>
      </c>
      <c r="DF140" s="52">
        <v>0</v>
      </c>
      <c r="DG140" s="52">
        <v>0</v>
      </c>
      <c r="DH140" s="52">
        <v>0</v>
      </c>
      <c r="DI140" s="52">
        <v>0</v>
      </c>
      <c r="DJ140" s="52">
        <v>0</v>
      </c>
      <c r="DK140" s="52">
        <v>0</v>
      </c>
      <c r="DL140" s="52">
        <v>0</v>
      </c>
      <c r="DM140" s="52">
        <v>0</v>
      </c>
      <c r="DN140" s="52">
        <v>0</v>
      </c>
      <c r="DO140" s="52">
        <v>0</v>
      </c>
      <c r="DP140" s="52">
        <v>0</v>
      </c>
      <c r="DQ140" s="52">
        <v>0</v>
      </c>
      <c r="DR140" s="52">
        <v>0</v>
      </c>
      <c r="DS140" s="53">
        <v>0</v>
      </c>
      <c r="DT140" s="53">
        <v>0</v>
      </c>
      <c r="DU140" s="53">
        <v>0</v>
      </c>
      <c r="DV140" s="53">
        <v>0</v>
      </c>
      <c r="DW140" s="53">
        <v>0</v>
      </c>
      <c r="DX140" s="2"/>
      <c r="DY140" s="2"/>
      <c r="DZ140" s="46">
        <f t="shared" ref="DZ140:DZ155" si="34">SUM(H140:S140)</f>
        <v>0</v>
      </c>
      <c r="EA140" s="46">
        <f t="shared" ref="EA140:EA155" si="35">SUM(T140:AE140)</f>
        <v>0</v>
      </c>
      <c r="EB140" s="46">
        <f t="shared" ref="EB140:EB155" si="36">SUM(AF140:AQ140)</f>
        <v>0</v>
      </c>
      <c r="EC140" s="46">
        <f t="shared" ref="EC140:EC155" si="37">SUM(AR140:BC140)</f>
        <v>0</v>
      </c>
      <c r="ED140" s="46">
        <f t="shared" ref="ED140:ED155" si="38">SUM(BD140:BO140)</f>
        <v>0</v>
      </c>
      <c r="EE140" s="46">
        <f t="shared" ref="EE140:EE155" si="39">SUM(BP140:CA140)</f>
        <v>0</v>
      </c>
      <c r="EF140" s="46">
        <f t="shared" ref="EF140:EF155" si="40">SUM(CB140:CM140)</f>
        <v>10</v>
      </c>
      <c r="EG140" s="46">
        <f t="shared" ref="EG140:EG155" si="41">SUM(CN140:CY140)</f>
        <v>0</v>
      </c>
      <c r="EH140" s="46">
        <f t="shared" si="32"/>
        <v>0</v>
      </c>
      <c r="EI140" s="46">
        <f t="shared" si="33"/>
        <v>0</v>
      </c>
    </row>
    <row r="141" spans="3:139" ht="12">
      <c r="C141" s="36" t="s">
        <v>302</v>
      </c>
      <c r="D141" s="36" t="s">
        <v>212</v>
      </c>
      <c r="E141" s="36"/>
      <c r="F141" s="38">
        <f t="shared" si="31"/>
        <v>9</v>
      </c>
      <c r="G141" s="37" t="s">
        <v>225</v>
      </c>
      <c r="H141" s="47"/>
      <c r="I141" s="48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8"/>
      <c r="U141" s="48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8"/>
      <c r="AG141" s="48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>
        <v>9</v>
      </c>
      <c r="CJ141" s="50">
        <v>0</v>
      </c>
      <c r="CK141" s="50">
        <v>0</v>
      </c>
      <c r="CL141" s="50">
        <v>0</v>
      </c>
      <c r="CM141" s="50">
        <v>0</v>
      </c>
      <c r="CN141" s="51">
        <v>0</v>
      </c>
      <c r="CO141" s="51">
        <v>0</v>
      </c>
      <c r="CP141" s="51">
        <v>0</v>
      </c>
      <c r="CQ141" s="51"/>
      <c r="CR141" s="51">
        <v>0</v>
      </c>
      <c r="CS141" s="51">
        <v>0</v>
      </c>
      <c r="CT141" s="51"/>
      <c r="CU141" s="51">
        <v>0</v>
      </c>
      <c r="CV141" s="51"/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/>
      <c r="DC141" s="51">
        <v>0</v>
      </c>
      <c r="DD141" s="51">
        <v>0</v>
      </c>
      <c r="DE141" s="51">
        <v>0</v>
      </c>
      <c r="DF141" s="52">
        <v>0</v>
      </c>
      <c r="DG141" s="52">
        <v>0</v>
      </c>
      <c r="DH141" s="52">
        <v>0</v>
      </c>
      <c r="DI141" s="52">
        <v>0</v>
      </c>
      <c r="DJ141" s="52">
        <v>0</v>
      </c>
      <c r="DK141" s="52">
        <v>0</v>
      </c>
      <c r="DL141" s="52">
        <v>0</v>
      </c>
      <c r="DM141" s="52">
        <v>0</v>
      </c>
      <c r="DN141" s="52">
        <v>0</v>
      </c>
      <c r="DO141" s="52">
        <v>0</v>
      </c>
      <c r="DP141" s="52">
        <v>0</v>
      </c>
      <c r="DQ141" s="52">
        <v>0</v>
      </c>
      <c r="DR141" s="52">
        <v>0</v>
      </c>
      <c r="DS141" s="53">
        <v>0</v>
      </c>
      <c r="DT141" s="53">
        <v>0</v>
      </c>
      <c r="DU141" s="53">
        <v>0</v>
      </c>
      <c r="DV141" s="53">
        <v>0</v>
      </c>
      <c r="DW141" s="53">
        <v>0</v>
      </c>
      <c r="DX141" s="2"/>
      <c r="DY141" s="2"/>
      <c r="DZ141" s="46">
        <f t="shared" si="34"/>
        <v>0</v>
      </c>
      <c r="EA141" s="46">
        <f t="shared" si="35"/>
        <v>0</v>
      </c>
      <c r="EB141" s="46">
        <f t="shared" si="36"/>
        <v>0</v>
      </c>
      <c r="EC141" s="46">
        <f t="shared" si="37"/>
        <v>0</v>
      </c>
      <c r="ED141" s="46">
        <f t="shared" si="38"/>
        <v>0</v>
      </c>
      <c r="EE141" s="46">
        <f t="shared" si="39"/>
        <v>0</v>
      </c>
      <c r="EF141" s="46">
        <f t="shared" si="40"/>
        <v>9</v>
      </c>
      <c r="EG141" s="46">
        <f t="shared" si="41"/>
        <v>0</v>
      </c>
      <c r="EH141" s="46">
        <f t="shared" si="32"/>
        <v>0</v>
      </c>
      <c r="EI141" s="46">
        <f t="shared" si="33"/>
        <v>0</v>
      </c>
    </row>
    <row r="142" spans="3:139" ht="12">
      <c r="C142" s="36" t="s">
        <v>303</v>
      </c>
      <c r="D142" s="36" t="s">
        <v>212</v>
      </c>
      <c r="E142" s="36"/>
      <c r="F142" s="38">
        <f t="shared" si="31"/>
        <v>20</v>
      </c>
      <c r="G142" s="37" t="s">
        <v>225</v>
      </c>
      <c r="H142" s="47"/>
      <c r="I142" s="48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8"/>
      <c r="U142" s="48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8"/>
      <c r="AG142" s="48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>
        <v>20</v>
      </c>
      <c r="CL142" s="50">
        <v>0</v>
      </c>
      <c r="CM142" s="50">
        <v>0</v>
      </c>
      <c r="CN142" s="51">
        <v>0</v>
      </c>
      <c r="CO142" s="51">
        <v>0</v>
      </c>
      <c r="CP142" s="51">
        <v>0</v>
      </c>
      <c r="CQ142" s="51"/>
      <c r="CR142" s="51">
        <v>0</v>
      </c>
      <c r="CS142" s="51">
        <v>0</v>
      </c>
      <c r="CT142" s="51"/>
      <c r="CU142" s="51">
        <v>0</v>
      </c>
      <c r="CV142" s="51"/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/>
      <c r="DC142" s="51">
        <v>0</v>
      </c>
      <c r="DD142" s="51">
        <v>0</v>
      </c>
      <c r="DE142" s="51">
        <v>0</v>
      </c>
      <c r="DF142" s="52">
        <v>0</v>
      </c>
      <c r="DG142" s="52">
        <v>0</v>
      </c>
      <c r="DH142" s="52">
        <v>0</v>
      </c>
      <c r="DI142" s="52">
        <v>0</v>
      </c>
      <c r="DJ142" s="52">
        <v>0</v>
      </c>
      <c r="DK142" s="52">
        <v>0</v>
      </c>
      <c r="DL142" s="52">
        <v>0</v>
      </c>
      <c r="DM142" s="52">
        <v>0</v>
      </c>
      <c r="DN142" s="52">
        <v>0</v>
      </c>
      <c r="DO142" s="52">
        <v>0</v>
      </c>
      <c r="DP142" s="52">
        <v>0</v>
      </c>
      <c r="DQ142" s="52">
        <v>0</v>
      </c>
      <c r="DR142" s="52">
        <v>0</v>
      </c>
      <c r="DS142" s="53">
        <v>0</v>
      </c>
      <c r="DT142" s="53">
        <v>0</v>
      </c>
      <c r="DU142" s="53">
        <v>0</v>
      </c>
      <c r="DV142" s="53">
        <v>0</v>
      </c>
      <c r="DW142" s="53">
        <v>0</v>
      </c>
      <c r="DX142" s="2"/>
      <c r="DY142" s="2"/>
      <c r="DZ142" s="46">
        <f t="shared" si="34"/>
        <v>0</v>
      </c>
      <c r="EA142" s="46">
        <f t="shared" si="35"/>
        <v>0</v>
      </c>
      <c r="EB142" s="46">
        <f t="shared" si="36"/>
        <v>0</v>
      </c>
      <c r="EC142" s="46">
        <f t="shared" si="37"/>
        <v>0</v>
      </c>
      <c r="ED142" s="46">
        <f t="shared" si="38"/>
        <v>0</v>
      </c>
      <c r="EE142" s="46">
        <f t="shared" si="39"/>
        <v>0</v>
      </c>
      <c r="EF142" s="46">
        <f t="shared" si="40"/>
        <v>20</v>
      </c>
      <c r="EG142" s="46">
        <f t="shared" si="41"/>
        <v>0</v>
      </c>
      <c r="EH142" s="46">
        <f t="shared" si="32"/>
        <v>0</v>
      </c>
      <c r="EI142" s="46">
        <f t="shared" si="33"/>
        <v>0</v>
      </c>
    </row>
    <row r="143" spans="3:139" ht="12">
      <c r="C143" s="36" t="s">
        <v>304</v>
      </c>
      <c r="D143" s="36" t="s">
        <v>305</v>
      </c>
      <c r="E143" s="36" t="s">
        <v>306</v>
      </c>
      <c r="F143" s="38">
        <f t="shared" si="31"/>
        <v>62998</v>
      </c>
      <c r="G143" s="37" t="s">
        <v>225</v>
      </c>
      <c r="H143" s="47"/>
      <c r="I143" s="48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8"/>
      <c r="U143" s="48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8"/>
      <c r="AG143" s="48"/>
      <c r="AH143" s="49"/>
      <c r="AI143" s="49"/>
      <c r="AJ143" s="49"/>
      <c r="AK143" s="49">
        <v>13</v>
      </c>
      <c r="AL143" s="49">
        <v>5340</v>
      </c>
      <c r="AM143" s="49">
        <v>2760</v>
      </c>
      <c r="AN143" s="49">
        <v>2395</v>
      </c>
      <c r="AO143" s="49">
        <v>2099</v>
      </c>
      <c r="AP143" s="49">
        <v>1721</v>
      </c>
      <c r="AQ143" s="49">
        <v>1800</v>
      </c>
      <c r="AR143" s="49">
        <v>1700</v>
      </c>
      <c r="AS143" s="49">
        <v>2000</v>
      </c>
      <c r="AT143" s="49">
        <v>2798</v>
      </c>
      <c r="AU143" s="49">
        <v>2105</v>
      </c>
      <c r="AV143" s="49">
        <v>2497</v>
      </c>
      <c r="AW143" s="49">
        <v>3095</v>
      </c>
      <c r="AX143" s="49">
        <v>3000</v>
      </c>
      <c r="AY143" s="49">
        <v>3893</v>
      </c>
      <c r="AZ143" s="49">
        <v>3689</v>
      </c>
      <c r="BA143" s="49">
        <v>3180</v>
      </c>
      <c r="BB143" s="49">
        <v>3400</v>
      </c>
      <c r="BC143" s="49">
        <v>2800</v>
      </c>
      <c r="BD143" s="49">
        <v>5080</v>
      </c>
      <c r="BE143" s="49">
        <v>1900</v>
      </c>
      <c r="BF143" s="49">
        <v>900</v>
      </c>
      <c r="BG143" s="49"/>
      <c r="BH143" s="49">
        <v>340</v>
      </c>
      <c r="BI143" s="49">
        <v>200</v>
      </c>
      <c r="BJ143" s="49">
        <v>380</v>
      </c>
      <c r="BK143" s="49"/>
      <c r="BL143" s="49">
        <v>0</v>
      </c>
      <c r="BM143" s="49">
        <v>189</v>
      </c>
      <c r="BN143" s="49">
        <v>300</v>
      </c>
      <c r="BO143" s="49"/>
      <c r="BP143" s="50">
        <v>399</v>
      </c>
      <c r="BQ143" s="50">
        <v>0</v>
      </c>
      <c r="BR143" s="50"/>
      <c r="BS143" s="50">
        <v>160</v>
      </c>
      <c r="BT143" s="50">
        <v>144</v>
      </c>
      <c r="BU143" s="50">
        <v>0</v>
      </c>
      <c r="BV143" s="50">
        <v>36</v>
      </c>
      <c r="BW143" s="50">
        <v>0</v>
      </c>
      <c r="BX143" s="50">
        <v>98</v>
      </c>
      <c r="BY143" s="50">
        <v>156</v>
      </c>
      <c r="BZ143" s="50"/>
      <c r="CA143" s="50">
        <v>0</v>
      </c>
      <c r="CB143" s="50">
        <v>0</v>
      </c>
      <c r="CC143" s="50">
        <v>149</v>
      </c>
      <c r="CD143" s="50">
        <v>140</v>
      </c>
      <c r="CE143" s="50">
        <v>196</v>
      </c>
      <c r="CF143" s="50">
        <v>0</v>
      </c>
      <c r="CG143" s="50"/>
      <c r="CH143" s="50">
        <v>0</v>
      </c>
      <c r="CI143" s="50">
        <v>0</v>
      </c>
      <c r="CJ143" s="50">
        <v>0</v>
      </c>
      <c r="CK143" s="50">
        <v>100</v>
      </c>
      <c r="CL143" s="50">
        <v>80</v>
      </c>
      <c r="CM143" s="50">
        <v>0</v>
      </c>
      <c r="CN143" s="51">
        <v>114</v>
      </c>
      <c r="CO143" s="51">
        <v>180</v>
      </c>
      <c r="CP143" s="51">
        <v>45</v>
      </c>
      <c r="CQ143" s="51">
        <v>80</v>
      </c>
      <c r="CR143" s="51">
        <v>119</v>
      </c>
      <c r="CS143" s="51">
        <v>0</v>
      </c>
      <c r="CT143" s="51">
        <v>158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220</v>
      </c>
      <c r="DA143" s="51">
        <v>0</v>
      </c>
      <c r="DB143" s="51">
        <v>139</v>
      </c>
      <c r="DC143" s="51">
        <v>325</v>
      </c>
      <c r="DD143" s="51">
        <v>0</v>
      </c>
      <c r="DE143" s="51">
        <v>0</v>
      </c>
      <c r="DF143" s="52">
        <v>80</v>
      </c>
      <c r="DG143" s="52">
        <v>0</v>
      </c>
      <c r="DH143" s="52">
        <v>0</v>
      </c>
      <c r="DI143" s="52">
        <v>0</v>
      </c>
      <c r="DJ143" s="52">
        <v>0</v>
      </c>
      <c r="DK143" s="52">
        <v>0</v>
      </c>
      <c r="DL143" s="52">
        <v>0</v>
      </c>
      <c r="DM143" s="52">
        <v>179</v>
      </c>
      <c r="DN143" s="52">
        <v>0</v>
      </c>
      <c r="DO143" s="52">
        <v>127</v>
      </c>
      <c r="DP143" s="52">
        <v>0</v>
      </c>
      <c r="DQ143" s="52">
        <v>0</v>
      </c>
      <c r="DR143" s="52">
        <v>215</v>
      </c>
      <c r="DS143" s="53">
        <v>0</v>
      </c>
      <c r="DT143" s="53">
        <v>0</v>
      </c>
      <c r="DU143" s="53">
        <v>0</v>
      </c>
      <c r="DV143" s="53">
        <v>0</v>
      </c>
      <c r="DW143" s="53">
        <v>0</v>
      </c>
      <c r="DX143" s="2"/>
      <c r="DY143" s="2"/>
      <c r="DZ143" s="46">
        <f t="shared" si="34"/>
        <v>0</v>
      </c>
      <c r="EA143" s="46">
        <f t="shared" si="35"/>
        <v>0</v>
      </c>
      <c r="EB143" s="46">
        <f t="shared" si="36"/>
        <v>16128</v>
      </c>
      <c r="EC143" s="46">
        <f t="shared" si="37"/>
        <v>34157</v>
      </c>
      <c r="ED143" s="46">
        <f t="shared" si="38"/>
        <v>9289</v>
      </c>
      <c r="EE143" s="46">
        <f t="shared" si="39"/>
        <v>993</v>
      </c>
      <c r="EF143" s="46">
        <f t="shared" si="40"/>
        <v>665</v>
      </c>
      <c r="EG143" s="46">
        <f t="shared" si="41"/>
        <v>696</v>
      </c>
      <c r="EH143" s="46">
        <f t="shared" si="32"/>
        <v>764</v>
      </c>
      <c r="EI143" s="46">
        <f t="shared" si="33"/>
        <v>306</v>
      </c>
    </row>
    <row r="144" spans="3:139" ht="12">
      <c r="C144" s="36" t="s">
        <v>307</v>
      </c>
      <c r="D144" s="36" t="s">
        <v>305</v>
      </c>
      <c r="E144" s="36" t="s">
        <v>306</v>
      </c>
      <c r="F144" s="38">
        <f t="shared" si="31"/>
        <v>0</v>
      </c>
      <c r="G144" s="37" t="s">
        <v>225</v>
      </c>
      <c r="H144" s="47"/>
      <c r="I144" s="48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8"/>
      <c r="U144" s="48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8"/>
      <c r="AG144" s="48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>
        <v>0</v>
      </c>
      <c r="AS144" s="49">
        <v>0</v>
      </c>
      <c r="AT144" s="49"/>
      <c r="AU144" s="49">
        <v>0</v>
      </c>
      <c r="AV144" s="49">
        <v>0</v>
      </c>
      <c r="AW144" s="49"/>
      <c r="AX144" s="49">
        <v>0</v>
      </c>
      <c r="AY144" s="49"/>
      <c r="AZ144" s="49">
        <v>0</v>
      </c>
      <c r="BA144" s="49">
        <v>0</v>
      </c>
      <c r="BB144" s="49">
        <v>0</v>
      </c>
      <c r="BC144" s="49">
        <v>0</v>
      </c>
      <c r="BD144" s="49">
        <v>0</v>
      </c>
      <c r="BE144" s="49">
        <v>0</v>
      </c>
      <c r="BF144" s="49"/>
      <c r="BG144" s="49"/>
      <c r="BH144" s="49"/>
      <c r="BI144" s="49">
        <v>0</v>
      </c>
      <c r="BJ144" s="49"/>
      <c r="BK144" s="49"/>
      <c r="BL144" s="49">
        <v>0</v>
      </c>
      <c r="BM144" s="49"/>
      <c r="BN144" s="49">
        <v>0</v>
      </c>
      <c r="BO144" s="49"/>
      <c r="BP144" s="50">
        <v>0</v>
      </c>
      <c r="BQ144" s="50">
        <v>0</v>
      </c>
      <c r="BR144" s="50"/>
      <c r="BS144" s="50">
        <v>0</v>
      </c>
      <c r="BT144" s="50">
        <v>0</v>
      </c>
      <c r="BU144" s="50">
        <v>0</v>
      </c>
      <c r="BV144" s="50"/>
      <c r="BW144" s="50">
        <v>0</v>
      </c>
      <c r="BX144" s="50"/>
      <c r="BY144" s="50"/>
      <c r="BZ144" s="50"/>
      <c r="CA144" s="50">
        <v>0</v>
      </c>
      <c r="CB144" s="50">
        <v>0</v>
      </c>
      <c r="CC144" s="50">
        <v>0</v>
      </c>
      <c r="CD144" s="50">
        <v>0</v>
      </c>
      <c r="CE144" s="50">
        <v>0</v>
      </c>
      <c r="CF144" s="50">
        <v>0</v>
      </c>
      <c r="CG144" s="50"/>
      <c r="CH144" s="50">
        <v>0</v>
      </c>
      <c r="CI144" s="50">
        <v>0</v>
      </c>
      <c r="CJ144" s="50">
        <v>0</v>
      </c>
      <c r="CK144" s="50">
        <v>0</v>
      </c>
      <c r="CL144" s="50">
        <v>0</v>
      </c>
      <c r="CM144" s="50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</v>
      </c>
      <c r="DC144" s="51">
        <v>0</v>
      </c>
      <c r="DD144" s="51">
        <v>0</v>
      </c>
      <c r="DE144" s="51">
        <v>0</v>
      </c>
      <c r="DF144" s="52">
        <v>0</v>
      </c>
      <c r="DG144" s="52">
        <v>0</v>
      </c>
      <c r="DH144" s="52">
        <v>0</v>
      </c>
      <c r="DI144" s="52">
        <v>0</v>
      </c>
      <c r="DJ144" s="52">
        <v>0</v>
      </c>
      <c r="DK144" s="52">
        <v>0</v>
      </c>
      <c r="DL144" s="52">
        <v>0</v>
      </c>
      <c r="DM144" s="52">
        <v>0</v>
      </c>
      <c r="DN144" s="52">
        <v>0</v>
      </c>
      <c r="DO144" s="52">
        <v>0</v>
      </c>
      <c r="DP144" s="52">
        <v>0</v>
      </c>
      <c r="DQ144" s="52">
        <v>0</v>
      </c>
      <c r="DR144" s="52">
        <v>0</v>
      </c>
      <c r="DS144" s="53">
        <v>0</v>
      </c>
      <c r="DT144" s="53">
        <v>0</v>
      </c>
      <c r="DU144" s="53">
        <v>0</v>
      </c>
      <c r="DV144" s="53">
        <v>0</v>
      </c>
      <c r="DW144" s="53">
        <v>0</v>
      </c>
      <c r="DX144" s="2"/>
      <c r="DY144" s="2"/>
      <c r="DZ144" s="46">
        <f t="shared" si="34"/>
        <v>0</v>
      </c>
      <c r="EA144" s="46">
        <f t="shared" si="35"/>
        <v>0</v>
      </c>
      <c r="EB144" s="46">
        <f t="shared" si="36"/>
        <v>0</v>
      </c>
      <c r="EC144" s="46">
        <f t="shared" si="37"/>
        <v>0</v>
      </c>
      <c r="ED144" s="46">
        <f t="shared" si="38"/>
        <v>0</v>
      </c>
      <c r="EE144" s="46">
        <f t="shared" si="39"/>
        <v>0</v>
      </c>
      <c r="EF144" s="46">
        <f t="shared" si="40"/>
        <v>0</v>
      </c>
      <c r="EG144" s="46">
        <f t="shared" si="41"/>
        <v>0</v>
      </c>
      <c r="EH144" s="46">
        <f t="shared" si="32"/>
        <v>0</v>
      </c>
      <c r="EI144" s="46">
        <f t="shared" si="33"/>
        <v>0</v>
      </c>
    </row>
    <row r="145" spans="3:139" ht="12">
      <c r="C145" s="36" t="s">
        <v>308</v>
      </c>
      <c r="D145" s="36" t="s">
        <v>305</v>
      </c>
      <c r="E145" s="36" t="s">
        <v>306</v>
      </c>
      <c r="F145" s="38">
        <f t="shared" si="31"/>
        <v>100</v>
      </c>
      <c r="G145" s="37" t="s">
        <v>225</v>
      </c>
      <c r="H145" s="47"/>
      <c r="I145" s="48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8"/>
      <c r="U145" s="48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8"/>
      <c r="AG145" s="48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>
        <v>0</v>
      </c>
      <c r="AS145" s="49">
        <v>0</v>
      </c>
      <c r="AT145" s="49"/>
      <c r="AU145" s="49">
        <v>0</v>
      </c>
      <c r="AV145" s="49">
        <v>0</v>
      </c>
      <c r="AW145" s="49"/>
      <c r="AX145" s="49">
        <v>0</v>
      </c>
      <c r="AY145" s="49"/>
      <c r="AZ145" s="49">
        <v>0</v>
      </c>
      <c r="BA145" s="49">
        <v>0</v>
      </c>
      <c r="BB145" s="49">
        <v>0</v>
      </c>
      <c r="BC145" s="49">
        <v>0</v>
      </c>
      <c r="BD145" s="49">
        <v>0</v>
      </c>
      <c r="BE145" s="49">
        <v>100</v>
      </c>
      <c r="BF145" s="49"/>
      <c r="BG145" s="49"/>
      <c r="BH145" s="49"/>
      <c r="BI145" s="49">
        <v>0</v>
      </c>
      <c r="BJ145" s="49"/>
      <c r="BK145" s="49"/>
      <c r="BL145" s="49">
        <v>0</v>
      </c>
      <c r="BM145" s="49"/>
      <c r="BN145" s="49">
        <v>0</v>
      </c>
      <c r="BO145" s="49"/>
      <c r="BP145" s="50">
        <v>0</v>
      </c>
      <c r="BQ145" s="50">
        <v>0</v>
      </c>
      <c r="BR145" s="50"/>
      <c r="BS145" s="50">
        <v>0</v>
      </c>
      <c r="BT145" s="50">
        <v>0</v>
      </c>
      <c r="BU145" s="50">
        <v>0</v>
      </c>
      <c r="BV145" s="50"/>
      <c r="BW145" s="50">
        <v>0</v>
      </c>
      <c r="BX145" s="50"/>
      <c r="BY145" s="50"/>
      <c r="BZ145" s="50"/>
      <c r="CA145" s="50">
        <v>0</v>
      </c>
      <c r="CB145" s="50">
        <v>0</v>
      </c>
      <c r="CC145" s="50">
        <v>0</v>
      </c>
      <c r="CD145" s="50">
        <v>0</v>
      </c>
      <c r="CE145" s="50">
        <v>0</v>
      </c>
      <c r="CF145" s="50">
        <v>0</v>
      </c>
      <c r="CG145" s="50"/>
      <c r="CH145" s="50">
        <v>0</v>
      </c>
      <c r="CI145" s="50">
        <v>0</v>
      </c>
      <c r="CJ145" s="50">
        <v>0</v>
      </c>
      <c r="CK145" s="50">
        <v>0</v>
      </c>
      <c r="CL145" s="50">
        <v>0</v>
      </c>
      <c r="CM145" s="50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2">
        <v>0</v>
      </c>
      <c r="DG145" s="52">
        <v>0</v>
      </c>
      <c r="DH145" s="52">
        <v>0</v>
      </c>
      <c r="DI145" s="52">
        <v>0</v>
      </c>
      <c r="DJ145" s="52">
        <v>0</v>
      </c>
      <c r="DK145" s="52">
        <v>0</v>
      </c>
      <c r="DL145" s="52">
        <v>0</v>
      </c>
      <c r="DM145" s="52">
        <v>0</v>
      </c>
      <c r="DN145" s="52">
        <v>0</v>
      </c>
      <c r="DO145" s="52">
        <v>0</v>
      </c>
      <c r="DP145" s="52">
        <v>0</v>
      </c>
      <c r="DQ145" s="52">
        <v>0</v>
      </c>
      <c r="DR145" s="52">
        <v>0</v>
      </c>
      <c r="DS145" s="53">
        <v>0</v>
      </c>
      <c r="DT145" s="53">
        <v>0</v>
      </c>
      <c r="DU145" s="53">
        <v>0</v>
      </c>
      <c r="DV145" s="53">
        <v>0</v>
      </c>
      <c r="DW145" s="53">
        <v>0</v>
      </c>
      <c r="DX145" s="2"/>
      <c r="DY145" s="2"/>
      <c r="DZ145" s="46">
        <f t="shared" si="34"/>
        <v>0</v>
      </c>
      <c r="EA145" s="46">
        <f t="shared" si="35"/>
        <v>0</v>
      </c>
      <c r="EB145" s="46">
        <f t="shared" si="36"/>
        <v>0</v>
      </c>
      <c r="EC145" s="46">
        <f t="shared" si="37"/>
        <v>0</v>
      </c>
      <c r="ED145" s="46">
        <f t="shared" si="38"/>
        <v>100</v>
      </c>
      <c r="EE145" s="46">
        <f t="shared" si="39"/>
        <v>0</v>
      </c>
      <c r="EF145" s="46">
        <f t="shared" si="40"/>
        <v>0</v>
      </c>
      <c r="EG145" s="46">
        <f t="shared" si="41"/>
        <v>0</v>
      </c>
      <c r="EH145" s="46">
        <f t="shared" si="32"/>
        <v>0</v>
      </c>
      <c r="EI145" s="46">
        <f t="shared" si="33"/>
        <v>0</v>
      </c>
    </row>
    <row r="146" spans="3:139" ht="12">
      <c r="C146" s="36" t="s">
        <v>309</v>
      </c>
      <c r="D146" s="36" t="s">
        <v>305</v>
      </c>
      <c r="E146" s="36" t="s">
        <v>306</v>
      </c>
      <c r="F146" s="38">
        <f t="shared" si="31"/>
        <v>200</v>
      </c>
      <c r="G146" s="37" t="s">
        <v>225</v>
      </c>
      <c r="H146" s="47"/>
      <c r="I146" s="48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8"/>
      <c r="U146" s="48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8"/>
      <c r="AG146" s="48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>
        <v>0</v>
      </c>
      <c r="AS146" s="49">
        <v>0</v>
      </c>
      <c r="AT146" s="49"/>
      <c r="AU146" s="49">
        <v>0</v>
      </c>
      <c r="AV146" s="49">
        <v>0</v>
      </c>
      <c r="AW146" s="49"/>
      <c r="AX146" s="49">
        <v>0</v>
      </c>
      <c r="AY146" s="49"/>
      <c r="AZ146" s="49">
        <v>0</v>
      </c>
      <c r="BA146" s="49">
        <v>0</v>
      </c>
      <c r="BB146" s="49">
        <v>0</v>
      </c>
      <c r="BC146" s="49">
        <v>0</v>
      </c>
      <c r="BD146" s="49">
        <v>0</v>
      </c>
      <c r="BE146" s="49">
        <v>0</v>
      </c>
      <c r="BF146" s="49">
        <v>200</v>
      </c>
      <c r="BG146" s="49"/>
      <c r="BH146" s="49"/>
      <c r="BI146" s="49">
        <v>0</v>
      </c>
      <c r="BJ146" s="49"/>
      <c r="BK146" s="49"/>
      <c r="BL146" s="49">
        <v>0</v>
      </c>
      <c r="BM146" s="49"/>
      <c r="BN146" s="49">
        <v>0</v>
      </c>
      <c r="BO146" s="49"/>
      <c r="BP146" s="50">
        <v>0</v>
      </c>
      <c r="BQ146" s="50">
        <v>0</v>
      </c>
      <c r="BR146" s="50"/>
      <c r="BS146" s="50">
        <v>0</v>
      </c>
      <c r="BT146" s="50">
        <v>0</v>
      </c>
      <c r="BU146" s="50">
        <v>0</v>
      </c>
      <c r="BV146" s="50"/>
      <c r="BW146" s="50">
        <v>0</v>
      </c>
      <c r="BX146" s="50"/>
      <c r="BY146" s="50"/>
      <c r="BZ146" s="50"/>
      <c r="CA146" s="50">
        <v>0</v>
      </c>
      <c r="CB146" s="50">
        <v>0</v>
      </c>
      <c r="CC146" s="50">
        <v>0</v>
      </c>
      <c r="CD146" s="50">
        <v>0</v>
      </c>
      <c r="CE146" s="50">
        <v>0</v>
      </c>
      <c r="CF146" s="50">
        <v>0</v>
      </c>
      <c r="CG146" s="50"/>
      <c r="CH146" s="50">
        <v>0</v>
      </c>
      <c r="CI146" s="50">
        <v>0</v>
      </c>
      <c r="CJ146" s="50">
        <v>0</v>
      </c>
      <c r="CK146" s="50">
        <v>0</v>
      </c>
      <c r="CL146" s="50">
        <v>0</v>
      </c>
      <c r="CM146" s="50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2">
        <v>0</v>
      </c>
      <c r="DG146" s="52">
        <v>0</v>
      </c>
      <c r="DH146" s="52">
        <v>0</v>
      </c>
      <c r="DI146" s="52">
        <v>0</v>
      </c>
      <c r="DJ146" s="52">
        <v>0</v>
      </c>
      <c r="DK146" s="52">
        <v>0</v>
      </c>
      <c r="DL146" s="52">
        <v>0</v>
      </c>
      <c r="DM146" s="52">
        <v>0</v>
      </c>
      <c r="DN146" s="52">
        <v>0</v>
      </c>
      <c r="DO146" s="52">
        <v>0</v>
      </c>
      <c r="DP146" s="52">
        <v>0</v>
      </c>
      <c r="DQ146" s="52">
        <v>0</v>
      </c>
      <c r="DR146" s="52">
        <v>0</v>
      </c>
      <c r="DS146" s="53">
        <v>0</v>
      </c>
      <c r="DT146" s="53">
        <v>0</v>
      </c>
      <c r="DU146" s="53">
        <v>0</v>
      </c>
      <c r="DV146" s="53">
        <v>0</v>
      </c>
      <c r="DW146" s="53">
        <v>0</v>
      </c>
      <c r="DX146" s="2"/>
      <c r="DY146" s="2"/>
      <c r="DZ146" s="46">
        <f t="shared" si="34"/>
        <v>0</v>
      </c>
      <c r="EA146" s="46">
        <f t="shared" si="35"/>
        <v>0</v>
      </c>
      <c r="EB146" s="46">
        <f t="shared" si="36"/>
        <v>0</v>
      </c>
      <c r="EC146" s="46">
        <f t="shared" si="37"/>
        <v>0</v>
      </c>
      <c r="ED146" s="46">
        <f t="shared" si="38"/>
        <v>200</v>
      </c>
      <c r="EE146" s="46">
        <f t="shared" si="39"/>
        <v>0</v>
      </c>
      <c r="EF146" s="46">
        <f t="shared" si="40"/>
        <v>0</v>
      </c>
      <c r="EG146" s="46">
        <f t="shared" si="41"/>
        <v>0</v>
      </c>
      <c r="EH146" s="46">
        <f t="shared" si="32"/>
        <v>0</v>
      </c>
      <c r="EI146" s="46">
        <f t="shared" si="33"/>
        <v>0</v>
      </c>
    </row>
    <row r="147" spans="3:139" ht="12">
      <c r="C147" s="36" t="s">
        <v>310</v>
      </c>
      <c r="D147" s="36" t="s">
        <v>212</v>
      </c>
      <c r="E147" s="36"/>
      <c r="F147" s="38">
        <f t="shared" si="31"/>
        <v>0</v>
      </c>
      <c r="G147" s="37" t="s">
        <v>225</v>
      </c>
      <c r="H147" s="47"/>
      <c r="I147" s="48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8"/>
      <c r="U147" s="48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8"/>
      <c r="AG147" s="48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50"/>
      <c r="BQ147" s="50"/>
      <c r="BR147" s="50"/>
      <c r="BS147" s="50">
        <v>0</v>
      </c>
      <c r="BT147" s="50">
        <v>0</v>
      </c>
      <c r="BU147" s="50">
        <v>0</v>
      </c>
      <c r="BV147" s="50"/>
      <c r="BW147" s="50">
        <v>0</v>
      </c>
      <c r="BX147" s="50"/>
      <c r="BY147" s="50"/>
      <c r="BZ147" s="50"/>
      <c r="CA147" s="50">
        <v>0</v>
      </c>
      <c r="CB147" s="50">
        <v>0</v>
      </c>
      <c r="CC147" s="50">
        <v>0</v>
      </c>
      <c r="CD147" s="50">
        <v>0</v>
      </c>
      <c r="CE147" s="50">
        <v>0</v>
      </c>
      <c r="CF147" s="50">
        <v>0</v>
      </c>
      <c r="CG147" s="50"/>
      <c r="CH147" s="50">
        <v>0</v>
      </c>
      <c r="CI147" s="50">
        <v>0</v>
      </c>
      <c r="CJ147" s="50">
        <v>0</v>
      </c>
      <c r="CK147" s="50">
        <v>0</v>
      </c>
      <c r="CL147" s="50">
        <v>0</v>
      </c>
      <c r="CM147" s="50">
        <v>0</v>
      </c>
      <c r="CN147" s="51">
        <v>0</v>
      </c>
      <c r="CO147" s="51">
        <v>0</v>
      </c>
      <c r="CP147" s="51">
        <v>0</v>
      </c>
      <c r="CQ147" s="51"/>
      <c r="CR147" s="51">
        <v>0</v>
      </c>
      <c r="CS147" s="51">
        <v>0</v>
      </c>
      <c r="CT147" s="51"/>
      <c r="CU147" s="51">
        <v>0</v>
      </c>
      <c r="CV147" s="51"/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/>
      <c r="DC147" s="51">
        <v>0</v>
      </c>
      <c r="DD147" s="51">
        <v>0</v>
      </c>
      <c r="DE147" s="51">
        <v>0</v>
      </c>
      <c r="DF147" s="52">
        <v>0</v>
      </c>
      <c r="DG147" s="52">
        <v>0</v>
      </c>
      <c r="DH147" s="52">
        <v>0</v>
      </c>
      <c r="DI147" s="52">
        <v>0</v>
      </c>
      <c r="DJ147" s="52">
        <v>0</v>
      </c>
      <c r="DK147" s="52">
        <v>0</v>
      </c>
      <c r="DL147" s="52">
        <v>0</v>
      </c>
      <c r="DM147" s="52">
        <v>0</v>
      </c>
      <c r="DN147" s="52">
        <v>0</v>
      </c>
      <c r="DO147" s="52">
        <v>0</v>
      </c>
      <c r="DP147" s="52">
        <v>0</v>
      </c>
      <c r="DQ147" s="52">
        <v>0</v>
      </c>
      <c r="DR147" s="52">
        <v>0</v>
      </c>
      <c r="DS147" s="53">
        <v>0</v>
      </c>
      <c r="DT147" s="53">
        <v>0</v>
      </c>
      <c r="DU147" s="53">
        <v>0</v>
      </c>
      <c r="DV147" s="53">
        <v>0</v>
      </c>
      <c r="DW147" s="53">
        <v>0</v>
      </c>
      <c r="DX147" s="2"/>
      <c r="DY147" s="2"/>
      <c r="DZ147" s="46">
        <f t="shared" si="34"/>
        <v>0</v>
      </c>
      <c r="EA147" s="46">
        <f t="shared" si="35"/>
        <v>0</v>
      </c>
      <c r="EB147" s="46">
        <f t="shared" si="36"/>
        <v>0</v>
      </c>
      <c r="EC147" s="46">
        <f t="shared" si="37"/>
        <v>0</v>
      </c>
      <c r="ED147" s="46">
        <f t="shared" si="38"/>
        <v>0</v>
      </c>
      <c r="EE147" s="46">
        <f t="shared" si="39"/>
        <v>0</v>
      </c>
      <c r="EF147" s="46">
        <f t="shared" si="40"/>
        <v>0</v>
      </c>
      <c r="EG147" s="46">
        <f t="shared" si="41"/>
        <v>0</v>
      </c>
      <c r="EH147" s="46">
        <f t="shared" si="32"/>
        <v>0</v>
      </c>
      <c r="EI147" s="46">
        <f t="shared" si="33"/>
        <v>0</v>
      </c>
    </row>
    <row r="148" spans="3:139" ht="12">
      <c r="C148" s="36" t="s">
        <v>311</v>
      </c>
      <c r="D148" s="36" t="s">
        <v>305</v>
      </c>
      <c r="E148" s="36" t="s">
        <v>306</v>
      </c>
      <c r="F148" s="38">
        <f t="shared" si="31"/>
        <v>154292</v>
      </c>
      <c r="G148" s="37" t="s">
        <v>225</v>
      </c>
      <c r="H148" s="47"/>
      <c r="I148" s="48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8"/>
      <c r="U148" s="48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8"/>
      <c r="AG148" s="48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>
        <v>0</v>
      </c>
      <c r="AS148" s="49">
        <v>0</v>
      </c>
      <c r="AT148" s="49"/>
      <c r="AU148" s="49">
        <v>0</v>
      </c>
      <c r="AV148" s="49">
        <v>0</v>
      </c>
      <c r="AW148" s="49"/>
      <c r="AX148" s="49">
        <v>0</v>
      </c>
      <c r="AY148" s="49"/>
      <c r="AZ148" s="49">
        <v>0</v>
      </c>
      <c r="BA148" s="49">
        <v>0</v>
      </c>
      <c r="BB148" s="49">
        <v>0</v>
      </c>
      <c r="BC148" s="49">
        <v>0</v>
      </c>
      <c r="BD148" s="49">
        <v>0</v>
      </c>
      <c r="BE148" s="49">
        <v>1000</v>
      </c>
      <c r="BF148" s="49">
        <v>1060</v>
      </c>
      <c r="BG148" s="49">
        <v>380</v>
      </c>
      <c r="BH148" s="49">
        <v>8760</v>
      </c>
      <c r="BI148" s="49">
        <v>5860</v>
      </c>
      <c r="BJ148" s="49">
        <v>5180</v>
      </c>
      <c r="BK148" s="49">
        <v>2920</v>
      </c>
      <c r="BL148" s="49">
        <v>7520</v>
      </c>
      <c r="BM148" s="49">
        <v>6580</v>
      </c>
      <c r="BN148" s="49">
        <v>5360</v>
      </c>
      <c r="BO148" s="49">
        <v>5469</v>
      </c>
      <c r="BP148" s="50">
        <v>3380</v>
      </c>
      <c r="BQ148" s="50">
        <v>5601</v>
      </c>
      <c r="BR148" s="50">
        <v>5001</v>
      </c>
      <c r="BS148" s="50">
        <v>4599</v>
      </c>
      <c r="BT148" s="50">
        <v>5200</v>
      </c>
      <c r="BU148" s="50">
        <v>2560</v>
      </c>
      <c r="BV148" s="50">
        <v>3800</v>
      </c>
      <c r="BW148" s="50">
        <v>1940</v>
      </c>
      <c r="BX148" s="50">
        <v>800</v>
      </c>
      <c r="BY148" s="50">
        <v>3780</v>
      </c>
      <c r="BZ148" s="50">
        <v>5380</v>
      </c>
      <c r="CA148" s="50">
        <v>2100</v>
      </c>
      <c r="CB148" s="50">
        <v>3740</v>
      </c>
      <c r="CC148" s="50">
        <v>4999</v>
      </c>
      <c r="CD148" s="50">
        <v>3330</v>
      </c>
      <c r="CE148" s="50">
        <v>4729</v>
      </c>
      <c r="CF148" s="50">
        <v>562</v>
      </c>
      <c r="CG148" s="50">
        <v>5279</v>
      </c>
      <c r="CH148" s="50">
        <v>1214</v>
      </c>
      <c r="CI148" s="50">
        <v>4496</v>
      </c>
      <c r="CJ148" s="50">
        <v>2617</v>
      </c>
      <c r="CK148" s="50">
        <v>2761</v>
      </c>
      <c r="CL148" s="50">
        <v>4637</v>
      </c>
      <c r="CM148" s="50">
        <v>1654</v>
      </c>
      <c r="CN148" s="51">
        <v>4418</v>
      </c>
      <c r="CO148" s="51">
        <v>2122</v>
      </c>
      <c r="CP148" s="51">
        <v>3013</v>
      </c>
      <c r="CQ148" s="51">
        <v>1926</v>
      </c>
      <c r="CR148" s="51">
        <v>3337</v>
      </c>
      <c r="CS148" s="51">
        <v>3854</v>
      </c>
      <c r="CT148" s="51">
        <v>20</v>
      </c>
      <c r="CU148" s="51">
        <v>98</v>
      </c>
      <c r="CV148" s="51">
        <v>26</v>
      </c>
      <c r="CW148" s="51">
        <v>0</v>
      </c>
      <c r="CX148" s="51">
        <v>0</v>
      </c>
      <c r="CY148" s="51">
        <v>277</v>
      </c>
      <c r="CZ148" s="51">
        <v>0</v>
      </c>
      <c r="DA148" s="51">
        <v>0</v>
      </c>
      <c r="DB148" s="51">
        <v>482</v>
      </c>
      <c r="DC148" s="51">
        <v>22</v>
      </c>
      <c r="DD148" s="51">
        <v>0</v>
      </c>
      <c r="DE148" s="51">
        <v>52</v>
      </c>
      <c r="DF148" s="52">
        <v>120</v>
      </c>
      <c r="DG148" s="52">
        <v>0</v>
      </c>
      <c r="DH148" s="52">
        <v>0</v>
      </c>
      <c r="DI148" s="52">
        <v>43</v>
      </c>
      <c r="DJ148" s="52">
        <v>0</v>
      </c>
      <c r="DK148" s="52">
        <v>0</v>
      </c>
      <c r="DL148" s="52">
        <v>1</v>
      </c>
      <c r="DM148" s="52">
        <v>100</v>
      </c>
      <c r="DN148" s="52">
        <v>0</v>
      </c>
      <c r="DO148" s="52">
        <v>0</v>
      </c>
      <c r="DP148" s="52">
        <v>0</v>
      </c>
      <c r="DQ148" s="52">
        <v>133</v>
      </c>
      <c r="DR148" s="52">
        <v>78</v>
      </c>
      <c r="DS148" s="53">
        <v>0</v>
      </c>
      <c r="DT148" s="53">
        <v>0</v>
      </c>
      <c r="DU148" s="53">
        <v>0</v>
      </c>
      <c r="DV148" s="53">
        <v>0</v>
      </c>
      <c r="DW148" s="53">
        <v>0</v>
      </c>
      <c r="DX148" s="2"/>
      <c r="DY148" s="2"/>
      <c r="DZ148" s="46">
        <f t="shared" si="34"/>
        <v>0</v>
      </c>
      <c r="EA148" s="46">
        <f t="shared" si="35"/>
        <v>0</v>
      </c>
      <c r="EB148" s="46">
        <f t="shared" si="36"/>
        <v>0</v>
      </c>
      <c r="EC148" s="46">
        <f t="shared" si="37"/>
        <v>0</v>
      </c>
      <c r="ED148" s="46">
        <f t="shared" si="38"/>
        <v>50089</v>
      </c>
      <c r="EE148" s="46">
        <f t="shared" si="39"/>
        <v>44141</v>
      </c>
      <c r="EF148" s="46">
        <f t="shared" si="40"/>
        <v>40018</v>
      </c>
      <c r="EG148" s="46">
        <f t="shared" si="41"/>
        <v>19091</v>
      </c>
      <c r="EH148" s="46">
        <f t="shared" si="32"/>
        <v>719</v>
      </c>
      <c r="EI148" s="46">
        <f t="shared" si="33"/>
        <v>101</v>
      </c>
    </row>
    <row r="149" spans="3:139" ht="12">
      <c r="C149" s="36" t="s">
        <v>312</v>
      </c>
      <c r="D149" s="36" t="s">
        <v>313</v>
      </c>
      <c r="E149" s="36" t="s">
        <v>314</v>
      </c>
      <c r="F149" s="38">
        <f t="shared" si="31"/>
        <v>3466</v>
      </c>
      <c r="G149" s="37" t="s">
        <v>225</v>
      </c>
      <c r="H149" s="47"/>
      <c r="I149" s="48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8"/>
      <c r="U149" s="48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8"/>
      <c r="AG149" s="48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>
        <v>0</v>
      </c>
      <c r="BI149" s="49">
        <v>0</v>
      </c>
      <c r="BJ149" s="49"/>
      <c r="BK149" s="49"/>
      <c r="BL149" s="49">
        <v>0</v>
      </c>
      <c r="BM149" s="49"/>
      <c r="BN149" s="49">
        <v>0</v>
      </c>
      <c r="BO149" s="49"/>
      <c r="BP149" s="50">
        <v>0</v>
      </c>
      <c r="BQ149" s="50">
        <v>60</v>
      </c>
      <c r="BR149" s="50">
        <v>460</v>
      </c>
      <c r="BS149" s="50">
        <v>120</v>
      </c>
      <c r="BT149" s="50">
        <v>840</v>
      </c>
      <c r="BU149" s="50">
        <v>240</v>
      </c>
      <c r="BV149" s="50">
        <v>1100</v>
      </c>
      <c r="BW149" s="50">
        <v>0</v>
      </c>
      <c r="BX149" s="50"/>
      <c r="BY149" s="50">
        <v>500</v>
      </c>
      <c r="BZ149" s="50">
        <v>140</v>
      </c>
      <c r="CA149" s="50">
        <v>20</v>
      </c>
      <c r="CB149" s="50">
        <v>0</v>
      </c>
      <c r="CC149" s="50">
        <v>0</v>
      </c>
      <c r="CD149" s="50">
        <v>0</v>
      </c>
      <c r="CE149" s="50">
        <v>0</v>
      </c>
      <c r="CF149" s="50">
        <v>0</v>
      </c>
      <c r="CG149" s="50"/>
      <c r="CH149" s="50">
        <v>0</v>
      </c>
      <c r="CI149" s="50">
        <v>0</v>
      </c>
      <c r="CJ149" s="50">
        <v>0</v>
      </c>
      <c r="CK149" s="50">
        <v>0</v>
      </c>
      <c r="CL149" s="50">
        <v>0</v>
      </c>
      <c r="CM149" s="50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-7</v>
      </c>
      <c r="CS149" s="51">
        <v>-7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</v>
      </c>
      <c r="DC149" s="51">
        <v>0</v>
      </c>
      <c r="DD149" s="51">
        <v>0</v>
      </c>
      <c r="DE149" s="51">
        <v>0</v>
      </c>
      <c r="DF149" s="52">
        <v>0</v>
      </c>
      <c r="DG149" s="52">
        <v>0</v>
      </c>
      <c r="DH149" s="52">
        <v>0</v>
      </c>
      <c r="DI149" s="52">
        <v>0</v>
      </c>
      <c r="DJ149" s="52">
        <v>0</v>
      </c>
      <c r="DK149" s="52">
        <v>0</v>
      </c>
      <c r="DL149" s="52">
        <v>0</v>
      </c>
      <c r="DM149" s="52">
        <v>0</v>
      </c>
      <c r="DN149" s="52">
        <v>0</v>
      </c>
      <c r="DO149" s="52">
        <v>0</v>
      </c>
      <c r="DP149" s="52">
        <v>0</v>
      </c>
      <c r="DQ149" s="52">
        <v>0</v>
      </c>
      <c r="DR149" s="52">
        <v>0</v>
      </c>
      <c r="DS149" s="53">
        <v>0</v>
      </c>
      <c r="DT149" s="53">
        <v>0</v>
      </c>
      <c r="DU149" s="53">
        <v>0</v>
      </c>
      <c r="DV149" s="53">
        <v>0</v>
      </c>
      <c r="DW149" s="53">
        <v>0</v>
      </c>
      <c r="DX149" s="2"/>
      <c r="DY149" s="2"/>
      <c r="DZ149" s="46">
        <f t="shared" si="34"/>
        <v>0</v>
      </c>
      <c r="EA149" s="46">
        <f t="shared" si="35"/>
        <v>0</v>
      </c>
      <c r="EB149" s="46">
        <f t="shared" si="36"/>
        <v>0</v>
      </c>
      <c r="EC149" s="46">
        <f t="shared" si="37"/>
        <v>0</v>
      </c>
      <c r="ED149" s="46">
        <f t="shared" si="38"/>
        <v>0</v>
      </c>
      <c r="EE149" s="46">
        <f t="shared" si="39"/>
        <v>3480</v>
      </c>
      <c r="EF149" s="46">
        <f t="shared" si="40"/>
        <v>0</v>
      </c>
      <c r="EG149" s="46">
        <f t="shared" si="41"/>
        <v>-14</v>
      </c>
      <c r="EH149" s="46">
        <f t="shared" si="32"/>
        <v>0</v>
      </c>
      <c r="EI149" s="46">
        <f t="shared" si="33"/>
        <v>0</v>
      </c>
    </row>
    <row r="150" spans="3:139" ht="12">
      <c r="C150" s="36" t="s">
        <v>315</v>
      </c>
      <c r="D150" s="36" t="s">
        <v>313</v>
      </c>
      <c r="E150" s="36" t="s">
        <v>314</v>
      </c>
      <c r="F150" s="38">
        <f t="shared" si="31"/>
        <v>1923</v>
      </c>
      <c r="G150" s="37" t="s">
        <v>225</v>
      </c>
      <c r="H150" s="47"/>
      <c r="I150" s="48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8"/>
      <c r="U150" s="48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8"/>
      <c r="AG150" s="48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>
        <v>100</v>
      </c>
      <c r="BL150" s="49">
        <v>100</v>
      </c>
      <c r="BM150" s="49">
        <v>320</v>
      </c>
      <c r="BN150" s="49">
        <v>20</v>
      </c>
      <c r="BO150" s="49"/>
      <c r="BP150" s="50">
        <v>20</v>
      </c>
      <c r="BQ150" s="50">
        <v>0</v>
      </c>
      <c r="BR150" s="50">
        <v>175</v>
      </c>
      <c r="BS150" s="50">
        <v>100</v>
      </c>
      <c r="BT150" s="50">
        <v>60</v>
      </c>
      <c r="BU150" s="50">
        <v>400</v>
      </c>
      <c r="BV150" s="50"/>
      <c r="BW150" s="50">
        <v>100</v>
      </c>
      <c r="BX150" s="50"/>
      <c r="BY150" s="50">
        <v>100</v>
      </c>
      <c r="BZ150" s="50"/>
      <c r="CA150" s="50">
        <v>100</v>
      </c>
      <c r="CB150" s="50">
        <v>60</v>
      </c>
      <c r="CC150" s="50">
        <v>19</v>
      </c>
      <c r="CD150" s="50">
        <v>201</v>
      </c>
      <c r="CE150" s="50">
        <v>60</v>
      </c>
      <c r="CF150" s="50">
        <v>-6</v>
      </c>
      <c r="CG150" s="50"/>
      <c r="CH150" s="50">
        <v>0</v>
      </c>
      <c r="CI150" s="50">
        <v>0</v>
      </c>
      <c r="CJ150" s="50">
        <v>0</v>
      </c>
      <c r="CK150" s="50">
        <v>0</v>
      </c>
      <c r="CL150" s="50">
        <v>0</v>
      </c>
      <c r="CM150" s="50">
        <v>0</v>
      </c>
      <c r="CN150" s="51">
        <v>0</v>
      </c>
      <c r="CO150" s="51">
        <v>0</v>
      </c>
      <c r="CP150" s="51">
        <v>0</v>
      </c>
      <c r="CQ150" s="51">
        <v>-6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0</v>
      </c>
      <c r="DC150" s="51">
        <v>0</v>
      </c>
      <c r="DD150" s="51">
        <v>0</v>
      </c>
      <c r="DE150" s="51">
        <v>0</v>
      </c>
      <c r="DF150" s="52">
        <v>0</v>
      </c>
      <c r="DG150" s="52">
        <v>0</v>
      </c>
      <c r="DH150" s="52">
        <v>0</v>
      </c>
      <c r="DI150" s="52">
        <v>0</v>
      </c>
      <c r="DJ150" s="52">
        <v>0</v>
      </c>
      <c r="DK150" s="52">
        <v>0</v>
      </c>
      <c r="DL150" s="52">
        <v>0</v>
      </c>
      <c r="DM150" s="52">
        <v>0</v>
      </c>
      <c r="DN150" s="52">
        <v>0</v>
      </c>
      <c r="DO150" s="52">
        <v>0</v>
      </c>
      <c r="DP150" s="52">
        <v>0</v>
      </c>
      <c r="DQ150" s="52">
        <v>0</v>
      </c>
      <c r="DR150" s="52">
        <v>0</v>
      </c>
      <c r="DS150" s="53">
        <v>0</v>
      </c>
      <c r="DT150" s="53">
        <v>0</v>
      </c>
      <c r="DU150" s="53">
        <v>0</v>
      </c>
      <c r="DV150" s="53">
        <v>0</v>
      </c>
      <c r="DW150" s="53">
        <v>0</v>
      </c>
      <c r="DX150" s="2"/>
      <c r="DY150" s="2"/>
      <c r="DZ150" s="46">
        <f t="shared" si="34"/>
        <v>0</v>
      </c>
      <c r="EA150" s="46">
        <f t="shared" si="35"/>
        <v>0</v>
      </c>
      <c r="EB150" s="46">
        <f t="shared" si="36"/>
        <v>0</v>
      </c>
      <c r="EC150" s="46">
        <f t="shared" si="37"/>
        <v>0</v>
      </c>
      <c r="ED150" s="46">
        <f t="shared" si="38"/>
        <v>540</v>
      </c>
      <c r="EE150" s="46">
        <f t="shared" si="39"/>
        <v>1055</v>
      </c>
      <c r="EF150" s="46">
        <f t="shared" si="40"/>
        <v>334</v>
      </c>
      <c r="EG150" s="46">
        <f t="shared" si="41"/>
        <v>-6</v>
      </c>
      <c r="EH150" s="46">
        <f t="shared" si="32"/>
        <v>0</v>
      </c>
      <c r="EI150" s="46">
        <f t="shared" si="33"/>
        <v>0</v>
      </c>
    </row>
    <row r="151" spans="3:139" ht="12">
      <c r="C151" s="36" t="s">
        <v>316</v>
      </c>
      <c r="D151" s="36" t="s">
        <v>268</v>
      </c>
      <c r="E151" s="36" t="s">
        <v>269</v>
      </c>
      <c r="F151" s="38">
        <f t="shared" si="31"/>
        <v>3903</v>
      </c>
      <c r="G151" s="37" t="s">
        <v>225</v>
      </c>
      <c r="H151" s="47"/>
      <c r="I151" s="48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8"/>
      <c r="U151" s="48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8"/>
      <c r="AG151" s="48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>
        <v>0</v>
      </c>
      <c r="CB151" s="50">
        <v>0</v>
      </c>
      <c r="CC151" s="50">
        <v>0</v>
      </c>
      <c r="CD151" s="50">
        <v>28</v>
      </c>
      <c r="CE151" s="50">
        <v>13</v>
      </c>
      <c r="CF151" s="50">
        <v>20</v>
      </c>
      <c r="CG151" s="50">
        <v>501</v>
      </c>
      <c r="CH151" s="50">
        <v>60</v>
      </c>
      <c r="CI151" s="50">
        <v>60</v>
      </c>
      <c r="CJ151" s="50">
        <v>341</v>
      </c>
      <c r="CK151" s="50">
        <v>228</v>
      </c>
      <c r="CL151" s="50">
        <v>362</v>
      </c>
      <c r="CM151" s="50">
        <v>83</v>
      </c>
      <c r="CN151" s="51">
        <v>610</v>
      </c>
      <c r="CO151" s="51">
        <v>366</v>
      </c>
      <c r="CP151" s="51">
        <v>6</v>
      </c>
      <c r="CQ151" s="51">
        <v>176</v>
      </c>
      <c r="CR151" s="51">
        <v>167</v>
      </c>
      <c r="CS151" s="51">
        <v>837</v>
      </c>
      <c r="CT151" s="51">
        <v>6</v>
      </c>
      <c r="CU151" s="51">
        <v>0</v>
      </c>
      <c r="CV151" s="51">
        <v>0</v>
      </c>
      <c r="CW151" s="51">
        <v>33</v>
      </c>
      <c r="CX151" s="51">
        <v>0</v>
      </c>
      <c r="CY151" s="51">
        <v>0</v>
      </c>
      <c r="CZ151" s="51">
        <v>0</v>
      </c>
      <c r="DA151" s="51">
        <v>0</v>
      </c>
      <c r="DB151" s="51">
        <v>6</v>
      </c>
      <c r="DC151" s="51">
        <v>0</v>
      </c>
      <c r="DD151" s="51">
        <v>0</v>
      </c>
      <c r="DE151" s="51">
        <v>0</v>
      </c>
      <c r="DF151" s="52">
        <v>0</v>
      </c>
      <c r="DG151" s="52">
        <v>0</v>
      </c>
      <c r="DH151" s="52">
        <v>0</v>
      </c>
      <c r="DI151" s="52">
        <v>0</v>
      </c>
      <c r="DJ151" s="52">
        <v>0</v>
      </c>
      <c r="DK151" s="52">
        <v>0</v>
      </c>
      <c r="DL151" s="52">
        <v>0</v>
      </c>
      <c r="DM151" s="52">
        <v>0</v>
      </c>
      <c r="DN151" s="52">
        <v>0</v>
      </c>
      <c r="DO151" s="52">
        <v>0</v>
      </c>
      <c r="DP151" s="52">
        <v>0</v>
      </c>
      <c r="DQ151" s="52">
        <v>0</v>
      </c>
      <c r="DR151" s="52">
        <v>0</v>
      </c>
      <c r="DS151" s="53">
        <v>0</v>
      </c>
      <c r="DT151" s="53">
        <v>0</v>
      </c>
      <c r="DU151" s="53">
        <v>0</v>
      </c>
      <c r="DV151" s="53">
        <v>0</v>
      </c>
      <c r="DW151" s="53">
        <v>0</v>
      </c>
      <c r="DX151" s="2"/>
      <c r="DY151" s="2"/>
      <c r="DZ151" s="46">
        <f t="shared" si="34"/>
        <v>0</v>
      </c>
      <c r="EA151" s="46">
        <f t="shared" si="35"/>
        <v>0</v>
      </c>
      <c r="EB151" s="46">
        <f t="shared" si="36"/>
        <v>0</v>
      </c>
      <c r="EC151" s="46">
        <f t="shared" si="37"/>
        <v>0</v>
      </c>
      <c r="ED151" s="46">
        <f t="shared" si="38"/>
        <v>0</v>
      </c>
      <c r="EE151" s="46">
        <f t="shared" si="39"/>
        <v>0</v>
      </c>
      <c r="EF151" s="46">
        <f t="shared" si="40"/>
        <v>1696</v>
      </c>
      <c r="EG151" s="46">
        <f t="shared" si="41"/>
        <v>2201</v>
      </c>
      <c r="EH151" s="46">
        <f t="shared" si="32"/>
        <v>6</v>
      </c>
      <c r="EI151" s="46">
        <f t="shared" si="33"/>
        <v>0</v>
      </c>
    </row>
    <row r="152" spans="3:139" ht="12">
      <c r="C152" s="36" t="s">
        <v>317</v>
      </c>
      <c r="D152" s="36" t="s">
        <v>318</v>
      </c>
      <c r="E152" s="36" t="s">
        <v>319</v>
      </c>
      <c r="F152" s="38">
        <f t="shared" si="31"/>
        <v>37401</v>
      </c>
      <c r="G152" s="37" t="s">
        <v>225</v>
      </c>
      <c r="H152" s="47"/>
      <c r="I152" s="48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8"/>
      <c r="U152" s="48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8"/>
      <c r="AG152" s="48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>
        <v>80</v>
      </c>
      <c r="CM152" s="50">
        <v>18</v>
      </c>
      <c r="CN152" s="51">
        <v>82</v>
      </c>
      <c r="CO152" s="51">
        <v>-1</v>
      </c>
      <c r="CP152" s="51">
        <v>0</v>
      </c>
      <c r="CQ152" s="51">
        <v>0</v>
      </c>
      <c r="CR152" s="51">
        <v>0</v>
      </c>
      <c r="CS152" s="51">
        <v>0</v>
      </c>
      <c r="CT152" s="51">
        <v>3397</v>
      </c>
      <c r="CU152" s="51">
        <v>840</v>
      </c>
      <c r="CV152" s="51">
        <v>1300</v>
      </c>
      <c r="CW152" s="51">
        <v>1777</v>
      </c>
      <c r="CX152" s="51">
        <v>2357</v>
      </c>
      <c r="CY152" s="51">
        <v>2340</v>
      </c>
      <c r="CZ152" s="51">
        <v>2740</v>
      </c>
      <c r="DA152" s="51">
        <v>4018</v>
      </c>
      <c r="DB152" s="51">
        <v>2422</v>
      </c>
      <c r="DC152" s="51">
        <v>2287</v>
      </c>
      <c r="DD152" s="51">
        <v>1458</v>
      </c>
      <c r="DE152" s="51">
        <v>690</v>
      </c>
      <c r="DF152" s="52">
        <v>2118</v>
      </c>
      <c r="DG152" s="52">
        <v>2938</v>
      </c>
      <c r="DH152" s="52">
        <v>1076</v>
      </c>
      <c r="DI152" s="52">
        <v>920</v>
      </c>
      <c r="DJ152" s="52">
        <v>613</v>
      </c>
      <c r="DK152" s="52">
        <v>-1</v>
      </c>
      <c r="DL152" s="52">
        <v>1554</v>
      </c>
      <c r="DM152" s="52">
        <v>954</v>
      </c>
      <c r="DN152" s="52">
        <v>1424</v>
      </c>
      <c r="DO152" s="52">
        <v>0</v>
      </c>
      <c r="DP152" s="52">
        <v>0</v>
      </c>
      <c r="DQ152" s="52">
        <v>0</v>
      </c>
      <c r="DR152" s="52">
        <v>5</v>
      </c>
      <c r="DS152" s="53">
        <v>0</v>
      </c>
      <c r="DT152" s="53">
        <v>0</v>
      </c>
      <c r="DU152" s="53">
        <v>0</v>
      </c>
      <c r="DV152" s="53">
        <v>0</v>
      </c>
      <c r="DW152" s="53">
        <v>0</v>
      </c>
      <c r="DX152" s="2"/>
      <c r="DY152" s="2"/>
      <c r="DZ152" s="46">
        <f t="shared" si="34"/>
        <v>0</v>
      </c>
      <c r="EA152" s="46">
        <f t="shared" si="35"/>
        <v>0</v>
      </c>
      <c r="EB152" s="46">
        <f t="shared" si="36"/>
        <v>0</v>
      </c>
      <c r="EC152" s="46">
        <f t="shared" si="37"/>
        <v>0</v>
      </c>
      <c r="ED152" s="46">
        <f t="shared" si="38"/>
        <v>0</v>
      </c>
      <c r="EE152" s="46">
        <f t="shared" si="39"/>
        <v>0</v>
      </c>
      <c r="EF152" s="46">
        <f t="shared" si="40"/>
        <v>98</v>
      </c>
      <c r="EG152" s="46">
        <f t="shared" si="41"/>
        <v>12092</v>
      </c>
      <c r="EH152" s="46">
        <f t="shared" si="32"/>
        <v>21280</v>
      </c>
      <c r="EI152" s="46">
        <f t="shared" si="33"/>
        <v>3932</v>
      </c>
    </row>
    <row r="153" spans="3:139" ht="12">
      <c r="C153" s="36" t="s">
        <v>320</v>
      </c>
      <c r="D153" s="36" t="s">
        <v>318</v>
      </c>
      <c r="E153" s="36" t="s">
        <v>319</v>
      </c>
      <c r="F153" s="38">
        <f t="shared" si="31"/>
        <v>25</v>
      </c>
      <c r="G153" s="37" t="s">
        <v>225</v>
      </c>
      <c r="H153" s="47"/>
      <c r="I153" s="48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8"/>
      <c r="U153" s="48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8"/>
      <c r="AG153" s="48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1"/>
      <c r="CO153" s="51">
        <v>0</v>
      </c>
      <c r="CP153" s="51">
        <v>25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0</v>
      </c>
      <c r="DC153" s="51">
        <v>0</v>
      </c>
      <c r="DD153" s="51">
        <v>0</v>
      </c>
      <c r="DE153" s="51">
        <v>0</v>
      </c>
      <c r="DF153" s="52">
        <v>0</v>
      </c>
      <c r="DG153" s="52">
        <v>0</v>
      </c>
      <c r="DH153" s="52">
        <v>0</v>
      </c>
      <c r="DI153" s="52">
        <v>0</v>
      </c>
      <c r="DJ153" s="52">
        <v>0</v>
      </c>
      <c r="DK153" s="52">
        <v>0</v>
      </c>
      <c r="DL153" s="52">
        <v>0</v>
      </c>
      <c r="DM153" s="52">
        <v>0</v>
      </c>
      <c r="DN153" s="52">
        <v>0</v>
      </c>
      <c r="DO153" s="52">
        <v>0</v>
      </c>
      <c r="DP153" s="52">
        <v>0</v>
      </c>
      <c r="DQ153" s="52">
        <v>0</v>
      </c>
      <c r="DR153" s="52">
        <v>0</v>
      </c>
      <c r="DS153" s="53">
        <v>0</v>
      </c>
      <c r="DT153" s="53">
        <v>0</v>
      </c>
      <c r="DU153" s="53">
        <v>0</v>
      </c>
      <c r="DV153" s="53">
        <v>0</v>
      </c>
      <c r="DW153" s="53">
        <v>0</v>
      </c>
      <c r="DX153" s="2"/>
      <c r="DY153" s="2"/>
      <c r="DZ153" s="46">
        <f t="shared" si="34"/>
        <v>0</v>
      </c>
      <c r="EA153" s="46">
        <f t="shared" si="35"/>
        <v>0</v>
      </c>
      <c r="EB153" s="46">
        <f t="shared" si="36"/>
        <v>0</v>
      </c>
      <c r="EC153" s="46">
        <f t="shared" si="37"/>
        <v>0</v>
      </c>
      <c r="ED153" s="46">
        <f t="shared" si="38"/>
        <v>0</v>
      </c>
      <c r="EE153" s="46">
        <f t="shared" si="39"/>
        <v>0</v>
      </c>
      <c r="EF153" s="46">
        <f t="shared" si="40"/>
        <v>0</v>
      </c>
      <c r="EG153" s="46">
        <f t="shared" si="41"/>
        <v>25</v>
      </c>
      <c r="EH153" s="46">
        <f t="shared" si="32"/>
        <v>0</v>
      </c>
      <c r="EI153" s="46">
        <f t="shared" si="33"/>
        <v>0</v>
      </c>
    </row>
    <row r="154" spans="3:139" ht="12">
      <c r="C154" s="36" t="s">
        <v>321</v>
      </c>
      <c r="D154" s="36" t="s">
        <v>318</v>
      </c>
      <c r="E154" s="36" t="s">
        <v>319</v>
      </c>
      <c r="F154" s="38">
        <f t="shared" si="31"/>
        <v>10339</v>
      </c>
      <c r="G154" s="37" t="s">
        <v>225</v>
      </c>
      <c r="H154" s="47"/>
      <c r="I154" s="48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8"/>
      <c r="U154" s="48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8"/>
      <c r="AG154" s="48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1"/>
      <c r="CO154" s="51"/>
      <c r="CP154" s="51">
        <v>620</v>
      </c>
      <c r="CQ154" s="51">
        <v>312</v>
      </c>
      <c r="CR154" s="51">
        <v>-7</v>
      </c>
      <c r="CS154" s="51">
        <v>528</v>
      </c>
      <c r="CT154" s="51">
        <v>1405</v>
      </c>
      <c r="CU154" s="51">
        <v>340</v>
      </c>
      <c r="CV154" s="51">
        <v>11</v>
      </c>
      <c r="CW154" s="51">
        <v>880</v>
      </c>
      <c r="CX154" s="51">
        <v>40</v>
      </c>
      <c r="CY154" s="51">
        <v>527</v>
      </c>
      <c r="CZ154" s="51">
        <v>500</v>
      </c>
      <c r="DA154" s="51">
        <v>-14</v>
      </c>
      <c r="DB154" s="51">
        <v>637</v>
      </c>
      <c r="DC154" s="51">
        <v>726</v>
      </c>
      <c r="DD154" s="51">
        <v>-51</v>
      </c>
      <c r="DE154" s="51">
        <v>1088</v>
      </c>
      <c r="DF154" s="52">
        <v>2498</v>
      </c>
      <c r="DG154" s="52">
        <v>54</v>
      </c>
      <c r="DH154" s="52">
        <v>229</v>
      </c>
      <c r="DI154" s="52">
        <v>0</v>
      </c>
      <c r="DJ154" s="52">
        <v>16</v>
      </c>
      <c r="DK154" s="52">
        <v>0</v>
      </c>
      <c r="DL154" s="52">
        <v>0</v>
      </c>
      <c r="DM154" s="52">
        <v>0</v>
      </c>
      <c r="DN154" s="52">
        <v>0</v>
      </c>
      <c r="DO154" s="52">
        <v>0</v>
      </c>
      <c r="DP154" s="52">
        <v>0</v>
      </c>
      <c r="DQ154" s="52">
        <v>0</v>
      </c>
      <c r="DR154" s="52">
        <v>0</v>
      </c>
      <c r="DS154" s="53">
        <v>0</v>
      </c>
      <c r="DT154" s="53">
        <v>0</v>
      </c>
      <c r="DU154" s="53">
        <v>0</v>
      </c>
      <c r="DV154" s="53">
        <v>0</v>
      </c>
      <c r="DW154" s="53">
        <v>0</v>
      </c>
      <c r="DX154" s="2"/>
      <c r="DY154" s="2"/>
      <c r="DZ154" s="46">
        <f t="shared" si="34"/>
        <v>0</v>
      </c>
      <c r="EA154" s="46">
        <f t="shared" si="35"/>
        <v>0</v>
      </c>
      <c r="EB154" s="46">
        <f t="shared" si="36"/>
        <v>0</v>
      </c>
      <c r="EC154" s="46">
        <f t="shared" si="37"/>
        <v>0</v>
      </c>
      <c r="ED154" s="46">
        <f t="shared" si="38"/>
        <v>0</v>
      </c>
      <c r="EE154" s="46">
        <f t="shared" si="39"/>
        <v>0</v>
      </c>
      <c r="EF154" s="46">
        <f t="shared" si="40"/>
        <v>0</v>
      </c>
      <c r="EG154" s="46">
        <f t="shared" si="41"/>
        <v>4656</v>
      </c>
      <c r="EH154" s="46">
        <f t="shared" si="32"/>
        <v>5683</v>
      </c>
      <c r="EI154" s="46">
        <f t="shared" si="33"/>
        <v>0</v>
      </c>
    </row>
    <row r="155" spans="3:139" ht="12">
      <c r="C155" s="36" t="s">
        <v>322</v>
      </c>
      <c r="D155" s="36" t="s">
        <v>318</v>
      </c>
      <c r="E155" s="36" t="s">
        <v>319</v>
      </c>
      <c r="F155" s="38">
        <f t="shared" si="31"/>
        <v>1270</v>
      </c>
      <c r="G155" s="37" t="s">
        <v>225</v>
      </c>
      <c r="H155" s="47"/>
      <c r="I155" s="48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8"/>
      <c r="U155" s="48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8"/>
      <c r="AG155" s="48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1"/>
      <c r="CO155" s="51"/>
      <c r="CP155" s="51"/>
      <c r="CQ155" s="51"/>
      <c r="CR155" s="51"/>
      <c r="CS155" s="51"/>
      <c r="CT155" s="51">
        <v>0</v>
      </c>
      <c r="CU155" s="51"/>
      <c r="CV155" s="51">
        <v>0</v>
      </c>
      <c r="CW155" s="51"/>
      <c r="CX155" s="51">
        <v>120</v>
      </c>
      <c r="CY155" s="51">
        <v>78</v>
      </c>
      <c r="CZ155" s="51">
        <v>380</v>
      </c>
      <c r="DA155" s="51">
        <v>0</v>
      </c>
      <c r="DB155" s="51">
        <v>30</v>
      </c>
      <c r="DC155" s="51">
        <v>76</v>
      </c>
      <c r="DD155" s="51">
        <v>79</v>
      </c>
      <c r="DE155" s="51">
        <v>0</v>
      </c>
      <c r="DF155" s="52">
        <v>68</v>
      </c>
      <c r="DG155" s="52">
        <v>-15</v>
      </c>
      <c r="DH155" s="52">
        <v>57</v>
      </c>
      <c r="DI155" s="52">
        <v>0</v>
      </c>
      <c r="DJ155" s="52">
        <v>5</v>
      </c>
      <c r="DK155" s="52">
        <v>0</v>
      </c>
      <c r="DL155" s="52">
        <v>153</v>
      </c>
      <c r="DM155" s="52">
        <v>185</v>
      </c>
      <c r="DN155" s="52">
        <v>14</v>
      </c>
      <c r="DO155" s="52">
        <v>0</v>
      </c>
      <c r="DP155" s="52">
        <v>40</v>
      </c>
      <c r="DQ155" s="52">
        <v>0</v>
      </c>
      <c r="DR155" s="52">
        <v>0</v>
      </c>
      <c r="DS155" s="53">
        <v>43</v>
      </c>
      <c r="DT155" s="53">
        <v>43</v>
      </c>
      <c r="DU155" s="53">
        <v>26</v>
      </c>
      <c r="DV155" s="53">
        <v>20</v>
      </c>
      <c r="DW155" s="53">
        <v>12</v>
      </c>
      <c r="DX155" s="2"/>
      <c r="DY155" s="2"/>
      <c r="DZ155" s="46">
        <f t="shared" si="34"/>
        <v>0</v>
      </c>
      <c r="EA155" s="46">
        <f t="shared" si="35"/>
        <v>0</v>
      </c>
      <c r="EB155" s="46">
        <f t="shared" si="36"/>
        <v>0</v>
      </c>
      <c r="EC155" s="46">
        <f t="shared" si="37"/>
        <v>0</v>
      </c>
      <c r="ED155" s="46">
        <f t="shared" si="38"/>
        <v>0</v>
      </c>
      <c r="EE155" s="46">
        <f t="shared" si="39"/>
        <v>0</v>
      </c>
      <c r="EF155" s="46">
        <f t="shared" si="40"/>
        <v>0</v>
      </c>
      <c r="EG155" s="46">
        <f t="shared" si="41"/>
        <v>198</v>
      </c>
      <c r="EH155" s="46">
        <f t="shared" si="32"/>
        <v>680</v>
      </c>
      <c r="EI155" s="46">
        <f t="shared" si="33"/>
        <v>352</v>
      </c>
    </row>
    <row r="156" spans="3:139" ht="12">
      <c r="C156" s="36" t="s">
        <v>323</v>
      </c>
      <c r="D156" s="36" t="s">
        <v>318</v>
      </c>
      <c r="E156" s="36" t="s">
        <v>319</v>
      </c>
      <c r="F156" s="38">
        <f t="shared" si="31"/>
        <v>3686</v>
      </c>
      <c r="G156" s="37" t="s">
        <v>225</v>
      </c>
      <c r="H156" s="47"/>
      <c r="I156" s="48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8"/>
      <c r="U156" s="48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8"/>
      <c r="AG156" s="48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2"/>
      <c r="DG156" s="52"/>
      <c r="DH156" s="52"/>
      <c r="DI156" s="52"/>
      <c r="DJ156" s="52">
        <v>5</v>
      </c>
      <c r="DK156" s="52">
        <v>-5</v>
      </c>
      <c r="DL156" s="52">
        <v>9</v>
      </c>
      <c r="DM156" s="52">
        <v>0</v>
      </c>
      <c r="DN156" s="52">
        <v>2124</v>
      </c>
      <c r="DO156" s="52">
        <v>740</v>
      </c>
      <c r="DP156" s="52">
        <v>295</v>
      </c>
      <c r="DQ156" s="52">
        <v>518</v>
      </c>
      <c r="DR156" s="52">
        <v>-3</v>
      </c>
      <c r="DS156" s="53">
        <v>319</v>
      </c>
      <c r="DT156" s="53">
        <v>319</v>
      </c>
      <c r="DU156" s="53">
        <v>191</v>
      </c>
      <c r="DV156" s="53">
        <v>147</v>
      </c>
      <c r="DW156" s="53">
        <v>93</v>
      </c>
      <c r="DX156" s="2"/>
      <c r="DY156" s="2"/>
      <c r="DZ156" s="46"/>
      <c r="EA156" s="46"/>
      <c r="EB156" s="46"/>
      <c r="EC156" s="46"/>
      <c r="ED156" s="46"/>
      <c r="EE156" s="46"/>
      <c r="EF156" s="46"/>
      <c r="EG156" s="46"/>
      <c r="EH156" s="46">
        <f t="shared" si="32"/>
        <v>5</v>
      </c>
      <c r="EI156" s="46">
        <f t="shared" si="33"/>
        <v>2873</v>
      </c>
    </row>
    <row r="157" spans="3:139" ht="12">
      <c r="C157" s="36" t="s">
        <v>324</v>
      </c>
      <c r="D157" s="36" t="s">
        <v>268</v>
      </c>
      <c r="E157" s="36" t="s">
        <v>269</v>
      </c>
      <c r="F157" s="38">
        <f t="shared" si="31"/>
        <v>602</v>
      </c>
      <c r="G157" s="37" t="s">
        <v>325</v>
      </c>
      <c r="H157" s="47"/>
      <c r="I157" s="48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8"/>
      <c r="U157" s="48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8"/>
      <c r="AG157" s="48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2"/>
      <c r="DG157" s="52"/>
      <c r="DH157" s="52"/>
      <c r="DI157" s="52">
        <v>38</v>
      </c>
      <c r="DJ157" s="52">
        <v>39</v>
      </c>
      <c r="DK157" s="52">
        <v>-1</v>
      </c>
      <c r="DL157" s="52">
        <v>9</v>
      </c>
      <c r="DM157" s="52">
        <v>0</v>
      </c>
      <c r="DN157" s="52">
        <v>-1</v>
      </c>
      <c r="DO157" s="52">
        <v>0</v>
      </c>
      <c r="DP157" s="52">
        <v>0</v>
      </c>
      <c r="DQ157" s="52">
        <v>518</v>
      </c>
      <c r="DR157" s="52">
        <v>509</v>
      </c>
      <c r="DS157" s="53">
        <v>0</v>
      </c>
      <c r="DT157" s="53">
        <v>0</v>
      </c>
      <c r="DU157" s="53">
        <v>0</v>
      </c>
      <c r="DV157" s="53">
        <v>0</v>
      </c>
      <c r="DW157" s="53">
        <v>0</v>
      </c>
      <c r="DX157" s="2"/>
      <c r="DY157" s="2"/>
      <c r="DZ157" s="46"/>
      <c r="EA157" s="46"/>
      <c r="EB157" s="46"/>
      <c r="EC157" s="46"/>
      <c r="ED157" s="46"/>
      <c r="EE157" s="46"/>
      <c r="EF157" s="46"/>
      <c r="EG157" s="46"/>
      <c r="EH157" s="46">
        <f t="shared" si="32"/>
        <v>77</v>
      </c>
      <c r="EI157" s="46">
        <f t="shared" si="33"/>
        <v>8</v>
      </c>
    </row>
    <row r="158" spans="3:139" ht="12">
      <c r="C158" s="36" t="s">
        <v>326</v>
      </c>
      <c r="D158" s="36" t="s">
        <v>268</v>
      </c>
      <c r="E158" s="36" t="s">
        <v>269</v>
      </c>
      <c r="F158" s="38">
        <f t="shared" si="31"/>
        <v>5168</v>
      </c>
      <c r="G158" s="37" t="s">
        <v>325</v>
      </c>
      <c r="H158" s="47"/>
      <c r="I158" s="48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8"/>
      <c r="U158" s="48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8"/>
      <c r="AG158" s="48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2"/>
      <c r="DG158" s="52"/>
      <c r="DH158" s="52">
        <v>20</v>
      </c>
      <c r="DI158" s="52">
        <v>0</v>
      </c>
      <c r="DJ158" s="52">
        <v>0</v>
      </c>
      <c r="DK158" s="52">
        <v>0</v>
      </c>
      <c r="DL158" s="52">
        <v>0</v>
      </c>
      <c r="DM158" s="52">
        <v>151</v>
      </c>
      <c r="DN158" s="52">
        <v>3266</v>
      </c>
      <c r="DO158" s="52">
        <v>275</v>
      </c>
      <c r="DP158" s="52">
        <v>0</v>
      </c>
      <c r="DQ158" s="52">
        <v>1456</v>
      </c>
      <c r="DR158" s="52">
        <v>1523</v>
      </c>
      <c r="DS158" s="53">
        <v>0</v>
      </c>
      <c r="DT158" s="53">
        <v>0</v>
      </c>
      <c r="DU158" s="53">
        <v>0</v>
      </c>
      <c r="DV158" s="53">
        <v>0</v>
      </c>
      <c r="DW158" s="53">
        <v>0</v>
      </c>
      <c r="DX158" s="2"/>
      <c r="DY158" s="2"/>
      <c r="DZ158" s="46"/>
      <c r="EA158" s="46"/>
      <c r="EB158" s="46"/>
      <c r="EC158" s="46"/>
      <c r="ED158" s="46"/>
      <c r="EE158" s="46"/>
      <c r="EF158" s="46"/>
      <c r="EG158" s="46"/>
      <c r="EH158" s="46">
        <f t="shared" si="32"/>
        <v>20</v>
      </c>
      <c r="EI158" s="46">
        <f t="shared" si="33"/>
        <v>3692</v>
      </c>
    </row>
    <row r="159" spans="3:139" ht="12">
      <c r="C159" s="36" t="s">
        <v>327</v>
      </c>
      <c r="D159" s="36" t="s">
        <v>268</v>
      </c>
      <c r="E159" s="36" t="s">
        <v>269</v>
      </c>
      <c r="F159" s="38">
        <f t="shared" si="31"/>
        <v>8431</v>
      </c>
      <c r="G159" s="37" t="s">
        <v>325</v>
      </c>
      <c r="H159" s="47"/>
      <c r="I159" s="48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8"/>
      <c r="U159" s="48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8"/>
      <c r="AG159" s="48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2"/>
      <c r="DG159" s="52"/>
      <c r="DH159" s="52">
        <v>20</v>
      </c>
      <c r="DI159" s="52">
        <v>0</v>
      </c>
      <c r="DJ159" s="52">
        <v>16</v>
      </c>
      <c r="DK159" s="52">
        <v>0</v>
      </c>
      <c r="DL159" s="52">
        <v>0</v>
      </c>
      <c r="DM159" s="52">
        <v>468</v>
      </c>
      <c r="DN159" s="52">
        <v>990</v>
      </c>
      <c r="DO159" s="52">
        <v>4308</v>
      </c>
      <c r="DP159" s="52">
        <v>2629</v>
      </c>
      <c r="DQ159" s="52">
        <v>0</v>
      </c>
      <c r="DR159" s="52">
        <v>14</v>
      </c>
      <c r="DS159" s="53">
        <v>2839</v>
      </c>
      <c r="DT159" s="53">
        <v>2839</v>
      </c>
      <c r="DU159" s="53">
        <v>1703</v>
      </c>
      <c r="DV159" s="53">
        <v>1306</v>
      </c>
      <c r="DW159" s="53">
        <v>823</v>
      </c>
      <c r="DX159" s="2"/>
      <c r="DY159" s="2"/>
      <c r="DZ159" s="46"/>
      <c r="EA159" s="46"/>
      <c r="EB159" s="46"/>
      <c r="EC159" s="46"/>
      <c r="ED159" s="46"/>
      <c r="EE159" s="46"/>
      <c r="EF159" s="46"/>
      <c r="EG159" s="46"/>
      <c r="EH159" s="46">
        <f t="shared" si="32"/>
        <v>36</v>
      </c>
      <c r="EI159" s="46">
        <f t="shared" si="33"/>
        <v>5766</v>
      </c>
    </row>
    <row r="160" spans="3:139" ht="12">
      <c r="C160" s="36" t="s">
        <v>328</v>
      </c>
      <c r="D160" s="36" t="s">
        <v>329</v>
      </c>
      <c r="E160" s="36" t="s">
        <v>330</v>
      </c>
      <c r="F160" s="38">
        <f t="shared" si="31"/>
        <v>42</v>
      </c>
      <c r="G160" s="37" t="s">
        <v>325</v>
      </c>
      <c r="H160" s="47"/>
      <c r="I160" s="48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8"/>
      <c r="U160" s="48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8"/>
      <c r="AG160" s="48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>
        <v>42</v>
      </c>
      <c r="BZ160" s="50"/>
      <c r="CA160" s="50">
        <v>0</v>
      </c>
      <c r="CB160" s="50">
        <v>0</v>
      </c>
      <c r="CC160" s="50">
        <v>0</v>
      </c>
      <c r="CD160" s="50">
        <v>0</v>
      </c>
      <c r="CE160" s="50">
        <v>0</v>
      </c>
      <c r="CF160" s="50">
        <v>0</v>
      </c>
      <c r="CG160" s="50"/>
      <c r="CH160" s="50">
        <v>0</v>
      </c>
      <c r="CI160" s="50">
        <v>0</v>
      </c>
      <c r="CJ160" s="50">
        <v>0</v>
      </c>
      <c r="CK160" s="50">
        <v>0</v>
      </c>
      <c r="CL160" s="50">
        <v>0</v>
      </c>
      <c r="CM160" s="50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2">
        <v>0</v>
      </c>
      <c r="DG160" s="52">
        <v>0</v>
      </c>
      <c r="DH160" s="52">
        <v>0</v>
      </c>
      <c r="DI160" s="52">
        <v>0</v>
      </c>
      <c r="DJ160" s="52">
        <v>0</v>
      </c>
      <c r="DK160" s="52">
        <v>0</v>
      </c>
      <c r="DL160" s="52">
        <v>0</v>
      </c>
      <c r="DM160" s="52">
        <v>0</v>
      </c>
      <c r="DN160" s="52">
        <v>0</v>
      </c>
      <c r="DO160" s="52">
        <v>0</v>
      </c>
      <c r="DP160" s="52">
        <v>0</v>
      </c>
      <c r="DQ160" s="52">
        <v>0</v>
      </c>
      <c r="DR160" s="52">
        <v>0</v>
      </c>
      <c r="DS160" s="53">
        <v>0</v>
      </c>
      <c r="DT160" s="53">
        <v>0</v>
      </c>
      <c r="DU160" s="53">
        <v>0</v>
      </c>
      <c r="DV160" s="53">
        <v>0</v>
      </c>
      <c r="DW160" s="53">
        <v>0</v>
      </c>
      <c r="DX160" s="2"/>
      <c r="DY160" s="2"/>
      <c r="DZ160" s="46">
        <f t="shared" ref="DZ160:DZ167" si="42">SUM(H160:S160)</f>
        <v>0</v>
      </c>
      <c r="EA160" s="46">
        <f t="shared" ref="EA160:EA167" si="43">SUM(T160:AE160)</f>
        <v>0</v>
      </c>
      <c r="EB160" s="46">
        <f t="shared" ref="EB160:EB167" si="44">SUM(AF160:AQ160)</f>
        <v>0</v>
      </c>
      <c r="EC160" s="46">
        <f t="shared" ref="EC160:EC167" si="45">SUM(AR160:BC160)</f>
        <v>0</v>
      </c>
      <c r="ED160" s="46">
        <f t="shared" ref="ED160:ED167" si="46">SUM(BD160:BO160)</f>
        <v>0</v>
      </c>
      <c r="EE160" s="46">
        <f t="shared" ref="EE160:EE167" si="47">SUM(BP160:CA160)</f>
        <v>42</v>
      </c>
      <c r="EF160" s="46">
        <f t="shared" ref="EF160:EF167" si="48">SUM(CB160:CM160)</f>
        <v>0</v>
      </c>
      <c r="EG160" s="46">
        <f t="shared" ref="EG160:EG167" si="49">SUM(CN160:CY160)</f>
        <v>0</v>
      </c>
      <c r="EH160" s="46">
        <f t="shared" si="32"/>
        <v>0</v>
      </c>
      <c r="EI160" s="46">
        <f t="shared" si="33"/>
        <v>0</v>
      </c>
    </row>
    <row r="161" spans="3:139" ht="12">
      <c r="C161" s="36" t="s">
        <v>331</v>
      </c>
      <c r="D161" s="36" t="s">
        <v>298</v>
      </c>
      <c r="E161" s="36" t="s">
        <v>299</v>
      </c>
      <c r="F161" s="38">
        <f t="shared" si="31"/>
        <v>0</v>
      </c>
      <c r="G161" s="37" t="s">
        <v>325</v>
      </c>
      <c r="H161" s="47"/>
      <c r="I161" s="48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8"/>
      <c r="U161" s="48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8"/>
      <c r="AG161" s="48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1"/>
      <c r="CO161" s="51"/>
      <c r="CP161" s="51"/>
      <c r="CQ161" s="51"/>
      <c r="CR161" s="51"/>
      <c r="CS161" s="51"/>
      <c r="CT161" s="51">
        <v>0</v>
      </c>
      <c r="CU161" s="51"/>
      <c r="CV161" s="51">
        <v>0</v>
      </c>
      <c r="CW161" s="51"/>
      <c r="CX161" s="51">
        <v>0</v>
      </c>
      <c r="CY161" s="51">
        <v>0</v>
      </c>
      <c r="CZ161" s="51">
        <v>0</v>
      </c>
      <c r="DA161" s="51">
        <v>0</v>
      </c>
      <c r="DB161" s="51">
        <v>0</v>
      </c>
      <c r="DC161" s="51">
        <v>0</v>
      </c>
      <c r="DD161" s="51">
        <v>0</v>
      </c>
      <c r="DE161" s="51">
        <v>0</v>
      </c>
      <c r="DF161" s="52">
        <v>0</v>
      </c>
      <c r="DG161" s="52">
        <v>0</v>
      </c>
      <c r="DH161" s="52">
        <v>0</v>
      </c>
      <c r="DI161" s="52">
        <v>0</v>
      </c>
      <c r="DJ161" s="52">
        <v>0</v>
      </c>
      <c r="DK161" s="52">
        <v>0</v>
      </c>
      <c r="DL161" s="52">
        <v>0</v>
      </c>
      <c r="DM161" s="52">
        <v>0</v>
      </c>
      <c r="DN161" s="52">
        <v>0</v>
      </c>
      <c r="DO161" s="52">
        <v>0</v>
      </c>
      <c r="DP161" s="52">
        <v>0</v>
      </c>
      <c r="DQ161" s="52">
        <v>0</v>
      </c>
      <c r="DR161" s="52">
        <v>0</v>
      </c>
      <c r="DS161" s="53">
        <v>0</v>
      </c>
      <c r="DT161" s="53">
        <v>0</v>
      </c>
      <c r="DU161" s="53">
        <v>0</v>
      </c>
      <c r="DV161" s="53">
        <v>0</v>
      </c>
      <c r="DW161" s="53">
        <v>0</v>
      </c>
      <c r="DX161" s="2"/>
      <c r="DY161" s="2"/>
      <c r="DZ161" s="46">
        <f t="shared" si="42"/>
        <v>0</v>
      </c>
      <c r="EA161" s="46">
        <f t="shared" si="43"/>
        <v>0</v>
      </c>
      <c r="EB161" s="46">
        <f t="shared" si="44"/>
        <v>0</v>
      </c>
      <c r="EC161" s="46">
        <f t="shared" si="45"/>
        <v>0</v>
      </c>
      <c r="ED161" s="46">
        <f t="shared" si="46"/>
        <v>0</v>
      </c>
      <c r="EE161" s="46">
        <f t="shared" si="47"/>
        <v>0</v>
      </c>
      <c r="EF161" s="46">
        <f t="shared" si="48"/>
        <v>0</v>
      </c>
      <c r="EG161" s="46">
        <f t="shared" si="49"/>
        <v>0</v>
      </c>
      <c r="EH161" s="46">
        <f t="shared" si="32"/>
        <v>0</v>
      </c>
      <c r="EI161" s="46">
        <f t="shared" si="33"/>
        <v>0</v>
      </c>
    </row>
    <row r="162" spans="3:139" ht="13.5" customHeight="1">
      <c r="C162" s="36" t="s">
        <v>332</v>
      </c>
      <c r="D162" s="36" t="s">
        <v>298</v>
      </c>
      <c r="E162" s="36" t="s">
        <v>299</v>
      </c>
      <c r="F162" s="38">
        <f t="shared" si="31"/>
        <v>35167</v>
      </c>
      <c r="G162" s="37" t="s">
        <v>325</v>
      </c>
      <c r="H162" s="47"/>
      <c r="I162" s="48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8"/>
      <c r="U162" s="48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8"/>
      <c r="AG162" s="48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50"/>
      <c r="BQ162" s="50"/>
      <c r="BR162" s="50"/>
      <c r="BS162" s="50"/>
      <c r="BT162" s="50"/>
      <c r="BU162" s="50"/>
      <c r="BV162" s="50"/>
      <c r="BW162" s="50">
        <v>49</v>
      </c>
      <c r="BX162" s="50"/>
      <c r="BY162" s="50"/>
      <c r="BZ162" s="50">
        <v>50</v>
      </c>
      <c r="CA162" s="50">
        <v>0</v>
      </c>
      <c r="CB162" s="50">
        <v>0</v>
      </c>
      <c r="CC162" s="50">
        <v>0</v>
      </c>
      <c r="CD162" s="50">
        <v>0</v>
      </c>
      <c r="CE162" s="50">
        <v>0</v>
      </c>
      <c r="CF162" s="50">
        <v>0</v>
      </c>
      <c r="CG162" s="50"/>
      <c r="CH162" s="50">
        <v>0</v>
      </c>
      <c r="CI162" s="50">
        <v>0</v>
      </c>
      <c r="CJ162" s="50">
        <v>0</v>
      </c>
      <c r="CK162" s="50">
        <v>0</v>
      </c>
      <c r="CL162" s="50">
        <v>0</v>
      </c>
      <c r="CM162" s="50">
        <v>0</v>
      </c>
      <c r="CN162" s="51">
        <v>0</v>
      </c>
      <c r="CO162" s="51">
        <v>0</v>
      </c>
      <c r="CP162" s="51">
        <v>7</v>
      </c>
      <c r="CQ162" s="51">
        <v>0</v>
      </c>
      <c r="CR162" s="51">
        <v>0</v>
      </c>
      <c r="CS162" s="51">
        <v>0</v>
      </c>
      <c r="CT162" s="51">
        <v>810</v>
      </c>
      <c r="CU162" s="51">
        <v>3320</v>
      </c>
      <c r="CV162" s="51">
        <v>1980</v>
      </c>
      <c r="CW162" s="51">
        <v>2740</v>
      </c>
      <c r="CX162" s="51">
        <v>1460</v>
      </c>
      <c r="CY162" s="51">
        <v>180</v>
      </c>
      <c r="CZ162" s="51">
        <v>3560</v>
      </c>
      <c r="DA162" s="51">
        <v>4033</v>
      </c>
      <c r="DB162" s="51">
        <v>1606</v>
      </c>
      <c r="DC162" s="51">
        <v>2792</v>
      </c>
      <c r="DD162" s="51">
        <v>1996</v>
      </c>
      <c r="DE162" s="51">
        <v>172</v>
      </c>
      <c r="DF162" s="52">
        <v>940</v>
      </c>
      <c r="DG162" s="52">
        <v>2345</v>
      </c>
      <c r="DH162" s="52">
        <v>1453</v>
      </c>
      <c r="DI162" s="52">
        <v>474</v>
      </c>
      <c r="DJ162" s="52">
        <v>430</v>
      </c>
      <c r="DK162" s="52">
        <v>0</v>
      </c>
      <c r="DL162" s="52">
        <v>1460</v>
      </c>
      <c r="DM162" s="52">
        <v>1239</v>
      </c>
      <c r="DN162" s="52">
        <v>537</v>
      </c>
      <c r="DO162" s="52">
        <v>305</v>
      </c>
      <c r="DP162" s="52">
        <v>661</v>
      </c>
      <c r="DQ162" s="52">
        <v>568</v>
      </c>
      <c r="DR162" s="52">
        <v>578</v>
      </c>
      <c r="DS162" s="53">
        <v>714</v>
      </c>
      <c r="DT162" s="53">
        <v>714</v>
      </c>
      <c r="DU162" s="53">
        <v>428</v>
      </c>
      <c r="DV162" s="53">
        <v>328</v>
      </c>
      <c r="DW162" s="53">
        <v>207</v>
      </c>
      <c r="DX162" s="2"/>
      <c r="DY162" s="2"/>
      <c r="DZ162" s="46">
        <f t="shared" si="42"/>
        <v>0</v>
      </c>
      <c r="EA162" s="46">
        <f t="shared" si="43"/>
        <v>0</v>
      </c>
      <c r="EB162" s="46">
        <f t="shared" si="44"/>
        <v>0</v>
      </c>
      <c r="EC162" s="46">
        <f t="shared" si="45"/>
        <v>0</v>
      </c>
      <c r="ED162" s="46">
        <f t="shared" si="46"/>
        <v>0</v>
      </c>
      <c r="EE162" s="46">
        <f t="shared" si="47"/>
        <v>99</v>
      </c>
      <c r="EF162" s="46">
        <f t="shared" si="48"/>
        <v>0</v>
      </c>
      <c r="EG162" s="46">
        <f t="shared" si="49"/>
        <v>10497</v>
      </c>
      <c r="EH162" s="46">
        <f t="shared" si="32"/>
        <v>19801</v>
      </c>
      <c r="EI162" s="46">
        <f t="shared" si="33"/>
        <v>3541</v>
      </c>
    </row>
    <row r="163" spans="3:139" ht="12">
      <c r="C163" s="36" t="s">
        <v>333</v>
      </c>
      <c r="D163" s="36" t="s">
        <v>298</v>
      </c>
      <c r="E163" s="36" t="s">
        <v>299</v>
      </c>
      <c r="F163" s="38">
        <f t="shared" si="31"/>
        <v>2991</v>
      </c>
      <c r="G163" s="37" t="s">
        <v>325</v>
      </c>
      <c r="H163" s="47"/>
      <c r="I163" s="48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8"/>
      <c r="U163" s="48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8"/>
      <c r="AG163" s="48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50"/>
      <c r="BQ163" s="50"/>
      <c r="BR163" s="50"/>
      <c r="BS163" s="50"/>
      <c r="BT163" s="50"/>
      <c r="BU163" s="50"/>
      <c r="BV163" s="50"/>
      <c r="BW163" s="50">
        <v>0</v>
      </c>
      <c r="BX163" s="50"/>
      <c r="BY163" s="50"/>
      <c r="BZ163" s="50"/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/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1">
        <v>0</v>
      </c>
      <c r="CO163" s="51">
        <v>0</v>
      </c>
      <c r="CP163" s="51">
        <v>7</v>
      </c>
      <c r="CQ163" s="51">
        <v>0</v>
      </c>
      <c r="CR163" s="51">
        <v>140</v>
      </c>
      <c r="CS163" s="51">
        <v>0</v>
      </c>
      <c r="CT163" s="51">
        <v>0</v>
      </c>
      <c r="CU163" s="51">
        <v>0</v>
      </c>
      <c r="CV163" s="51">
        <v>120</v>
      </c>
      <c r="CW163" s="51">
        <v>69</v>
      </c>
      <c r="CX163" s="51">
        <v>80</v>
      </c>
      <c r="CY163" s="51">
        <v>100</v>
      </c>
      <c r="CZ163" s="51">
        <v>100</v>
      </c>
      <c r="DA163" s="51">
        <v>-7</v>
      </c>
      <c r="DB163" s="51">
        <v>160</v>
      </c>
      <c r="DC163" s="51">
        <v>69</v>
      </c>
      <c r="DD163" s="51">
        <v>221</v>
      </c>
      <c r="DE163" s="51">
        <v>160</v>
      </c>
      <c r="DF163" s="52">
        <v>103</v>
      </c>
      <c r="DG163" s="52">
        <v>168</v>
      </c>
      <c r="DH163" s="52">
        <v>116</v>
      </c>
      <c r="DI163" s="52">
        <v>37</v>
      </c>
      <c r="DJ163" s="52">
        <v>86</v>
      </c>
      <c r="DK163" s="52">
        <v>0</v>
      </c>
      <c r="DL163" s="52">
        <v>419</v>
      </c>
      <c r="DM163" s="52">
        <v>81</v>
      </c>
      <c r="DN163" s="52">
        <v>178</v>
      </c>
      <c r="DO163" s="52">
        <v>309</v>
      </c>
      <c r="DP163" s="52">
        <v>74</v>
      </c>
      <c r="DQ163" s="52">
        <v>201</v>
      </c>
      <c r="DR163" s="52">
        <v>139</v>
      </c>
      <c r="DS163" s="53">
        <v>80</v>
      </c>
      <c r="DT163" s="53">
        <v>80</v>
      </c>
      <c r="DU163" s="53">
        <v>48</v>
      </c>
      <c r="DV163" s="53">
        <v>37</v>
      </c>
      <c r="DW163" s="53">
        <v>23</v>
      </c>
      <c r="DX163" s="2"/>
      <c r="DY163" s="2"/>
      <c r="DZ163" s="46">
        <f t="shared" si="42"/>
        <v>0</v>
      </c>
      <c r="EA163" s="46">
        <f t="shared" si="43"/>
        <v>0</v>
      </c>
      <c r="EB163" s="46">
        <f t="shared" si="44"/>
        <v>0</v>
      </c>
      <c r="EC163" s="46">
        <f t="shared" si="45"/>
        <v>0</v>
      </c>
      <c r="ED163" s="46">
        <f t="shared" si="46"/>
        <v>0</v>
      </c>
      <c r="EE163" s="46">
        <f t="shared" si="47"/>
        <v>0</v>
      </c>
      <c r="EF163" s="46">
        <f t="shared" si="48"/>
        <v>0</v>
      </c>
      <c r="EG163" s="46">
        <f t="shared" si="49"/>
        <v>516</v>
      </c>
      <c r="EH163" s="46">
        <f t="shared" si="32"/>
        <v>1213</v>
      </c>
      <c r="EI163" s="46">
        <f t="shared" si="33"/>
        <v>987</v>
      </c>
    </row>
    <row r="164" spans="3:139" ht="12">
      <c r="C164" s="36" t="s">
        <v>334</v>
      </c>
      <c r="D164" s="36" t="s">
        <v>298</v>
      </c>
      <c r="E164" s="36" t="s">
        <v>299</v>
      </c>
      <c r="F164" s="38">
        <f t="shared" si="31"/>
        <v>42912</v>
      </c>
      <c r="G164" s="37" t="s">
        <v>325</v>
      </c>
      <c r="H164" s="47"/>
      <c r="I164" s="48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8"/>
      <c r="U164" s="48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8"/>
      <c r="AG164" s="48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>
        <v>0</v>
      </c>
      <c r="CI164" s="50">
        <v>0</v>
      </c>
      <c r="CJ164" s="50">
        <v>0</v>
      </c>
      <c r="CK164" s="50">
        <v>0</v>
      </c>
      <c r="CL164" s="50">
        <v>0</v>
      </c>
      <c r="CM164" s="50">
        <v>0</v>
      </c>
      <c r="CN164" s="51">
        <v>0</v>
      </c>
      <c r="CO164" s="51">
        <v>0</v>
      </c>
      <c r="CP164" s="51">
        <v>6</v>
      </c>
      <c r="CQ164" s="51">
        <v>0</v>
      </c>
      <c r="CR164" s="51">
        <v>0</v>
      </c>
      <c r="CS164" s="51">
        <v>330</v>
      </c>
      <c r="CT164" s="51">
        <v>1595</v>
      </c>
      <c r="CU164" s="51">
        <v>420</v>
      </c>
      <c r="CV164" s="51">
        <v>1620</v>
      </c>
      <c r="CW164" s="51">
        <v>1442</v>
      </c>
      <c r="CX164" s="51">
        <v>2176</v>
      </c>
      <c r="CY164" s="51">
        <v>320</v>
      </c>
      <c r="CZ164" s="51">
        <v>2660</v>
      </c>
      <c r="DA164" s="51">
        <v>738</v>
      </c>
      <c r="DB164" s="51">
        <v>3055</v>
      </c>
      <c r="DC164" s="51">
        <v>3464</v>
      </c>
      <c r="DD164" s="51">
        <v>2334</v>
      </c>
      <c r="DE164" s="51">
        <v>1419</v>
      </c>
      <c r="DF164" s="52">
        <v>3465</v>
      </c>
      <c r="DG164" s="52">
        <v>2325</v>
      </c>
      <c r="DH164" s="52">
        <v>2630</v>
      </c>
      <c r="DI164" s="52">
        <v>1038</v>
      </c>
      <c r="DJ164" s="52">
        <v>1767</v>
      </c>
      <c r="DK164" s="52">
        <v>392</v>
      </c>
      <c r="DL164" s="52">
        <v>4389</v>
      </c>
      <c r="DM164" s="52">
        <v>1565</v>
      </c>
      <c r="DN164" s="52">
        <v>696</v>
      </c>
      <c r="DO164" s="52">
        <v>1238</v>
      </c>
      <c r="DP164" s="52">
        <v>1666</v>
      </c>
      <c r="DQ164" s="52">
        <v>162</v>
      </c>
      <c r="DR164" s="52">
        <v>2330</v>
      </c>
      <c r="DS164" s="53">
        <v>1799</v>
      </c>
      <c r="DT164" s="53">
        <v>1799</v>
      </c>
      <c r="DU164" s="53">
        <v>1079</v>
      </c>
      <c r="DV164" s="53">
        <v>828</v>
      </c>
      <c r="DW164" s="53">
        <v>522</v>
      </c>
      <c r="DX164" s="2"/>
      <c r="DY164" s="2"/>
      <c r="DZ164" s="46">
        <f t="shared" si="42"/>
        <v>0</v>
      </c>
      <c r="EA164" s="46">
        <f t="shared" si="43"/>
        <v>0</v>
      </c>
      <c r="EB164" s="46">
        <f t="shared" si="44"/>
        <v>0</v>
      </c>
      <c r="EC164" s="46">
        <f t="shared" si="45"/>
        <v>0</v>
      </c>
      <c r="ED164" s="46">
        <f t="shared" si="46"/>
        <v>0</v>
      </c>
      <c r="EE164" s="46">
        <f t="shared" si="47"/>
        <v>0</v>
      </c>
      <c r="EF164" s="46">
        <f t="shared" si="48"/>
        <v>0</v>
      </c>
      <c r="EG164" s="46">
        <f t="shared" si="49"/>
        <v>7909</v>
      </c>
      <c r="EH164" s="46">
        <f t="shared" si="32"/>
        <v>24895</v>
      </c>
      <c r="EI164" s="46">
        <f t="shared" si="33"/>
        <v>7888</v>
      </c>
    </row>
    <row r="165" spans="3:139" ht="12">
      <c r="C165" s="36" t="s">
        <v>335</v>
      </c>
      <c r="D165" s="36" t="s">
        <v>298</v>
      </c>
      <c r="E165" s="36" t="s">
        <v>299</v>
      </c>
      <c r="F165" s="38">
        <f t="shared" si="31"/>
        <v>2013</v>
      </c>
      <c r="G165" s="37" t="s">
        <v>325</v>
      </c>
      <c r="H165" s="47"/>
      <c r="I165" s="48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8"/>
      <c r="U165" s="48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8"/>
      <c r="AG165" s="48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1"/>
      <c r="CO165" s="51"/>
      <c r="CP165" s="51"/>
      <c r="CQ165" s="51"/>
      <c r="CR165" s="51"/>
      <c r="CS165" s="51"/>
      <c r="CT165" s="51">
        <v>313</v>
      </c>
      <c r="CU165" s="51">
        <v>219</v>
      </c>
      <c r="CV165" s="51">
        <v>0</v>
      </c>
      <c r="CW165" s="51">
        <v>180</v>
      </c>
      <c r="CX165" s="51">
        <v>0</v>
      </c>
      <c r="CY165" s="51">
        <v>60</v>
      </c>
      <c r="CZ165" s="51">
        <v>380</v>
      </c>
      <c r="DA165" s="51">
        <v>38</v>
      </c>
      <c r="DB165" s="51">
        <v>36</v>
      </c>
      <c r="DC165" s="51">
        <v>264</v>
      </c>
      <c r="DD165" s="51">
        <v>116</v>
      </c>
      <c r="DE165" s="51">
        <v>162</v>
      </c>
      <c r="DF165" s="52">
        <v>131</v>
      </c>
      <c r="DG165" s="52">
        <v>110</v>
      </c>
      <c r="DH165" s="52">
        <v>0</v>
      </c>
      <c r="DI165" s="52">
        <v>0</v>
      </c>
      <c r="DJ165" s="52">
        <v>0</v>
      </c>
      <c r="DK165" s="52">
        <v>0</v>
      </c>
      <c r="DL165" s="52">
        <v>4</v>
      </c>
      <c r="DM165" s="52">
        <v>0</v>
      </c>
      <c r="DN165" s="52">
        <v>0</v>
      </c>
      <c r="DO165" s="52">
        <v>0</v>
      </c>
      <c r="DP165" s="52">
        <v>0</v>
      </c>
      <c r="DQ165" s="52">
        <v>0</v>
      </c>
      <c r="DR165" s="52">
        <v>0</v>
      </c>
      <c r="DS165" s="53">
        <v>0</v>
      </c>
      <c r="DT165" s="53">
        <v>0</v>
      </c>
      <c r="DU165" s="53">
        <v>0</v>
      </c>
      <c r="DV165" s="53">
        <v>0</v>
      </c>
      <c r="DW165" s="53">
        <v>0</v>
      </c>
      <c r="DX165" s="2"/>
      <c r="DY165" s="2"/>
      <c r="DZ165" s="46">
        <f t="shared" si="42"/>
        <v>0</v>
      </c>
      <c r="EA165" s="46">
        <f t="shared" si="43"/>
        <v>0</v>
      </c>
      <c r="EB165" s="46">
        <f t="shared" si="44"/>
        <v>0</v>
      </c>
      <c r="EC165" s="46">
        <f t="shared" si="45"/>
        <v>0</v>
      </c>
      <c r="ED165" s="46">
        <f t="shared" si="46"/>
        <v>0</v>
      </c>
      <c r="EE165" s="46">
        <f t="shared" si="47"/>
        <v>0</v>
      </c>
      <c r="EF165" s="46">
        <f t="shared" si="48"/>
        <v>0</v>
      </c>
      <c r="EG165" s="46">
        <f t="shared" si="49"/>
        <v>772</v>
      </c>
      <c r="EH165" s="46">
        <f t="shared" si="32"/>
        <v>1237</v>
      </c>
      <c r="EI165" s="46">
        <f t="shared" si="33"/>
        <v>4</v>
      </c>
    </row>
    <row r="166" spans="3:139" ht="12">
      <c r="C166" s="36" t="s">
        <v>336</v>
      </c>
      <c r="D166" s="36" t="s">
        <v>298</v>
      </c>
      <c r="E166" s="36" t="s">
        <v>299</v>
      </c>
      <c r="F166" s="38">
        <f t="shared" si="31"/>
        <v>544</v>
      </c>
      <c r="G166" s="37" t="s">
        <v>325</v>
      </c>
      <c r="H166" s="47"/>
      <c r="I166" s="48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8"/>
      <c r="U166" s="48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8"/>
      <c r="AG166" s="48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1"/>
      <c r="CO166" s="51"/>
      <c r="CP166" s="51">
        <v>5</v>
      </c>
      <c r="CQ166" s="51">
        <v>0</v>
      </c>
      <c r="CR166" s="51">
        <v>0</v>
      </c>
      <c r="CS166" s="51">
        <v>88</v>
      </c>
      <c r="CT166" s="51">
        <v>0</v>
      </c>
      <c r="CU166" s="51">
        <v>0</v>
      </c>
      <c r="CV166" s="51">
        <v>59</v>
      </c>
      <c r="CW166" s="51">
        <v>58</v>
      </c>
      <c r="CX166" s="51">
        <v>0</v>
      </c>
      <c r="CY166" s="51">
        <v>0</v>
      </c>
      <c r="CZ166" s="51">
        <v>40</v>
      </c>
      <c r="DA166" s="51">
        <v>12</v>
      </c>
      <c r="DB166" s="51">
        <v>4</v>
      </c>
      <c r="DC166" s="51">
        <v>78</v>
      </c>
      <c r="DD166" s="51">
        <v>109</v>
      </c>
      <c r="DE166" s="51">
        <v>10</v>
      </c>
      <c r="DF166" s="52">
        <v>9</v>
      </c>
      <c r="DG166" s="52">
        <v>0</v>
      </c>
      <c r="DH166" s="52">
        <v>0</v>
      </c>
      <c r="DI166" s="52">
        <v>60</v>
      </c>
      <c r="DJ166" s="52">
        <v>12</v>
      </c>
      <c r="DK166" s="52">
        <v>0</v>
      </c>
      <c r="DL166" s="52">
        <v>0</v>
      </c>
      <c r="DM166" s="52">
        <v>0</v>
      </c>
      <c r="DN166" s="52">
        <v>0</v>
      </c>
      <c r="DO166" s="52">
        <v>0</v>
      </c>
      <c r="DP166" s="52">
        <v>0</v>
      </c>
      <c r="DQ166" s="52">
        <v>0</v>
      </c>
      <c r="DR166" s="52">
        <v>0</v>
      </c>
      <c r="DS166" s="53">
        <v>0</v>
      </c>
      <c r="DT166" s="53">
        <v>0</v>
      </c>
      <c r="DU166" s="53">
        <v>0</v>
      </c>
      <c r="DV166" s="53">
        <v>0</v>
      </c>
      <c r="DW166" s="53">
        <v>0</v>
      </c>
      <c r="DX166" s="2"/>
      <c r="DY166" s="2"/>
      <c r="DZ166" s="46">
        <f t="shared" si="42"/>
        <v>0</v>
      </c>
      <c r="EA166" s="46">
        <f t="shared" si="43"/>
        <v>0</v>
      </c>
      <c r="EB166" s="46">
        <f t="shared" si="44"/>
        <v>0</v>
      </c>
      <c r="EC166" s="46">
        <f t="shared" si="45"/>
        <v>0</v>
      </c>
      <c r="ED166" s="46">
        <f t="shared" si="46"/>
        <v>0</v>
      </c>
      <c r="EE166" s="46">
        <f t="shared" si="47"/>
        <v>0</v>
      </c>
      <c r="EF166" s="46">
        <f t="shared" si="48"/>
        <v>0</v>
      </c>
      <c r="EG166" s="46">
        <f t="shared" si="49"/>
        <v>210</v>
      </c>
      <c r="EH166" s="46">
        <f t="shared" si="32"/>
        <v>334</v>
      </c>
      <c r="EI166" s="46">
        <f t="shared" si="33"/>
        <v>0</v>
      </c>
    </row>
    <row r="167" spans="3:139" ht="12">
      <c r="C167" s="36" t="s">
        <v>337</v>
      </c>
      <c r="D167" s="36" t="s">
        <v>298</v>
      </c>
      <c r="E167" s="36" t="s">
        <v>299</v>
      </c>
      <c r="F167" s="38">
        <f t="shared" si="31"/>
        <v>18005</v>
      </c>
      <c r="G167" s="37" t="s">
        <v>325</v>
      </c>
      <c r="H167" s="47"/>
      <c r="I167" s="48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8"/>
      <c r="U167" s="48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8"/>
      <c r="AG167" s="48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1"/>
      <c r="CO167" s="51"/>
      <c r="CP167" s="51"/>
      <c r="CQ167" s="51"/>
      <c r="CR167" s="51"/>
      <c r="CS167" s="51"/>
      <c r="CT167" s="51">
        <v>39</v>
      </c>
      <c r="CU167" s="51">
        <v>200</v>
      </c>
      <c r="CV167" s="51">
        <v>2260</v>
      </c>
      <c r="CW167" s="51">
        <v>422</v>
      </c>
      <c r="CX167" s="51">
        <v>3500</v>
      </c>
      <c r="CY167" s="51">
        <v>20</v>
      </c>
      <c r="CZ167" s="51">
        <v>2220</v>
      </c>
      <c r="DA167" s="51">
        <v>82</v>
      </c>
      <c r="DB167" s="51">
        <v>3373</v>
      </c>
      <c r="DC167" s="51">
        <v>824</v>
      </c>
      <c r="DD167" s="51">
        <v>1482</v>
      </c>
      <c r="DE167" s="51">
        <v>2744</v>
      </c>
      <c r="DF167" s="52">
        <v>0</v>
      </c>
      <c r="DG167" s="52">
        <v>-7</v>
      </c>
      <c r="DH167" s="52">
        <v>53</v>
      </c>
      <c r="DI167" s="52">
        <v>318</v>
      </c>
      <c r="DJ167" s="52">
        <v>115</v>
      </c>
      <c r="DK167" s="52">
        <v>0</v>
      </c>
      <c r="DL167" s="52">
        <v>350</v>
      </c>
      <c r="DM167" s="52">
        <v>0</v>
      </c>
      <c r="DN167" s="52">
        <v>0</v>
      </c>
      <c r="DO167" s="52">
        <v>10</v>
      </c>
      <c r="DP167" s="52">
        <v>0</v>
      </c>
      <c r="DQ167" s="52">
        <v>0</v>
      </c>
      <c r="DR167" s="52">
        <v>0</v>
      </c>
      <c r="DS167" s="53">
        <v>0</v>
      </c>
      <c r="DT167" s="53">
        <v>0</v>
      </c>
      <c r="DU167" s="53">
        <v>0</v>
      </c>
      <c r="DV167" s="53">
        <v>0</v>
      </c>
      <c r="DW167" s="53">
        <v>0</v>
      </c>
      <c r="DX167" s="2"/>
      <c r="DY167" s="2"/>
      <c r="DZ167" s="46">
        <f t="shared" si="42"/>
        <v>0</v>
      </c>
      <c r="EA167" s="46">
        <f t="shared" si="43"/>
        <v>0</v>
      </c>
      <c r="EB167" s="46">
        <f t="shared" si="44"/>
        <v>0</v>
      </c>
      <c r="EC167" s="46">
        <f t="shared" si="45"/>
        <v>0</v>
      </c>
      <c r="ED167" s="46">
        <f t="shared" si="46"/>
        <v>0</v>
      </c>
      <c r="EE167" s="46">
        <f t="shared" si="47"/>
        <v>0</v>
      </c>
      <c r="EF167" s="46">
        <f t="shared" si="48"/>
        <v>0</v>
      </c>
      <c r="EG167" s="46">
        <f t="shared" si="49"/>
        <v>6441</v>
      </c>
      <c r="EH167" s="46">
        <f t="shared" si="32"/>
        <v>11204</v>
      </c>
      <c r="EI167" s="46">
        <f t="shared" si="33"/>
        <v>360</v>
      </c>
    </row>
    <row r="168" spans="3:139" ht="12">
      <c r="C168" s="36" t="s">
        <v>338</v>
      </c>
      <c r="D168" s="36" t="s">
        <v>298</v>
      </c>
      <c r="E168" s="36" t="s">
        <v>299</v>
      </c>
      <c r="F168" s="38">
        <f t="shared" si="31"/>
        <v>39</v>
      </c>
      <c r="G168" s="37" t="s">
        <v>325</v>
      </c>
      <c r="H168" s="47"/>
      <c r="I168" s="48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8"/>
      <c r="U168" s="48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8"/>
      <c r="AG168" s="48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2"/>
      <c r="DG168" s="52"/>
      <c r="DH168" s="52">
        <v>19</v>
      </c>
      <c r="DI168" s="52">
        <v>0</v>
      </c>
      <c r="DJ168" s="52">
        <v>20</v>
      </c>
      <c r="DK168" s="52">
        <v>0</v>
      </c>
      <c r="DL168" s="52">
        <v>0</v>
      </c>
      <c r="DM168" s="52">
        <v>0</v>
      </c>
      <c r="DN168" s="52">
        <v>0</v>
      </c>
      <c r="DO168" s="52">
        <v>0</v>
      </c>
      <c r="DP168" s="52">
        <v>0</v>
      </c>
      <c r="DQ168" s="52">
        <v>0</v>
      </c>
      <c r="DR168" s="52">
        <v>0</v>
      </c>
      <c r="DS168" s="53">
        <v>0</v>
      </c>
      <c r="DT168" s="53">
        <v>0</v>
      </c>
      <c r="DU168" s="53">
        <v>0</v>
      </c>
      <c r="DV168" s="53">
        <v>0</v>
      </c>
      <c r="DW168" s="53">
        <v>0</v>
      </c>
      <c r="DX168" s="2"/>
      <c r="DY168" s="2"/>
      <c r="DZ168" s="46"/>
      <c r="EA168" s="46"/>
      <c r="EB168" s="46"/>
      <c r="EC168" s="46"/>
      <c r="ED168" s="46"/>
      <c r="EE168" s="46"/>
      <c r="EF168" s="46"/>
      <c r="EG168" s="46"/>
      <c r="EH168" s="46">
        <f t="shared" si="32"/>
        <v>39</v>
      </c>
      <c r="EI168" s="46">
        <f t="shared" si="33"/>
        <v>0</v>
      </c>
    </row>
    <row r="169" spans="3:139" ht="12">
      <c r="C169" s="36" t="s">
        <v>339</v>
      </c>
      <c r="D169" s="36" t="s">
        <v>268</v>
      </c>
      <c r="E169" s="36" t="s">
        <v>269</v>
      </c>
      <c r="F169" s="38">
        <f t="shared" si="31"/>
        <v>12343</v>
      </c>
      <c r="G169" s="37" t="s">
        <v>325</v>
      </c>
      <c r="H169" s="47"/>
      <c r="I169" s="48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8"/>
      <c r="U169" s="48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8"/>
      <c r="AG169" s="48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2">
        <v>451</v>
      </c>
      <c r="DG169" s="52">
        <v>1709</v>
      </c>
      <c r="DH169" s="52">
        <v>1533</v>
      </c>
      <c r="DI169" s="52">
        <v>3248</v>
      </c>
      <c r="DJ169" s="52">
        <v>942</v>
      </c>
      <c r="DK169" s="52">
        <v>-6</v>
      </c>
      <c r="DL169" s="52">
        <v>2414</v>
      </c>
      <c r="DM169" s="52">
        <v>2019</v>
      </c>
      <c r="DN169" s="52">
        <v>16</v>
      </c>
      <c r="DO169" s="52">
        <v>17</v>
      </c>
      <c r="DP169" s="52">
        <v>0</v>
      </c>
      <c r="DQ169" s="52">
        <v>0</v>
      </c>
      <c r="DR169" s="52">
        <v>-1</v>
      </c>
      <c r="DS169" s="53">
        <v>0</v>
      </c>
      <c r="DT169" s="53">
        <v>0</v>
      </c>
      <c r="DU169" s="53">
        <v>0</v>
      </c>
      <c r="DV169" s="53">
        <v>0</v>
      </c>
      <c r="DW169" s="53">
        <v>0</v>
      </c>
      <c r="DX169" s="2"/>
      <c r="DY169" s="2"/>
      <c r="DZ169" s="46"/>
      <c r="EA169" s="46"/>
      <c r="EB169" s="46"/>
      <c r="EC169" s="46"/>
      <c r="ED169" s="46"/>
      <c r="EE169" s="46"/>
      <c r="EF169" s="46"/>
      <c r="EG169" s="46"/>
      <c r="EH169" s="46">
        <f t="shared" si="32"/>
        <v>7883</v>
      </c>
      <c r="EI169" s="46">
        <f t="shared" si="33"/>
        <v>4466</v>
      </c>
    </row>
    <row r="170" spans="3:139" ht="12">
      <c r="C170" s="36" t="s">
        <v>340</v>
      </c>
      <c r="D170" s="36" t="s">
        <v>268</v>
      </c>
      <c r="E170" s="36" t="s">
        <v>269</v>
      </c>
      <c r="F170" s="38">
        <f t="shared" si="31"/>
        <v>3016</v>
      </c>
      <c r="G170" s="37" t="s">
        <v>325</v>
      </c>
      <c r="H170" s="47"/>
      <c r="I170" s="48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8"/>
      <c r="U170" s="48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8"/>
      <c r="AG170" s="48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1"/>
      <c r="CO170" s="51"/>
      <c r="CP170" s="51"/>
      <c r="CQ170" s="51"/>
      <c r="CR170" s="51"/>
      <c r="CS170" s="51"/>
      <c r="CT170" s="51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2"/>
      <c r="DG170" s="52">
        <v>28</v>
      </c>
      <c r="DH170" s="52">
        <v>7</v>
      </c>
      <c r="DI170" s="52">
        <v>38</v>
      </c>
      <c r="DJ170" s="52">
        <v>333</v>
      </c>
      <c r="DK170" s="52">
        <v>-2</v>
      </c>
      <c r="DL170" s="52">
        <v>512</v>
      </c>
      <c r="DM170" s="52">
        <v>429</v>
      </c>
      <c r="DN170" s="52">
        <v>1290</v>
      </c>
      <c r="DO170" s="52">
        <v>381</v>
      </c>
      <c r="DP170" s="52">
        <v>0</v>
      </c>
      <c r="DQ170" s="52">
        <v>0</v>
      </c>
      <c r="DR170" s="52">
        <v>386</v>
      </c>
      <c r="DS170" s="53">
        <v>0</v>
      </c>
      <c r="DT170" s="53">
        <v>0</v>
      </c>
      <c r="DU170" s="53">
        <v>0</v>
      </c>
      <c r="DV170" s="53">
        <v>0</v>
      </c>
      <c r="DW170" s="53">
        <v>0</v>
      </c>
      <c r="DX170" s="2"/>
      <c r="DY170" s="2"/>
      <c r="DZ170" s="46"/>
      <c r="EA170" s="46"/>
      <c r="EB170" s="46"/>
      <c r="EC170" s="46"/>
      <c r="ED170" s="46"/>
      <c r="EE170" s="46"/>
      <c r="EF170" s="46"/>
      <c r="EG170" s="46"/>
      <c r="EH170" s="46">
        <f t="shared" si="32"/>
        <v>406</v>
      </c>
      <c r="EI170" s="46">
        <f t="shared" si="33"/>
        <v>2612</v>
      </c>
    </row>
    <row r="171" spans="3:139" ht="12">
      <c r="C171" s="36" t="s">
        <v>341</v>
      </c>
      <c r="D171" s="36" t="s">
        <v>268</v>
      </c>
      <c r="E171" s="36" t="s">
        <v>269</v>
      </c>
      <c r="F171" s="38">
        <f t="shared" si="31"/>
        <v>5222</v>
      </c>
      <c r="G171" s="37" t="s">
        <v>325</v>
      </c>
      <c r="H171" s="47"/>
      <c r="I171" s="48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8"/>
      <c r="U171" s="48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8"/>
      <c r="AG171" s="48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2">
        <v>1877</v>
      </c>
      <c r="DG171" s="52">
        <v>217</v>
      </c>
      <c r="DH171" s="52">
        <v>0</v>
      </c>
      <c r="DI171" s="52">
        <v>895</v>
      </c>
      <c r="DJ171" s="52">
        <v>690</v>
      </c>
      <c r="DK171" s="52">
        <v>-2</v>
      </c>
      <c r="DL171" s="52">
        <v>192</v>
      </c>
      <c r="DM171" s="52">
        <v>1212</v>
      </c>
      <c r="DN171" s="52">
        <v>141</v>
      </c>
      <c r="DO171" s="52">
        <v>0</v>
      </c>
      <c r="DP171" s="52">
        <v>0</v>
      </c>
      <c r="DQ171" s="52">
        <v>0</v>
      </c>
      <c r="DR171" s="52">
        <v>0</v>
      </c>
      <c r="DS171" s="53">
        <v>0</v>
      </c>
      <c r="DT171" s="53">
        <v>0</v>
      </c>
      <c r="DU171" s="53">
        <v>0</v>
      </c>
      <c r="DV171" s="53">
        <v>0</v>
      </c>
      <c r="DW171" s="53">
        <v>0</v>
      </c>
      <c r="DX171" s="2"/>
      <c r="DY171" s="2"/>
      <c r="DZ171" s="46"/>
      <c r="EA171" s="46"/>
      <c r="EB171" s="46"/>
      <c r="EC171" s="46"/>
      <c r="ED171" s="46"/>
      <c r="EE171" s="46"/>
      <c r="EF171" s="46"/>
      <c r="EG171" s="46"/>
      <c r="EH171" s="46">
        <f t="shared" si="32"/>
        <v>3679</v>
      </c>
      <c r="EI171" s="46">
        <f t="shared" si="33"/>
        <v>1545</v>
      </c>
    </row>
    <row r="172" spans="3:139" ht="12">
      <c r="C172" s="36" t="s">
        <v>342</v>
      </c>
      <c r="D172" s="36" t="s">
        <v>313</v>
      </c>
      <c r="E172" s="36" t="s">
        <v>314</v>
      </c>
      <c r="F172" s="38">
        <f t="shared" si="31"/>
        <v>48</v>
      </c>
      <c r="G172" s="37" t="s">
        <v>325</v>
      </c>
      <c r="H172" s="47"/>
      <c r="I172" s="48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8"/>
      <c r="U172" s="48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8"/>
      <c r="AG172" s="48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>
        <v>48</v>
      </c>
      <c r="BZ172" s="50"/>
      <c r="CA172" s="50">
        <v>0</v>
      </c>
      <c r="CB172" s="50">
        <v>0</v>
      </c>
      <c r="CC172" s="50">
        <v>0</v>
      </c>
      <c r="CD172" s="50">
        <v>0</v>
      </c>
      <c r="CE172" s="50">
        <v>0</v>
      </c>
      <c r="CF172" s="50">
        <v>0</v>
      </c>
      <c r="CG172" s="50"/>
      <c r="CH172" s="50">
        <v>0</v>
      </c>
      <c r="CI172" s="50">
        <v>0</v>
      </c>
      <c r="CJ172" s="50">
        <v>0</v>
      </c>
      <c r="CK172" s="50">
        <v>0</v>
      </c>
      <c r="CL172" s="50">
        <v>0</v>
      </c>
      <c r="CM172" s="50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2">
        <v>0</v>
      </c>
      <c r="DG172" s="52">
        <v>0</v>
      </c>
      <c r="DH172" s="52">
        <v>0</v>
      </c>
      <c r="DI172" s="52">
        <v>0</v>
      </c>
      <c r="DJ172" s="52">
        <v>0</v>
      </c>
      <c r="DK172" s="52">
        <v>0</v>
      </c>
      <c r="DL172" s="52">
        <v>0</v>
      </c>
      <c r="DM172" s="52">
        <v>0</v>
      </c>
      <c r="DN172" s="52">
        <v>0</v>
      </c>
      <c r="DO172" s="52">
        <v>0</v>
      </c>
      <c r="DP172" s="52">
        <v>0</v>
      </c>
      <c r="DQ172" s="52">
        <v>0</v>
      </c>
      <c r="DR172" s="52">
        <v>0</v>
      </c>
      <c r="DS172" s="53">
        <v>0</v>
      </c>
      <c r="DT172" s="53">
        <v>0</v>
      </c>
      <c r="DU172" s="53">
        <v>0</v>
      </c>
      <c r="DV172" s="53">
        <v>0</v>
      </c>
      <c r="DW172" s="53">
        <v>0</v>
      </c>
      <c r="DX172" s="2"/>
      <c r="DY172" s="2"/>
      <c r="DZ172" s="46">
        <f t="shared" ref="DZ172:DZ196" si="50">SUM(H172:S172)</f>
        <v>0</v>
      </c>
      <c r="EA172" s="46">
        <f t="shared" ref="EA172:EA196" si="51">SUM(T172:AE172)</f>
        <v>0</v>
      </c>
      <c r="EB172" s="46">
        <f t="shared" ref="EB172:EB196" si="52">SUM(AF172:AQ172)</f>
        <v>0</v>
      </c>
      <c r="EC172" s="46">
        <f t="shared" ref="EC172:EC196" si="53">SUM(AR172:BC172)</f>
        <v>0</v>
      </c>
      <c r="ED172" s="46">
        <f t="shared" ref="ED172:ED196" si="54">SUM(BD172:BO172)</f>
        <v>0</v>
      </c>
      <c r="EE172" s="46">
        <f t="shared" ref="EE172:EE196" si="55">SUM(BP172:CA172)</f>
        <v>48</v>
      </c>
      <c r="EF172" s="46">
        <f t="shared" ref="EF172:EF196" si="56">SUM(CB172:CM172)</f>
        <v>0</v>
      </c>
      <c r="EG172" s="46">
        <f t="shared" ref="EG172:EG196" si="57">SUM(CN172:CY172)</f>
        <v>0</v>
      </c>
      <c r="EH172" s="46">
        <f t="shared" si="32"/>
        <v>0</v>
      </c>
      <c r="EI172" s="46">
        <f t="shared" si="33"/>
        <v>0</v>
      </c>
    </row>
    <row r="173" spans="3:139" ht="12">
      <c r="C173" s="36" t="s">
        <v>343</v>
      </c>
      <c r="D173" s="36" t="s">
        <v>268</v>
      </c>
      <c r="E173" s="36" t="s">
        <v>269</v>
      </c>
      <c r="F173" s="38">
        <f t="shared" si="31"/>
        <v>6902</v>
      </c>
      <c r="G173" s="37" t="s">
        <v>325</v>
      </c>
      <c r="H173" s="47"/>
      <c r="I173" s="48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8"/>
      <c r="U173" s="48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8"/>
      <c r="AG173" s="48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>
        <v>29</v>
      </c>
      <c r="CD173" s="50">
        <v>0</v>
      </c>
      <c r="CE173" s="50">
        <v>0</v>
      </c>
      <c r="CF173" s="50">
        <v>539</v>
      </c>
      <c r="CG173" s="50">
        <v>66</v>
      </c>
      <c r="CH173" s="50">
        <v>2</v>
      </c>
      <c r="CI173" s="50">
        <v>-6</v>
      </c>
      <c r="CJ173" s="50">
        <v>256</v>
      </c>
      <c r="CK173" s="50">
        <v>103</v>
      </c>
      <c r="CL173" s="50">
        <v>528</v>
      </c>
      <c r="CM173" s="50">
        <v>218</v>
      </c>
      <c r="CN173" s="51">
        <v>31</v>
      </c>
      <c r="CO173" s="51">
        <v>103</v>
      </c>
      <c r="CP173" s="51">
        <v>377</v>
      </c>
      <c r="CQ173" s="51">
        <v>278</v>
      </c>
      <c r="CR173" s="51">
        <v>275</v>
      </c>
      <c r="CS173" s="51">
        <v>61</v>
      </c>
      <c r="CT173" s="51">
        <v>200</v>
      </c>
      <c r="CU173" s="51">
        <v>260</v>
      </c>
      <c r="CV173" s="51">
        <v>330</v>
      </c>
      <c r="CW173" s="51">
        <v>361</v>
      </c>
      <c r="CX173" s="51">
        <v>300</v>
      </c>
      <c r="CY173" s="51">
        <v>0</v>
      </c>
      <c r="CZ173" s="51">
        <v>220</v>
      </c>
      <c r="DA173" s="51">
        <v>663</v>
      </c>
      <c r="DB173" s="51">
        <v>97</v>
      </c>
      <c r="DC173" s="51">
        <v>365</v>
      </c>
      <c r="DD173" s="51">
        <v>245</v>
      </c>
      <c r="DE173" s="51">
        <v>20</v>
      </c>
      <c r="DF173" s="52">
        <v>140</v>
      </c>
      <c r="DG173" s="52">
        <v>235</v>
      </c>
      <c r="DH173" s="52">
        <v>97</v>
      </c>
      <c r="DI173" s="52">
        <v>180</v>
      </c>
      <c r="DJ173" s="52">
        <v>153</v>
      </c>
      <c r="DK173" s="52">
        <v>-1</v>
      </c>
      <c r="DL173" s="52">
        <v>7</v>
      </c>
      <c r="DM173" s="52">
        <v>68</v>
      </c>
      <c r="DN173" s="52">
        <v>82</v>
      </c>
      <c r="DO173" s="52">
        <v>20</v>
      </c>
      <c r="DP173" s="52">
        <v>0</v>
      </c>
      <c r="DQ173" s="52">
        <v>0</v>
      </c>
      <c r="DR173" s="52">
        <v>-6</v>
      </c>
      <c r="DS173" s="53">
        <v>0</v>
      </c>
      <c r="DT173" s="53">
        <v>0</v>
      </c>
      <c r="DU173" s="53">
        <v>0</v>
      </c>
      <c r="DV173" s="53">
        <v>0</v>
      </c>
      <c r="DW173" s="53">
        <v>0</v>
      </c>
      <c r="DX173" s="2"/>
      <c r="DY173" s="2"/>
      <c r="DZ173" s="46">
        <f t="shared" si="50"/>
        <v>0</v>
      </c>
      <c r="EA173" s="46">
        <f t="shared" si="51"/>
        <v>0</v>
      </c>
      <c r="EB173" s="46">
        <f t="shared" si="52"/>
        <v>0</v>
      </c>
      <c r="EC173" s="46">
        <f t="shared" si="53"/>
        <v>0</v>
      </c>
      <c r="ED173" s="46">
        <f t="shared" si="54"/>
        <v>0</v>
      </c>
      <c r="EE173" s="46">
        <f t="shared" si="55"/>
        <v>0</v>
      </c>
      <c r="EF173" s="46">
        <f t="shared" si="56"/>
        <v>1735</v>
      </c>
      <c r="EG173" s="46">
        <f t="shared" si="57"/>
        <v>2576</v>
      </c>
      <c r="EH173" s="46">
        <f t="shared" si="32"/>
        <v>2415</v>
      </c>
      <c r="EI173" s="46">
        <f t="shared" si="33"/>
        <v>177</v>
      </c>
    </row>
    <row r="174" spans="3:139" ht="12">
      <c r="C174" s="36" t="s">
        <v>344</v>
      </c>
      <c r="D174" s="36" t="s">
        <v>268</v>
      </c>
      <c r="E174" s="36" t="s">
        <v>269</v>
      </c>
      <c r="F174" s="38">
        <f t="shared" si="31"/>
        <v>1266</v>
      </c>
      <c r="G174" s="37" t="s">
        <v>325</v>
      </c>
      <c r="H174" s="47"/>
      <c r="I174" s="48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8"/>
      <c r="U174" s="48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8"/>
      <c r="AG174" s="48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>
        <v>30</v>
      </c>
      <c r="CE174" s="50">
        <v>0</v>
      </c>
      <c r="CF174" s="50">
        <v>0</v>
      </c>
      <c r="CG174" s="50"/>
      <c r="CH174" s="50">
        <v>162</v>
      </c>
      <c r="CI174" s="50">
        <v>15</v>
      </c>
      <c r="CJ174" s="50">
        <v>80</v>
      </c>
      <c r="CK174" s="50">
        <v>0</v>
      </c>
      <c r="CL174" s="50">
        <v>33</v>
      </c>
      <c r="CM174" s="50">
        <v>0</v>
      </c>
      <c r="CN174" s="51">
        <v>31</v>
      </c>
      <c r="CO174" s="51">
        <v>-15</v>
      </c>
      <c r="CP174" s="51">
        <v>130</v>
      </c>
      <c r="CQ174" s="51">
        <v>60</v>
      </c>
      <c r="CR174" s="51">
        <v>-1</v>
      </c>
      <c r="CS174" s="51">
        <v>32</v>
      </c>
      <c r="CT174" s="51">
        <v>0</v>
      </c>
      <c r="CU174" s="51">
        <v>0</v>
      </c>
      <c r="CV174" s="51">
        <v>40</v>
      </c>
      <c r="CW174" s="51">
        <v>120</v>
      </c>
      <c r="CX174" s="51">
        <v>0</v>
      </c>
      <c r="CY174" s="51">
        <v>0</v>
      </c>
      <c r="CZ174" s="51">
        <v>0</v>
      </c>
      <c r="DA174" s="51">
        <v>42</v>
      </c>
      <c r="DB174" s="51">
        <v>197</v>
      </c>
      <c r="DC174" s="51">
        <v>2</v>
      </c>
      <c r="DD174" s="51">
        <v>0</v>
      </c>
      <c r="DE174" s="51">
        <v>122</v>
      </c>
      <c r="DF174" s="52">
        <v>-20</v>
      </c>
      <c r="DG174" s="52">
        <v>42</v>
      </c>
      <c r="DH174" s="52">
        <v>0</v>
      </c>
      <c r="DI174" s="52">
        <v>165</v>
      </c>
      <c r="DJ174" s="52">
        <v>-2</v>
      </c>
      <c r="DK174" s="52">
        <v>0</v>
      </c>
      <c r="DL174" s="52">
        <v>1</v>
      </c>
      <c r="DM174" s="52">
        <v>0</v>
      </c>
      <c r="DN174" s="52">
        <v>0</v>
      </c>
      <c r="DO174" s="52">
        <v>0</v>
      </c>
      <c r="DP174" s="52">
        <v>0</v>
      </c>
      <c r="DQ174" s="52">
        <v>0</v>
      </c>
      <c r="DR174" s="52">
        <v>0</v>
      </c>
      <c r="DS174" s="53">
        <v>0</v>
      </c>
      <c r="DT174" s="53">
        <v>0</v>
      </c>
      <c r="DU174" s="53">
        <v>0</v>
      </c>
      <c r="DV174" s="53">
        <v>0</v>
      </c>
      <c r="DW174" s="53">
        <v>0</v>
      </c>
      <c r="DX174" s="2"/>
      <c r="DY174" s="2"/>
      <c r="DZ174" s="46">
        <f t="shared" si="50"/>
        <v>0</v>
      </c>
      <c r="EA174" s="46">
        <f t="shared" si="51"/>
        <v>0</v>
      </c>
      <c r="EB174" s="46">
        <f t="shared" si="52"/>
        <v>0</v>
      </c>
      <c r="EC174" s="46">
        <f t="shared" si="53"/>
        <v>0</v>
      </c>
      <c r="ED174" s="46">
        <f t="shared" si="54"/>
        <v>0</v>
      </c>
      <c r="EE174" s="46">
        <f t="shared" si="55"/>
        <v>0</v>
      </c>
      <c r="EF174" s="46">
        <f t="shared" si="56"/>
        <v>320</v>
      </c>
      <c r="EG174" s="46">
        <f t="shared" si="57"/>
        <v>397</v>
      </c>
      <c r="EH174" s="46">
        <f t="shared" si="32"/>
        <v>548</v>
      </c>
      <c r="EI174" s="46">
        <f t="shared" si="33"/>
        <v>1</v>
      </c>
    </row>
    <row r="175" spans="3:139" ht="12">
      <c r="C175" s="36" t="s">
        <v>345</v>
      </c>
      <c r="D175" s="36" t="s">
        <v>268</v>
      </c>
      <c r="E175" s="36" t="s">
        <v>269</v>
      </c>
      <c r="F175" s="38">
        <f t="shared" si="31"/>
        <v>-17</v>
      </c>
      <c r="G175" s="37" t="s">
        <v>325</v>
      </c>
      <c r="H175" s="47"/>
      <c r="I175" s="48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8"/>
      <c r="U175" s="48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8"/>
      <c r="AG175" s="48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>
        <v>3</v>
      </c>
      <c r="CH175" s="50">
        <v>0</v>
      </c>
      <c r="CI175" s="50">
        <v>0</v>
      </c>
      <c r="CJ175" s="50">
        <v>0</v>
      </c>
      <c r="CK175" s="50">
        <v>-20</v>
      </c>
      <c r="CL175" s="50">
        <v>0</v>
      </c>
      <c r="CM175" s="50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0</v>
      </c>
      <c r="DC175" s="51">
        <v>0</v>
      </c>
      <c r="DD175" s="51">
        <v>0</v>
      </c>
      <c r="DE175" s="51">
        <v>0</v>
      </c>
      <c r="DF175" s="52">
        <v>0</v>
      </c>
      <c r="DG175" s="52">
        <v>0</v>
      </c>
      <c r="DH175" s="52">
        <v>0</v>
      </c>
      <c r="DI175" s="52">
        <v>0</v>
      </c>
      <c r="DJ175" s="52">
        <v>0</v>
      </c>
      <c r="DK175" s="52">
        <v>0</v>
      </c>
      <c r="DL175" s="52">
        <v>0</v>
      </c>
      <c r="DM175" s="52">
        <v>0</v>
      </c>
      <c r="DN175" s="52">
        <v>0</v>
      </c>
      <c r="DO175" s="52">
        <v>0</v>
      </c>
      <c r="DP175" s="52">
        <v>0</v>
      </c>
      <c r="DQ175" s="52">
        <v>0</v>
      </c>
      <c r="DR175" s="52">
        <v>0</v>
      </c>
      <c r="DS175" s="53">
        <v>0</v>
      </c>
      <c r="DT175" s="53">
        <v>0</v>
      </c>
      <c r="DU175" s="53">
        <v>0</v>
      </c>
      <c r="DV175" s="53">
        <v>0</v>
      </c>
      <c r="DW175" s="53">
        <v>0</v>
      </c>
      <c r="DX175" s="2"/>
      <c r="DY175" s="2"/>
      <c r="DZ175" s="46">
        <f t="shared" si="50"/>
        <v>0</v>
      </c>
      <c r="EA175" s="46">
        <f t="shared" si="51"/>
        <v>0</v>
      </c>
      <c r="EB175" s="46">
        <f t="shared" si="52"/>
        <v>0</v>
      </c>
      <c r="EC175" s="46">
        <f t="shared" si="53"/>
        <v>0</v>
      </c>
      <c r="ED175" s="46">
        <f t="shared" si="54"/>
        <v>0</v>
      </c>
      <c r="EE175" s="46">
        <f t="shared" si="55"/>
        <v>0</v>
      </c>
      <c r="EF175" s="46">
        <f t="shared" si="56"/>
        <v>-17</v>
      </c>
      <c r="EG175" s="46">
        <f t="shared" si="57"/>
        <v>0</v>
      </c>
      <c r="EH175" s="46">
        <f t="shared" si="32"/>
        <v>0</v>
      </c>
      <c r="EI175" s="46">
        <f t="shared" si="33"/>
        <v>0</v>
      </c>
    </row>
    <row r="176" spans="3:139" ht="12">
      <c r="C176" s="36" t="s">
        <v>346</v>
      </c>
      <c r="D176" s="36" t="s">
        <v>268</v>
      </c>
      <c r="E176" s="36" t="s">
        <v>269</v>
      </c>
      <c r="F176" s="38">
        <f t="shared" si="31"/>
        <v>735</v>
      </c>
      <c r="G176" s="37" t="s">
        <v>325</v>
      </c>
      <c r="H176" s="47"/>
      <c r="I176" s="48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8"/>
      <c r="U176" s="48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8"/>
      <c r="AG176" s="48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>
        <v>29</v>
      </c>
      <c r="CE176" s="50">
        <v>0</v>
      </c>
      <c r="CF176" s="50">
        <v>0</v>
      </c>
      <c r="CG176" s="50">
        <v>20</v>
      </c>
      <c r="CH176" s="50">
        <v>64</v>
      </c>
      <c r="CI176" s="50">
        <v>16</v>
      </c>
      <c r="CJ176" s="50">
        <v>0</v>
      </c>
      <c r="CK176" s="50">
        <v>-38</v>
      </c>
      <c r="CL176" s="50">
        <v>32</v>
      </c>
      <c r="CM176" s="50">
        <v>100</v>
      </c>
      <c r="CN176" s="51">
        <v>44</v>
      </c>
      <c r="CO176" s="51">
        <v>12</v>
      </c>
      <c r="CP176" s="51">
        <v>11</v>
      </c>
      <c r="CQ176" s="51">
        <v>98</v>
      </c>
      <c r="CR176" s="51">
        <v>-15</v>
      </c>
      <c r="CS176" s="51">
        <v>-15</v>
      </c>
      <c r="CT176" s="51">
        <v>-2</v>
      </c>
      <c r="CU176" s="51">
        <v>0</v>
      </c>
      <c r="CV176" s="51">
        <v>1</v>
      </c>
      <c r="CW176" s="51">
        <v>80</v>
      </c>
      <c r="CX176" s="51">
        <v>0</v>
      </c>
      <c r="CY176" s="51">
        <v>0</v>
      </c>
      <c r="CZ176" s="51">
        <v>0</v>
      </c>
      <c r="DA176" s="51">
        <v>-17</v>
      </c>
      <c r="DB176" s="51">
        <v>102</v>
      </c>
      <c r="DC176" s="51">
        <v>32</v>
      </c>
      <c r="DD176" s="51">
        <v>-2</v>
      </c>
      <c r="DE176" s="51">
        <v>93</v>
      </c>
      <c r="DF176" s="52">
        <v>0</v>
      </c>
      <c r="DG176" s="52">
        <v>0</v>
      </c>
      <c r="DH176" s="52">
        <v>0</v>
      </c>
      <c r="DI176" s="52">
        <v>89</v>
      </c>
      <c r="DJ176" s="52">
        <v>4</v>
      </c>
      <c r="DK176" s="52">
        <v>-3</v>
      </c>
      <c r="DL176" s="52">
        <v>3</v>
      </c>
      <c r="DM176" s="52">
        <v>0</v>
      </c>
      <c r="DN176" s="52">
        <v>-3</v>
      </c>
      <c r="DO176" s="52">
        <v>0</v>
      </c>
      <c r="DP176" s="52">
        <v>0</v>
      </c>
      <c r="DQ176" s="52">
        <v>0</v>
      </c>
      <c r="DR176" s="52">
        <v>0</v>
      </c>
      <c r="DS176" s="53">
        <v>0</v>
      </c>
      <c r="DT176" s="53">
        <v>0</v>
      </c>
      <c r="DU176" s="53">
        <v>0</v>
      </c>
      <c r="DV176" s="53">
        <v>0</v>
      </c>
      <c r="DW176" s="53">
        <v>0</v>
      </c>
      <c r="DX176" s="2"/>
      <c r="DY176" s="2"/>
      <c r="DZ176" s="46">
        <f t="shared" si="50"/>
        <v>0</v>
      </c>
      <c r="EA176" s="46">
        <f t="shared" si="51"/>
        <v>0</v>
      </c>
      <c r="EB176" s="46">
        <f t="shared" si="52"/>
        <v>0</v>
      </c>
      <c r="EC176" s="46">
        <f t="shared" si="53"/>
        <v>0</v>
      </c>
      <c r="ED176" s="46">
        <f t="shared" si="54"/>
        <v>0</v>
      </c>
      <c r="EE176" s="46">
        <f t="shared" si="55"/>
        <v>0</v>
      </c>
      <c r="EF176" s="46">
        <f t="shared" si="56"/>
        <v>223</v>
      </c>
      <c r="EG176" s="46">
        <f t="shared" si="57"/>
        <v>214</v>
      </c>
      <c r="EH176" s="46">
        <f t="shared" si="32"/>
        <v>301</v>
      </c>
      <c r="EI176" s="46">
        <f t="shared" si="33"/>
        <v>0</v>
      </c>
    </row>
    <row r="177" spans="3:139" ht="12">
      <c r="C177" s="36" t="s">
        <v>347</v>
      </c>
      <c r="D177" s="36" t="s">
        <v>212</v>
      </c>
      <c r="E177" s="36"/>
      <c r="F177" s="38">
        <f t="shared" si="31"/>
        <v>-36</v>
      </c>
      <c r="G177" s="37" t="s">
        <v>325</v>
      </c>
      <c r="H177" s="47"/>
      <c r="I177" s="48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8"/>
      <c r="U177" s="48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8"/>
      <c r="AG177" s="48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1"/>
      <c r="CO177" s="51"/>
      <c r="CP177" s="51"/>
      <c r="CQ177" s="51"/>
      <c r="CR177" s="51">
        <v>-18</v>
      </c>
      <c r="CS177" s="51">
        <v>-18</v>
      </c>
      <c r="CT177" s="51"/>
      <c r="CU177" s="51">
        <v>0</v>
      </c>
      <c r="CV177" s="51"/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/>
      <c r="DC177" s="51">
        <v>0</v>
      </c>
      <c r="DD177" s="51">
        <v>0</v>
      </c>
      <c r="DE177" s="51">
        <v>0</v>
      </c>
      <c r="DF177" s="52">
        <v>0</v>
      </c>
      <c r="DG177" s="52">
        <v>0</v>
      </c>
      <c r="DH177" s="52">
        <v>0</v>
      </c>
      <c r="DI177" s="52">
        <v>0</v>
      </c>
      <c r="DJ177" s="52">
        <v>0</v>
      </c>
      <c r="DK177" s="52">
        <v>0</v>
      </c>
      <c r="DL177" s="52">
        <v>0</v>
      </c>
      <c r="DM177" s="52">
        <v>0</v>
      </c>
      <c r="DN177" s="52">
        <v>0</v>
      </c>
      <c r="DO177" s="52">
        <v>0</v>
      </c>
      <c r="DP177" s="52">
        <v>0</v>
      </c>
      <c r="DQ177" s="52">
        <v>0</v>
      </c>
      <c r="DR177" s="52">
        <v>-18</v>
      </c>
      <c r="DS177" s="53">
        <v>0</v>
      </c>
      <c r="DT177" s="53">
        <v>0</v>
      </c>
      <c r="DU177" s="53">
        <v>0</v>
      </c>
      <c r="DV177" s="53">
        <v>0</v>
      </c>
      <c r="DW177" s="53">
        <v>0</v>
      </c>
      <c r="DX177" s="2"/>
      <c r="DY177" s="2"/>
      <c r="DZ177" s="46">
        <f t="shared" si="50"/>
        <v>0</v>
      </c>
      <c r="EA177" s="46">
        <f t="shared" si="51"/>
        <v>0</v>
      </c>
      <c r="EB177" s="46">
        <f t="shared" si="52"/>
        <v>0</v>
      </c>
      <c r="EC177" s="46">
        <f t="shared" si="53"/>
        <v>0</v>
      </c>
      <c r="ED177" s="46">
        <f t="shared" si="54"/>
        <v>0</v>
      </c>
      <c r="EE177" s="46">
        <f t="shared" si="55"/>
        <v>0</v>
      </c>
      <c r="EF177" s="46">
        <f t="shared" si="56"/>
        <v>0</v>
      </c>
      <c r="EG177" s="46">
        <f t="shared" si="57"/>
        <v>-36</v>
      </c>
      <c r="EH177" s="46">
        <f t="shared" si="32"/>
        <v>0</v>
      </c>
      <c r="EI177" s="46">
        <f t="shared" si="33"/>
        <v>0</v>
      </c>
    </row>
    <row r="178" spans="3:139" ht="12">
      <c r="C178" s="36" t="s">
        <v>348</v>
      </c>
      <c r="D178" s="36" t="s">
        <v>268</v>
      </c>
      <c r="E178" s="36" t="s">
        <v>269</v>
      </c>
      <c r="F178" s="38">
        <f t="shared" si="31"/>
        <v>1076</v>
      </c>
      <c r="G178" s="37" t="s">
        <v>325</v>
      </c>
      <c r="H178" s="47"/>
      <c r="I178" s="48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8"/>
      <c r="U178" s="48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8"/>
      <c r="AG178" s="48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>
        <v>20</v>
      </c>
      <c r="CI178" s="50">
        <v>-5</v>
      </c>
      <c r="CJ178" s="50">
        <v>0</v>
      </c>
      <c r="CK178" s="50">
        <v>120</v>
      </c>
      <c r="CL178" s="50">
        <v>121</v>
      </c>
      <c r="CM178" s="50">
        <v>20</v>
      </c>
      <c r="CN178" s="51">
        <v>139</v>
      </c>
      <c r="CO178" s="51">
        <v>22</v>
      </c>
      <c r="CP178" s="51">
        <v>158</v>
      </c>
      <c r="CQ178" s="51">
        <v>-5</v>
      </c>
      <c r="CR178" s="51">
        <v>22</v>
      </c>
      <c r="CS178" s="51">
        <v>-41</v>
      </c>
      <c r="CT178" s="51">
        <v>0</v>
      </c>
      <c r="CU178" s="51">
        <v>40</v>
      </c>
      <c r="CV178" s="51">
        <v>0</v>
      </c>
      <c r="CW178" s="51">
        <v>158</v>
      </c>
      <c r="CX178" s="51">
        <v>0</v>
      </c>
      <c r="CY178" s="51">
        <v>40</v>
      </c>
      <c r="CZ178" s="51">
        <v>120</v>
      </c>
      <c r="DA178" s="51">
        <v>95</v>
      </c>
      <c r="DB178" s="51">
        <v>51</v>
      </c>
      <c r="DC178" s="51">
        <v>1</v>
      </c>
      <c r="DD178" s="51">
        <v>0</v>
      </c>
      <c r="DE178" s="51">
        <v>0</v>
      </c>
      <c r="DF178" s="52">
        <v>0</v>
      </c>
      <c r="DG178" s="52">
        <v>0</v>
      </c>
      <c r="DH178" s="52">
        <v>0</v>
      </c>
      <c r="DI178" s="52">
        <v>0</v>
      </c>
      <c r="DJ178" s="52">
        <v>0</v>
      </c>
      <c r="DK178" s="52">
        <v>0</v>
      </c>
      <c r="DL178" s="52">
        <v>0</v>
      </c>
      <c r="DM178" s="52">
        <v>0</v>
      </c>
      <c r="DN178" s="52">
        <v>0</v>
      </c>
      <c r="DO178" s="52">
        <v>0</v>
      </c>
      <c r="DP178" s="52">
        <v>0</v>
      </c>
      <c r="DQ178" s="52">
        <v>0</v>
      </c>
      <c r="DR178" s="52">
        <v>-15</v>
      </c>
      <c r="DS178" s="53">
        <v>0</v>
      </c>
      <c r="DT178" s="53">
        <v>0</v>
      </c>
      <c r="DU178" s="53">
        <v>0</v>
      </c>
      <c r="DV178" s="53">
        <v>0</v>
      </c>
      <c r="DW178" s="53">
        <v>0</v>
      </c>
      <c r="DX178" s="2"/>
      <c r="DY178" s="2"/>
      <c r="DZ178" s="46">
        <f t="shared" si="50"/>
        <v>0</v>
      </c>
      <c r="EA178" s="46">
        <f t="shared" si="51"/>
        <v>0</v>
      </c>
      <c r="EB178" s="46">
        <f t="shared" si="52"/>
        <v>0</v>
      </c>
      <c r="EC178" s="46">
        <f t="shared" si="53"/>
        <v>0</v>
      </c>
      <c r="ED178" s="46">
        <f t="shared" si="54"/>
        <v>0</v>
      </c>
      <c r="EE178" s="46">
        <f t="shared" si="55"/>
        <v>0</v>
      </c>
      <c r="EF178" s="46">
        <f t="shared" si="56"/>
        <v>276</v>
      </c>
      <c r="EG178" s="46">
        <f t="shared" si="57"/>
        <v>533</v>
      </c>
      <c r="EH178" s="46">
        <f t="shared" si="32"/>
        <v>267</v>
      </c>
      <c r="EI178" s="46">
        <f t="shared" si="33"/>
        <v>0</v>
      </c>
    </row>
    <row r="179" spans="3:139" ht="12">
      <c r="C179" s="36" t="s">
        <v>349</v>
      </c>
      <c r="D179" s="36" t="s">
        <v>268</v>
      </c>
      <c r="E179" s="36" t="s">
        <v>269</v>
      </c>
      <c r="F179" s="38">
        <f t="shared" si="31"/>
        <v>0</v>
      </c>
      <c r="G179" s="37" t="s">
        <v>325</v>
      </c>
      <c r="H179" s="47"/>
      <c r="I179" s="48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8"/>
      <c r="U179" s="48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8"/>
      <c r="AG179" s="48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1"/>
      <c r="CO179" s="51"/>
      <c r="CP179" s="51"/>
      <c r="CQ179" s="51"/>
      <c r="CR179" s="51"/>
      <c r="CS179" s="51"/>
      <c r="CT179" s="51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3">
        <v>0</v>
      </c>
      <c r="DT179" s="53">
        <v>0</v>
      </c>
      <c r="DU179" s="53">
        <v>0</v>
      </c>
      <c r="DV179" s="53">
        <v>0</v>
      </c>
      <c r="DW179" s="53">
        <v>0</v>
      </c>
      <c r="DX179" s="2"/>
      <c r="DY179" s="2"/>
      <c r="DZ179" s="46"/>
      <c r="EA179" s="46"/>
      <c r="EB179" s="46"/>
      <c r="EC179" s="46"/>
      <c r="ED179" s="46"/>
      <c r="EE179" s="46"/>
      <c r="EF179" s="46"/>
      <c r="EG179" s="46"/>
      <c r="EH179" s="46"/>
      <c r="EI179" s="46">
        <f t="shared" si="33"/>
        <v>0</v>
      </c>
    </row>
    <row r="180" spans="3:139" ht="12">
      <c r="C180" s="36" t="s">
        <v>350</v>
      </c>
      <c r="D180" s="36" t="s">
        <v>268</v>
      </c>
      <c r="E180" s="36" t="s">
        <v>269</v>
      </c>
      <c r="F180" s="38">
        <f t="shared" si="31"/>
        <v>0</v>
      </c>
      <c r="G180" s="37" t="s">
        <v>325</v>
      </c>
      <c r="H180" s="47"/>
      <c r="I180" s="48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8"/>
      <c r="U180" s="48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8"/>
      <c r="AG180" s="48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1"/>
      <c r="CO180" s="51"/>
      <c r="CP180" s="51"/>
      <c r="CQ180" s="51"/>
      <c r="CR180" s="51"/>
      <c r="CS180" s="51"/>
      <c r="CT180" s="51"/>
      <c r="CU180" s="51"/>
      <c r="CV180" s="51"/>
      <c r="CW180" s="51"/>
      <c r="CX180" s="51"/>
      <c r="CY180" s="51"/>
      <c r="CZ180" s="51"/>
      <c r="DA180" s="51"/>
      <c r="DB180" s="51"/>
      <c r="DC180" s="51"/>
      <c r="DD180" s="51"/>
      <c r="DE180" s="51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3">
        <v>0</v>
      </c>
      <c r="DT180" s="53">
        <v>0</v>
      </c>
      <c r="DU180" s="53">
        <v>0</v>
      </c>
      <c r="DV180" s="53">
        <v>0</v>
      </c>
      <c r="DW180" s="53">
        <v>0</v>
      </c>
      <c r="DX180" s="2"/>
      <c r="DY180" s="2"/>
      <c r="DZ180" s="46"/>
      <c r="EA180" s="46"/>
      <c r="EB180" s="46"/>
      <c r="EC180" s="46"/>
      <c r="ED180" s="46"/>
      <c r="EE180" s="46"/>
      <c r="EF180" s="46"/>
      <c r="EG180" s="46"/>
      <c r="EH180" s="46"/>
      <c r="EI180" s="46">
        <f t="shared" si="33"/>
        <v>0</v>
      </c>
    </row>
    <row r="181" spans="3:139" ht="12">
      <c r="C181" s="36" t="s">
        <v>351</v>
      </c>
      <c r="D181" s="36" t="s">
        <v>212</v>
      </c>
      <c r="E181" s="36">
        <v>0</v>
      </c>
      <c r="F181" s="38">
        <f t="shared" si="31"/>
        <v>0</v>
      </c>
      <c r="G181" s="37" t="s">
        <v>325</v>
      </c>
      <c r="H181" s="47"/>
      <c r="I181" s="48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8"/>
      <c r="U181" s="48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8"/>
      <c r="AG181" s="48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1"/>
      <c r="CO181" s="51"/>
      <c r="CP181" s="51"/>
      <c r="CQ181" s="51"/>
      <c r="CR181" s="51"/>
      <c r="CS181" s="51"/>
      <c r="CT181" s="51">
        <v>0</v>
      </c>
      <c r="CU181" s="51"/>
      <c r="CV181" s="51">
        <v>0</v>
      </c>
      <c r="CW181" s="51"/>
      <c r="CX181" s="51"/>
      <c r="CY181" s="51"/>
      <c r="CZ181" s="51"/>
      <c r="DA181" s="51"/>
      <c r="DB181" s="51">
        <v>0</v>
      </c>
      <c r="DC181" s="51"/>
      <c r="DD181" s="51"/>
      <c r="DE181" s="51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3">
        <v>0</v>
      </c>
      <c r="DT181" s="53">
        <v>0</v>
      </c>
      <c r="DU181" s="53">
        <v>0</v>
      </c>
      <c r="DV181" s="53">
        <v>0</v>
      </c>
      <c r="DW181" s="53">
        <v>0</v>
      </c>
      <c r="DX181" s="2"/>
      <c r="DY181" s="2"/>
      <c r="DZ181" s="46">
        <f t="shared" si="50"/>
        <v>0</v>
      </c>
      <c r="EA181" s="46">
        <f t="shared" si="51"/>
        <v>0</v>
      </c>
      <c r="EB181" s="46">
        <f t="shared" si="52"/>
        <v>0</v>
      </c>
      <c r="EC181" s="46">
        <f t="shared" si="53"/>
        <v>0</v>
      </c>
      <c r="ED181" s="46">
        <f t="shared" si="54"/>
        <v>0</v>
      </c>
      <c r="EE181" s="46">
        <f t="shared" si="55"/>
        <v>0</v>
      </c>
      <c r="EF181" s="46">
        <f t="shared" si="56"/>
        <v>0</v>
      </c>
      <c r="EG181" s="46">
        <f t="shared" si="57"/>
        <v>0</v>
      </c>
      <c r="EH181" s="46">
        <f t="shared" si="32"/>
        <v>0</v>
      </c>
      <c r="EI181" s="46">
        <f t="shared" si="33"/>
        <v>0</v>
      </c>
    </row>
    <row r="182" spans="3:139" ht="12">
      <c r="C182" s="36" t="s">
        <v>352</v>
      </c>
      <c r="D182" s="36" t="s">
        <v>268</v>
      </c>
      <c r="E182" s="36" t="s">
        <v>269</v>
      </c>
      <c r="F182" s="38">
        <f t="shared" si="31"/>
        <v>2203</v>
      </c>
      <c r="G182" s="37" t="s">
        <v>325</v>
      </c>
      <c r="H182" s="47"/>
      <c r="I182" s="48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8"/>
      <c r="U182" s="48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8"/>
      <c r="AG182" s="48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50"/>
      <c r="BQ182" s="50"/>
      <c r="BR182" s="50"/>
      <c r="BS182" s="50"/>
      <c r="BT182" s="50"/>
      <c r="BU182" s="50"/>
      <c r="BV182" s="50"/>
      <c r="BW182" s="50">
        <v>50</v>
      </c>
      <c r="BX182" s="50"/>
      <c r="BY182" s="50">
        <v>42</v>
      </c>
      <c r="BZ182" s="50"/>
      <c r="CA182" s="50">
        <v>0</v>
      </c>
      <c r="CB182" s="50">
        <v>0</v>
      </c>
      <c r="CC182" s="50">
        <v>0</v>
      </c>
      <c r="CD182" s="50">
        <v>0</v>
      </c>
      <c r="CE182" s="50">
        <v>0</v>
      </c>
      <c r="CF182" s="50">
        <v>0</v>
      </c>
      <c r="CG182" s="50"/>
      <c r="CH182" s="50">
        <v>0</v>
      </c>
      <c r="CI182" s="50">
        <v>0</v>
      </c>
      <c r="CJ182" s="50">
        <v>0</v>
      </c>
      <c r="CK182" s="50">
        <v>0</v>
      </c>
      <c r="CL182" s="50">
        <v>0</v>
      </c>
      <c r="CM182" s="50">
        <v>0</v>
      </c>
      <c r="CN182" s="51">
        <v>0</v>
      </c>
      <c r="CO182" s="51">
        <v>0</v>
      </c>
      <c r="CP182" s="51">
        <v>6</v>
      </c>
      <c r="CQ182" s="51">
        <v>0</v>
      </c>
      <c r="CR182" s="51">
        <v>0</v>
      </c>
      <c r="CS182" s="51">
        <v>0</v>
      </c>
      <c r="CT182" s="51">
        <v>0</v>
      </c>
      <c r="CU182" s="51">
        <v>0</v>
      </c>
      <c r="CV182" s="51">
        <v>0</v>
      </c>
      <c r="CW182" s="51">
        <v>170</v>
      </c>
      <c r="CX182" s="51">
        <v>100</v>
      </c>
      <c r="CY182" s="51">
        <v>160</v>
      </c>
      <c r="CZ182" s="51">
        <v>60</v>
      </c>
      <c r="DA182" s="51">
        <v>704</v>
      </c>
      <c r="DB182" s="51">
        <v>364</v>
      </c>
      <c r="DC182" s="51">
        <v>171</v>
      </c>
      <c r="DD182" s="51">
        <v>-1</v>
      </c>
      <c r="DE182" s="51">
        <v>157</v>
      </c>
      <c r="DF182" s="52">
        <v>0</v>
      </c>
      <c r="DG182" s="52">
        <v>0</v>
      </c>
      <c r="DH182" s="52">
        <v>188</v>
      </c>
      <c r="DI182" s="52">
        <v>0</v>
      </c>
      <c r="DJ182" s="52">
        <v>34</v>
      </c>
      <c r="DK182" s="52">
        <v>-2</v>
      </c>
      <c r="DL182" s="52">
        <v>2</v>
      </c>
      <c r="DM182" s="52">
        <v>0</v>
      </c>
      <c r="DN182" s="52">
        <v>-2</v>
      </c>
      <c r="DO182" s="52">
        <v>0</v>
      </c>
      <c r="DP182" s="52">
        <v>0</v>
      </c>
      <c r="DQ182" s="52">
        <v>0</v>
      </c>
      <c r="DR182" s="52">
        <v>0</v>
      </c>
      <c r="DS182" s="53">
        <v>0</v>
      </c>
      <c r="DT182" s="53">
        <v>0</v>
      </c>
      <c r="DU182" s="53">
        <v>0</v>
      </c>
      <c r="DV182" s="53">
        <v>0</v>
      </c>
      <c r="DW182" s="53">
        <v>0</v>
      </c>
      <c r="DX182" s="2"/>
      <c r="DY182" s="2"/>
      <c r="DZ182" s="46">
        <f t="shared" si="50"/>
        <v>0</v>
      </c>
      <c r="EA182" s="46">
        <f t="shared" si="51"/>
        <v>0</v>
      </c>
      <c r="EB182" s="46">
        <f t="shared" si="52"/>
        <v>0</v>
      </c>
      <c r="EC182" s="46">
        <f t="shared" si="53"/>
        <v>0</v>
      </c>
      <c r="ED182" s="46">
        <f t="shared" si="54"/>
        <v>0</v>
      </c>
      <c r="EE182" s="46">
        <f t="shared" si="55"/>
        <v>92</v>
      </c>
      <c r="EF182" s="46">
        <f t="shared" si="56"/>
        <v>0</v>
      </c>
      <c r="EG182" s="46">
        <f t="shared" si="57"/>
        <v>436</v>
      </c>
      <c r="EH182" s="46">
        <f t="shared" si="32"/>
        <v>1677</v>
      </c>
      <c r="EI182" s="46">
        <f t="shared" si="33"/>
        <v>0</v>
      </c>
    </row>
    <row r="183" spans="3:139" ht="12">
      <c r="C183" s="36" t="s">
        <v>353</v>
      </c>
      <c r="D183" s="36" t="s">
        <v>268</v>
      </c>
      <c r="E183" s="36" t="s">
        <v>269</v>
      </c>
      <c r="F183" s="38">
        <f t="shared" si="31"/>
        <v>0</v>
      </c>
      <c r="G183" s="37" t="s">
        <v>325</v>
      </c>
      <c r="H183" s="47"/>
      <c r="I183" s="48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8"/>
      <c r="U183" s="48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8"/>
      <c r="AG183" s="48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50"/>
      <c r="BQ183" s="50"/>
      <c r="BR183" s="50"/>
      <c r="BS183" s="50"/>
      <c r="BT183" s="50"/>
      <c r="BU183" s="50"/>
      <c r="BV183" s="50"/>
      <c r="BW183" s="50">
        <v>0</v>
      </c>
      <c r="BX183" s="50"/>
      <c r="BY183" s="50"/>
      <c r="BZ183" s="50"/>
      <c r="CA183" s="50">
        <v>0</v>
      </c>
      <c r="CB183" s="50">
        <v>0</v>
      </c>
      <c r="CC183" s="50">
        <v>0</v>
      </c>
      <c r="CD183" s="50">
        <v>0</v>
      </c>
      <c r="CE183" s="50">
        <v>0</v>
      </c>
      <c r="CF183" s="50">
        <v>0</v>
      </c>
      <c r="CG183" s="50"/>
      <c r="CH183" s="50">
        <v>0</v>
      </c>
      <c r="CI183" s="50">
        <v>0</v>
      </c>
      <c r="CJ183" s="50">
        <v>0</v>
      </c>
      <c r="CK183" s="50">
        <v>0</v>
      </c>
      <c r="CL183" s="50">
        <v>0</v>
      </c>
      <c r="CM183" s="50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0</v>
      </c>
      <c r="DC183" s="51">
        <v>0</v>
      </c>
      <c r="DD183" s="51">
        <v>0</v>
      </c>
      <c r="DE183" s="51">
        <v>0</v>
      </c>
      <c r="DF183" s="52">
        <v>0</v>
      </c>
      <c r="DG183" s="52">
        <v>0</v>
      </c>
      <c r="DH183" s="52">
        <v>0</v>
      </c>
      <c r="DI183" s="52">
        <v>0</v>
      </c>
      <c r="DJ183" s="52">
        <v>0</v>
      </c>
      <c r="DK183" s="52">
        <v>0</v>
      </c>
      <c r="DL183" s="52">
        <v>0</v>
      </c>
      <c r="DM183" s="52">
        <v>0</v>
      </c>
      <c r="DN183" s="52">
        <v>0</v>
      </c>
      <c r="DO183" s="52">
        <v>0</v>
      </c>
      <c r="DP183" s="52">
        <v>0</v>
      </c>
      <c r="DQ183" s="52">
        <v>0</v>
      </c>
      <c r="DR183" s="52">
        <v>0</v>
      </c>
      <c r="DS183" s="53">
        <v>0</v>
      </c>
      <c r="DT183" s="53">
        <v>0</v>
      </c>
      <c r="DU183" s="53">
        <v>0</v>
      </c>
      <c r="DV183" s="53">
        <v>0</v>
      </c>
      <c r="DW183" s="53">
        <v>0</v>
      </c>
      <c r="DX183" s="2"/>
      <c r="DY183" s="2"/>
      <c r="DZ183" s="46">
        <f t="shared" si="50"/>
        <v>0</v>
      </c>
      <c r="EA183" s="46">
        <f t="shared" si="51"/>
        <v>0</v>
      </c>
      <c r="EB183" s="46">
        <f t="shared" si="52"/>
        <v>0</v>
      </c>
      <c r="EC183" s="46">
        <f t="shared" si="53"/>
        <v>0</v>
      </c>
      <c r="ED183" s="46">
        <f t="shared" si="54"/>
        <v>0</v>
      </c>
      <c r="EE183" s="46">
        <f t="shared" si="55"/>
        <v>0</v>
      </c>
      <c r="EF183" s="46">
        <f t="shared" si="56"/>
        <v>0</v>
      </c>
      <c r="EG183" s="46">
        <f t="shared" si="57"/>
        <v>0</v>
      </c>
      <c r="EH183" s="46">
        <f t="shared" si="32"/>
        <v>0</v>
      </c>
      <c r="EI183" s="46">
        <f t="shared" si="33"/>
        <v>0</v>
      </c>
    </row>
    <row r="184" spans="3:139" ht="12">
      <c r="C184" s="36" t="s">
        <v>354</v>
      </c>
      <c r="D184" s="36" t="s">
        <v>268</v>
      </c>
      <c r="E184" s="36" t="s">
        <v>269</v>
      </c>
      <c r="F184" s="38">
        <f t="shared" si="31"/>
        <v>329</v>
      </c>
      <c r="G184" s="37" t="s">
        <v>325</v>
      </c>
      <c r="H184" s="47"/>
      <c r="I184" s="48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8"/>
      <c r="U184" s="48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8"/>
      <c r="AG184" s="48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1"/>
      <c r="CO184" s="51"/>
      <c r="CP184" s="51">
        <v>6</v>
      </c>
      <c r="CQ184" s="51">
        <v>0</v>
      </c>
      <c r="CR184" s="51">
        <v>0</v>
      </c>
      <c r="CS184" s="51">
        <v>60</v>
      </c>
      <c r="CT184" s="51">
        <v>0</v>
      </c>
      <c r="CU184" s="51">
        <v>0</v>
      </c>
      <c r="CV184" s="51">
        <v>20</v>
      </c>
      <c r="CW184" s="51">
        <v>40</v>
      </c>
      <c r="CX184" s="51">
        <v>0</v>
      </c>
      <c r="CY184" s="51">
        <v>0</v>
      </c>
      <c r="CZ184" s="51">
        <v>40</v>
      </c>
      <c r="DA184" s="51">
        <v>45</v>
      </c>
      <c r="DB184" s="51">
        <v>95</v>
      </c>
      <c r="DC184" s="51">
        <v>23</v>
      </c>
      <c r="DD184" s="51">
        <v>0</v>
      </c>
      <c r="DE184" s="51">
        <v>0</v>
      </c>
      <c r="DF184" s="52">
        <v>0</v>
      </c>
      <c r="DG184" s="52">
        <v>0</v>
      </c>
      <c r="DH184" s="52">
        <v>0</v>
      </c>
      <c r="DI184" s="52">
        <v>0</v>
      </c>
      <c r="DJ184" s="52">
        <v>0</v>
      </c>
      <c r="DK184" s="52">
        <v>0</v>
      </c>
      <c r="DL184" s="52">
        <v>0</v>
      </c>
      <c r="DM184" s="52">
        <v>0</v>
      </c>
      <c r="DN184" s="52">
        <v>0</v>
      </c>
      <c r="DO184" s="52">
        <v>0</v>
      </c>
      <c r="DP184" s="52">
        <v>0</v>
      </c>
      <c r="DQ184" s="52">
        <v>0</v>
      </c>
      <c r="DR184" s="52">
        <v>0</v>
      </c>
      <c r="DS184" s="53">
        <v>0</v>
      </c>
      <c r="DT184" s="53">
        <v>0</v>
      </c>
      <c r="DU184" s="53">
        <v>0</v>
      </c>
      <c r="DV184" s="53">
        <v>0</v>
      </c>
      <c r="DW184" s="53">
        <v>0</v>
      </c>
      <c r="DX184" s="2"/>
      <c r="DY184" s="2"/>
      <c r="DZ184" s="46">
        <f t="shared" si="50"/>
        <v>0</v>
      </c>
      <c r="EA184" s="46">
        <f t="shared" si="51"/>
        <v>0</v>
      </c>
      <c r="EB184" s="46">
        <f t="shared" si="52"/>
        <v>0</v>
      </c>
      <c r="EC184" s="46">
        <f t="shared" si="53"/>
        <v>0</v>
      </c>
      <c r="ED184" s="46">
        <f t="shared" si="54"/>
        <v>0</v>
      </c>
      <c r="EE184" s="46">
        <f t="shared" si="55"/>
        <v>0</v>
      </c>
      <c r="EF184" s="46">
        <f t="shared" si="56"/>
        <v>0</v>
      </c>
      <c r="EG184" s="46">
        <f t="shared" si="57"/>
        <v>126</v>
      </c>
      <c r="EH184" s="46">
        <f t="shared" si="32"/>
        <v>203</v>
      </c>
      <c r="EI184" s="46">
        <f t="shared" si="33"/>
        <v>0</v>
      </c>
    </row>
    <row r="185" spans="3:139" ht="12">
      <c r="C185" s="36" t="s">
        <v>355</v>
      </c>
      <c r="D185" s="36" t="s">
        <v>268</v>
      </c>
      <c r="E185" s="36" t="s">
        <v>269</v>
      </c>
      <c r="F185" s="38">
        <f t="shared" si="31"/>
        <v>3994</v>
      </c>
      <c r="G185" s="37" t="s">
        <v>325</v>
      </c>
      <c r="H185" s="47"/>
      <c r="I185" s="48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8"/>
      <c r="U185" s="48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8"/>
      <c r="AG185" s="48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1"/>
      <c r="CO185" s="51"/>
      <c r="CP185" s="51">
        <v>6</v>
      </c>
      <c r="CQ185" s="51">
        <v>200</v>
      </c>
      <c r="CR185" s="51">
        <v>0</v>
      </c>
      <c r="CS185" s="51">
        <v>-16</v>
      </c>
      <c r="CT185" s="51">
        <v>60</v>
      </c>
      <c r="CU185" s="51">
        <v>80</v>
      </c>
      <c r="CV185" s="51">
        <v>280</v>
      </c>
      <c r="CW185" s="51">
        <v>96</v>
      </c>
      <c r="CX185" s="51">
        <v>118</v>
      </c>
      <c r="CY185" s="51">
        <v>260</v>
      </c>
      <c r="CZ185" s="51">
        <v>120</v>
      </c>
      <c r="DA185" s="51">
        <v>359</v>
      </c>
      <c r="DB185" s="51">
        <v>147</v>
      </c>
      <c r="DC185" s="51">
        <v>44</v>
      </c>
      <c r="DD185" s="51">
        <v>304</v>
      </c>
      <c r="DE185" s="51">
        <v>109</v>
      </c>
      <c r="DF185" s="52">
        <v>44</v>
      </c>
      <c r="DG185" s="52">
        <v>0</v>
      </c>
      <c r="DH185" s="52">
        <v>343</v>
      </c>
      <c r="DI185" s="52">
        <v>88</v>
      </c>
      <c r="DJ185" s="52">
        <v>261</v>
      </c>
      <c r="DK185" s="52">
        <v>-5</v>
      </c>
      <c r="DL185" s="52">
        <v>133</v>
      </c>
      <c r="DM185" s="52">
        <v>295</v>
      </c>
      <c r="DN185" s="52">
        <v>207</v>
      </c>
      <c r="DO185" s="52">
        <v>283</v>
      </c>
      <c r="DP185" s="52">
        <v>0</v>
      </c>
      <c r="DQ185" s="52">
        <v>178</v>
      </c>
      <c r="DR185" s="52">
        <v>312</v>
      </c>
      <c r="DS185" s="53">
        <v>0</v>
      </c>
      <c r="DT185" s="53">
        <v>0</v>
      </c>
      <c r="DU185" s="53">
        <v>0</v>
      </c>
      <c r="DV185" s="53">
        <v>0</v>
      </c>
      <c r="DW185" s="53">
        <v>0</v>
      </c>
      <c r="DX185" s="2"/>
      <c r="DY185" s="2"/>
      <c r="DZ185" s="46">
        <f t="shared" si="50"/>
        <v>0</v>
      </c>
      <c r="EA185" s="46">
        <f t="shared" si="51"/>
        <v>0</v>
      </c>
      <c r="EB185" s="46">
        <f t="shared" si="52"/>
        <v>0</v>
      </c>
      <c r="EC185" s="46">
        <f t="shared" si="53"/>
        <v>0</v>
      </c>
      <c r="ED185" s="46">
        <f t="shared" si="54"/>
        <v>0</v>
      </c>
      <c r="EE185" s="46">
        <f t="shared" si="55"/>
        <v>0</v>
      </c>
      <c r="EF185" s="46">
        <f t="shared" si="56"/>
        <v>0</v>
      </c>
      <c r="EG185" s="46">
        <f t="shared" si="57"/>
        <v>1084</v>
      </c>
      <c r="EH185" s="46">
        <f t="shared" si="32"/>
        <v>1819</v>
      </c>
      <c r="EI185" s="46">
        <f t="shared" si="33"/>
        <v>918</v>
      </c>
    </row>
    <row r="186" spans="3:139" ht="12">
      <c r="C186" s="36" t="s">
        <v>356</v>
      </c>
      <c r="D186" s="36" t="s">
        <v>268</v>
      </c>
      <c r="E186" s="36" t="s">
        <v>269</v>
      </c>
      <c r="F186" s="38">
        <f t="shared" si="31"/>
        <v>201</v>
      </c>
      <c r="G186" s="37" t="s">
        <v>325</v>
      </c>
      <c r="H186" s="47"/>
      <c r="I186" s="48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8"/>
      <c r="U186" s="48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8"/>
      <c r="AG186" s="48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1"/>
      <c r="CO186" s="51"/>
      <c r="CP186" s="51">
        <v>5</v>
      </c>
      <c r="CQ186" s="51">
        <v>0</v>
      </c>
      <c r="CR186" s="51">
        <v>60</v>
      </c>
      <c r="CS186" s="51">
        <v>28</v>
      </c>
      <c r="CT186" s="51">
        <v>-7</v>
      </c>
      <c r="CU186" s="51">
        <v>100</v>
      </c>
      <c r="CV186" s="51">
        <v>1</v>
      </c>
      <c r="CW186" s="51">
        <v>14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2">
        <v>0</v>
      </c>
      <c r="DG186" s="52">
        <v>0</v>
      </c>
      <c r="DH186" s="52">
        <v>0</v>
      </c>
      <c r="DI186" s="52">
        <v>0</v>
      </c>
      <c r="DJ186" s="52">
        <v>0</v>
      </c>
      <c r="DK186" s="52">
        <v>0</v>
      </c>
      <c r="DL186" s="52">
        <v>0</v>
      </c>
      <c r="DM186" s="52">
        <v>0</v>
      </c>
      <c r="DN186" s="52">
        <v>0</v>
      </c>
      <c r="DO186" s="52">
        <v>0</v>
      </c>
      <c r="DP186" s="52">
        <v>0</v>
      </c>
      <c r="DQ186" s="52">
        <v>0</v>
      </c>
      <c r="DR186" s="52">
        <v>0</v>
      </c>
      <c r="DS186" s="53">
        <v>0</v>
      </c>
      <c r="DT186" s="53">
        <v>0</v>
      </c>
      <c r="DU186" s="53">
        <v>0</v>
      </c>
      <c r="DV186" s="53">
        <v>0</v>
      </c>
      <c r="DW186" s="53">
        <v>0</v>
      </c>
      <c r="DX186" s="2"/>
      <c r="DY186" s="2"/>
      <c r="DZ186" s="46">
        <f t="shared" si="50"/>
        <v>0</v>
      </c>
      <c r="EA186" s="46">
        <f t="shared" si="51"/>
        <v>0</v>
      </c>
      <c r="EB186" s="46">
        <f t="shared" si="52"/>
        <v>0</v>
      </c>
      <c r="EC186" s="46">
        <f t="shared" si="53"/>
        <v>0</v>
      </c>
      <c r="ED186" s="46">
        <f t="shared" si="54"/>
        <v>0</v>
      </c>
      <c r="EE186" s="46">
        <f t="shared" si="55"/>
        <v>0</v>
      </c>
      <c r="EF186" s="46">
        <f t="shared" si="56"/>
        <v>0</v>
      </c>
      <c r="EG186" s="46">
        <f t="shared" si="57"/>
        <v>201</v>
      </c>
      <c r="EH186" s="46">
        <f t="shared" si="32"/>
        <v>0</v>
      </c>
      <c r="EI186" s="46">
        <f t="shared" si="33"/>
        <v>0</v>
      </c>
    </row>
    <row r="187" spans="3:139" ht="12">
      <c r="C187" s="36" t="s">
        <v>357</v>
      </c>
      <c r="D187" s="36" t="s">
        <v>358</v>
      </c>
      <c r="E187" s="36" t="s">
        <v>359</v>
      </c>
      <c r="F187" s="38">
        <f t="shared" si="31"/>
        <v>30159</v>
      </c>
      <c r="G187" s="37" t="s">
        <v>360</v>
      </c>
      <c r="H187" s="47"/>
      <c r="I187" s="48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8"/>
      <c r="U187" s="48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8"/>
      <c r="AG187" s="48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>
        <v>9</v>
      </c>
      <c r="CF187" s="50">
        <v>87</v>
      </c>
      <c r="CG187" s="50">
        <v>23</v>
      </c>
      <c r="CH187" s="50">
        <v>189</v>
      </c>
      <c r="CI187" s="50">
        <v>366</v>
      </c>
      <c r="CJ187" s="50">
        <v>269</v>
      </c>
      <c r="CK187" s="50">
        <v>3014</v>
      </c>
      <c r="CL187" s="50">
        <v>3097</v>
      </c>
      <c r="CM187" s="50">
        <v>1724</v>
      </c>
      <c r="CN187" s="51">
        <v>3268</v>
      </c>
      <c r="CO187" s="51">
        <v>2287</v>
      </c>
      <c r="CP187" s="51">
        <v>129</v>
      </c>
      <c r="CQ187" s="51">
        <v>158</v>
      </c>
      <c r="CR187" s="51">
        <v>1434</v>
      </c>
      <c r="CS187" s="51">
        <v>-2</v>
      </c>
      <c r="CT187" s="51">
        <v>-1</v>
      </c>
      <c r="CU187" s="51">
        <v>20</v>
      </c>
      <c r="CV187" s="51">
        <v>1840</v>
      </c>
      <c r="CW187" s="51">
        <v>1839</v>
      </c>
      <c r="CX187" s="51">
        <v>35</v>
      </c>
      <c r="CY187" s="51">
        <v>-460</v>
      </c>
      <c r="CZ187" s="51">
        <v>0</v>
      </c>
      <c r="DA187" s="51">
        <v>0</v>
      </c>
      <c r="DB187" s="51">
        <v>62</v>
      </c>
      <c r="DC187" s="51">
        <v>0</v>
      </c>
      <c r="DD187" s="51">
        <v>695</v>
      </c>
      <c r="DE187" s="51">
        <v>5114</v>
      </c>
      <c r="DF187" s="52">
        <v>380</v>
      </c>
      <c r="DG187" s="52">
        <v>1212</v>
      </c>
      <c r="DH187" s="52">
        <v>2492</v>
      </c>
      <c r="DI187" s="52">
        <v>665</v>
      </c>
      <c r="DJ187" s="52">
        <v>-16</v>
      </c>
      <c r="DK187" s="52">
        <v>208</v>
      </c>
      <c r="DL187" s="52">
        <v>18</v>
      </c>
      <c r="DM187" s="52">
        <v>12</v>
      </c>
      <c r="DN187" s="52">
        <v>-17</v>
      </c>
      <c r="DO187" s="52">
        <v>0</v>
      </c>
      <c r="DP187" s="52">
        <v>0</v>
      </c>
      <c r="DQ187" s="52">
        <v>9</v>
      </c>
      <c r="DR187" s="52">
        <v>0</v>
      </c>
      <c r="DS187" s="53">
        <v>0</v>
      </c>
      <c r="DT187" s="53">
        <v>0</v>
      </c>
      <c r="DU187" s="53">
        <v>0</v>
      </c>
      <c r="DV187" s="53">
        <v>0</v>
      </c>
      <c r="DW187" s="53">
        <v>0</v>
      </c>
      <c r="DX187" s="2"/>
      <c r="DY187" s="2"/>
      <c r="DZ187" s="46">
        <f t="shared" si="50"/>
        <v>0</v>
      </c>
      <c r="EA187" s="46">
        <f t="shared" si="51"/>
        <v>0</v>
      </c>
      <c r="EB187" s="46">
        <f t="shared" si="52"/>
        <v>0</v>
      </c>
      <c r="EC187" s="46">
        <f t="shared" si="53"/>
        <v>0</v>
      </c>
      <c r="ED187" s="46">
        <f t="shared" si="54"/>
        <v>0</v>
      </c>
      <c r="EE187" s="46">
        <f t="shared" si="55"/>
        <v>0</v>
      </c>
      <c r="EF187" s="46">
        <f t="shared" si="56"/>
        <v>8778</v>
      </c>
      <c r="EG187" s="46">
        <f t="shared" si="57"/>
        <v>10547</v>
      </c>
      <c r="EH187" s="46">
        <f t="shared" si="32"/>
        <v>10604</v>
      </c>
      <c r="EI187" s="46">
        <f t="shared" si="33"/>
        <v>13</v>
      </c>
    </row>
    <row r="188" spans="3:139" ht="12">
      <c r="C188" s="36" t="s">
        <v>361</v>
      </c>
      <c r="D188" s="36" t="s">
        <v>358</v>
      </c>
      <c r="E188" s="36" t="s">
        <v>359</v>
      </c>
      <c r="F188" s="38">
        <f t="shared" si="31"/>
        <v>19</v>
      </c>
      <c r="G188" s="37" t="s">
        <v>360</v>
      </c>
      <c r="H188" s="47"/>
      <c r="I188" s="48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8"/>
      <c r="U188" s="48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8"/>
      <c r="AG188" s="48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>
        <v>10</v>
      </c>
      <c r="CH188" s="50">
        <v>0</v>
      </c>
      <c r="CI188" s="50">
        <v>9</v>
      </c>
      <c r="CJ188" s="50">
        <v>0</v>
      </c>
      <c r="CK188" s="50">
        <v>0</v>
      </c>
      <c r="CL188" s="50">
        <v>0</v>
      </c>
      <c r="CM188" s="50">
        <v>0</v>
      </c>
      <c r="CN188" s="51">
        <v>0</v>
      </c>
      <c r="CO188" s="51">
        <v>0</v>
      </c>
      <c r="CP188" s="51">
        <v>0</v>
      </c>
      <c r="CQ188" s="51"/>
      <c r="CR188" s="51">
        <v>0</v>
      </c>
      <c r="CS188" s="51">
        <v>0</v>
      </c>
      <c r="CT188" s="51"/>
      <c r="CU188" s="51">
        <v>0</v>
      </c>
      <c r="CV188" s="51"/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/>
      <c r="DC188" s="51">
        <v>0</v>
      </c>
      <c r="DD188" s="51">
        <v>0</v>
      </c>
      <c r="DE188" s="51">
        <v>0</v>
      </c>
      <c r="DF188" s="52">
        <v>0</v>
      </c>
      <c r="DG188" s="52">
        <v>0</v>
      </c>
      <c r="DH188" s="52">
        <v>0</v>
      </c>
      <c r="DI188" s="52">
        <v>0</v>
      </c>
      <c r="DJ188" s="52">
        <v>0</v>
      </c>
      <c r="DK188" s="52">
        <v>0</v>
      </c>
      <c r="DL188" s="52">
        <v>0</v>
      </c>
      <c r="DM188" s="52">
        <v>0</v>
      </c>
      <c r="DN188" s="52">
        <v>0</v>
      </c>
      <c r="DO188" s="52">
        <v>0</v>
      </c>
      <c r="DP188" s="52">
        <v>0</v>
      </c>
      <c r="DQ188" s="52">
        <v>0</v>
      </c>
      <c r="DR188" s="52">
        <v>0</v>
      </c>
      <c r="DS188" s="53">
        <v>0</v>
      </c>
      <c r="DT188" s="53">
        <v>0</v>
      </c>
      <c r="DU188" s="53">
        <v>0</v>
      </c>
      <c r="DV188" s="53">
        <v>0</v>
      </c>
      <c r="DW188" s="53">
        <v>0</v>
      </c>
      <c r="DX188" s="2"/>
      <c r="DY188" s="2"/>
      <c r="DZ188" s="46">
        <f t="shared" si="50"/>
        <v>0</v>
      </c>
      <c r="EA188" s="46">
        <f t="shared" si="51"/>
        <v>0</v>
      </c>
      <c r="EB188" s="46">
        <f t="shared" si="52"/>
        <v>0</v>
      </c>
      <c r="EC188" s="46">
        <f t="shared" si="53"/>
        <v>0</v>
      </c>
      <c r="ED188" s="46">
        <f t="shared" si="54"/>
        <v>0</v>
      </c>
      <c r="EE188" s="46">
        <f t="shared" si="55"/>
        <v>0</v>
      </c>
      <c r="EF188" s="46">
        <f t="shared" si="56"/>
        <v>19</v>
      </c>
      <c r="EG188" s="46">
        <f t="shared" si="57"/>
        <v>0</v>
      </c>
      <c r="EH188" s="46">
        <f t="shared" si="32"/>
        <v>0</v>
      </c>
      <c r="EI188" s="46">
        <f t="shared" si="33"/>
        <v>0</v>
      </c>
    </row>
    <row r="189" spans="3:139" ht="12">
      <c r="C189" s="36" t="s">
        <v>362</v>
      </c>
      <c r="D189" s="36" t="s">
        <v>358</v>
      </c>
      <c r="E189" s="36" t="s">
        <v>359</v>
      </c>
      <c r="F189" s="38">
        <f t="shared" si="31"/>
        <v>44</v>
      </c>
      <c r="G189" s="37" t="s">
        <v>360</v>
      </c>
      <c r="H189" s="47"/>
      <c r="I189" s="48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8"/>
      <c r="U189" s="48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8"/>
      <c r="AG189" s="48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>
        <v>30</v>
      </c>
      <c r="CH189" s="50">
        <v>0</v>
      </c>
      <c r="CI189" s="50">
        <v>14</v>
      </c>
      <c r="CJ189" s="50">
        <v>0</v>
      </c>
      <c r="CK189" s="50">
        <v>0</v>
      </c>
      <c r="CL189" s="50">
        <v>0</v>
      </c>
      <c r="CM189" s="50">
        <v>0</v>
      </c>
      <c r="CN189" s="51">
        <v>0</v>
      </c>
      <c r="CO189" s="51">
        <v>0</v>
      </c>
      <c r="CP189" s="51">
        <v>0</v>
      </c>
      <c r="CQ189" s="51"/>
      <c r="CR189" s="51">
        <v>0</v>
      </c>
      <c r="CS189" s="51">
        <v>0</v>
      </c>
      <c r="CT189" s="51"/>
      <c r="CU189" s="51">
        <v>0</v>
      </c>
      <c r="CV189" s="51"/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/>
      <c r="DC189" s="51">
        <v>0</v>
      </c>
      <c r="DD189" s="51">
        <v>0</v>
      </c>
      <c r="DE189" s="51">
        <v>0</v>
      </c>
      <c r="DF189" s="52">
        <v>0</v>
      </c>
      <c r="DG189" s="52">
        <v>0</v>
      </c>
      <c r="DH189" s="52">
        <v>0</v>
      </c>
      <c r="DI189" s="52">
        <v>0</v>
      </c>
      <c r="DJ189" s="52">
        <v>0</v>
      </c>
      <c r="DK189" s="52">
        <v>0</v>
      </c>
      <c r="DL189" s="52">
        <v>0</v>
      </c>
      <c r="DM189" s="52">
        <v>0</v>
      </c>
      <c r="DN189" s="52">
        <v>0</v>
      </c>
      <c r="DO189" s="52">
        <v>0</v>
      </c>
      <c r="DP189" s="52">
        <v>0</v>
      </c>
      <c r="DQ189" s="52">
        <v>0</v>
      </c>
      <c r="DR189" s="52">
        <v>0</v>
      </c>
      <c r="DS189" s="53">
        <v>0</v>
      </c>
      <c r="DT189" s="53">
        <v>0</v>
      </c>
      <c r="DU189" s="53">
        <v>0</v>
      </c>
      <c r="DV189" s="53">
        <v>0</v>
      </c>
      <c r="DW189" s="53">
        <v>0</v>
      </c>
      <c r="DX189" s="2"/>
      <c r="DY189" s="2"/>
      <c r="DZ189" s="46">
        <f t="shared" si="50"/>
        <v>0</v>
      </c>
      <c r="EA189" s="46">
        <f t="shared" si="51"/>
        <v>0</v>
      </c>
      <c r="EB189" s="46">
        <f t="shared" si="52"/>
        <v>0</v>
      </c>
      <c r="EC189" s="46">
        <f t="shared" si="53"/>
        <v>0</v>
      </c>
      <c r="ED189" s="46">
        <f t="shared" si="54"/>
        <v>0</v>
      </c>
      <c r="EE189" s="46">
        <f t="shared" si="55"/>
        <v>0</v>
      </c>
      <c r="EF189" s="46">
        <f t="shared" si="56"/>
        <v>44</v>
      </c>
      <c r="EG189" s="46">
        <f t="shared" si="57"/>
        <v>0</v>
      </c>
      <c r="EH189" s="46">
        <f t="shared" si="32"/>
        <v>0</v>
      </c>
      <c r="EI189" s="46">
        <f t="shared" si="33"/>
        <v>0</v>
      </c>
    </row>
    <row r="190" spans="3:139" ht="12">
      <c r="C190" s="36" t="s">
        <v>363</v>
      </c>
      <c r="D190" s="36" t="s">
        <v>358</v>
      </c>
      <c r="E190" s="36" t="s">
        <v>359</v>
      </c>
      <c r="F190" s="38">
        <f t="shared" si="31"/>
        <v>29</v>
      </c>
      <c r="G190" s="37" t="s">
        <v>360</v>
      </c>
      <c r="H190" s="47"/>
      <c r="I190" s="48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8"/>
      <c r="U190" s="48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8"/>
      <c r="AG190" s="48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>
        <v>20</v>
      </c>
      <c r="CH190" s="50">
        <v>0</v>
      </c>
      <c r="CI190" s="50">
        <v>9</v>
      </c>
      <c r="CJ190" s="50">
        <v>0</v>
      </c>
      <c r="CK190" s="50">
        <v>0</v>
      </c>
      <c r="CL190" s="50">
        <v>0</v>
      </c>
      <c r="CM190" s="50">
        <v>0</v>
      </c>
      <c r="CN190" s="51">
        <v>0</v>
      </c>
      <c r="CO190" s="51">
        <v>0</v>
      </c>
      <c r="CP190" s="51">
        <v>0</v>
      </c>
      <c r="CQ190" s="51"/>
      <c r="CR190" s="51">
        <v>0</v>
      </c>
      <c r="CS190" s="51">
        <v>0</v>
      </c>
      <c r="CT190" s="51"/>
      <c r="CU190" s="51">
        <v>0</v>
      </c>
      <c r="CV190" s="51"/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/>
      <c r="DC190" s="51">
        <v>0</v>
      </c>
      <c r="DD190" s="51">
        <v>0</v>
      </c>
      <c r="DE190" s="51">
        <v>0</v>
      </c>
      <c r="DF190" s="52">
        <v>0</v>
      </c>
      <c r="DG190" s="52">
        <v>0</v>
      </c>
      <c r="DH190" s="52">
        <v>0</v>
      </c>
      <c r="DI190" s="52">
        <v>0</v>
      </c>
      <c r="DJ190" s="52">
        <v>0</v>
      </c>
      <c r="DK190" s="52">
        <v>0</v>
      </c>
      <c r="DL190" s="52">
        <v>0</v>
      </c>
      <c r="DM190" s="52">
        <v>0</v>
      </c>
      <c r="DN190" s="52">
        <v>0</v>
      </c>
      <c r="DO190" s="52">
        <v>0</v>
      </c>
      <c r="DP190" s="52">
        <v>0</v>
      </c>
      <c r="DQ190" s="52">
        <v>0</v>
      </c>
      <c r="DR190" s="52">
        <v>0</v>
      </c>
      <c r="DS190" s="53">
        <v>0</v>
      </c>
      <c r="DT190" s="53">
        <v>0</v>
      </c>
      <c r="DU190" s="53">
        <v>0</v>
      </c>
      <c r="DV190" s="53">
        <v>0</v>
      </c>
      <c r="DW190" s="53">
        <v>0</v>
      </c>
      <c r="DX190" s="2"/>
      <c r="DY190" s="2"/>
      <c r="DZ190" s="46">
        <f t="shared" si="50"/>
        <v>0</v>
      </c>
      <c r="EA190" s="46">
        <f t="shared" si="51"/>
        <v>0</v>
      </c>
      <c r="EB190" s="46">
        <f t="shared" si="52"/>
        <v>0</v>
      </c>
      <c r="EC190" s="46">
        <f t="shared" si="53"/>
        <v>0</v>
      </c>
      <c r="ED190" s="46">
        <f t="shared" si="54"/>
        <v>0</v>
      </c>
      <c r="EE190" s="46">
        <f t="shared" si="55"/>
        <v>0</v>
      </c>
      <c r="EF190" s="46">
        <f t="shared" si="56"/>
        <v>29</v>
      </c>
      <c r="EG190" s="46">
        <f t="shared" si="57"/>
        <v>0</v>
      </c>
      <c r="EH190" s="46">
        <f t="shared" si="32"/>
        <v>0</v>
      </c>
      <c r="EI190" s="46">
        <f t="shared" si="33"/>
        <v>0</v>
      </c>
    </row>
    <row r="191" spans="3:139" ht="12">
      <c r="C191" s="36" t="s">
        <v>364</v>
      </c>
      <c r="D191" s="36" t="s">
        <v>358</v>
      </c>
      <c r="E191" s="36" t="s">
        <v>359</v>
      </c>
      <c r="F191" s="38">
        <f t="shared" si="31"/>
        <v>11</v>
      </c>
      <c r="G191" s="37" t="s">
        <v>360</v>
      </c>
      <c r="H191" s="47"/>
      <c r="I191" s="48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8"/>
      <c r="U191" s="48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8"/>
      <c r="AG191" s="48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>
        <v>11</v>
      </c>
      <c r="CJ191" s="50">
        <v>0</v>
      </c>
      <c r="CK191" s="50">
        <v>0</v>
      </c>
      <c r="CL191" s="50">
        <v>0</v>
      </c>
      <c r="CM191" s="50">
        <v>0</v>
      </c>
      <c r="CN191" s="51">
        <v>0</v>
      </c>
      <c r="CO191" s="51">
        <v>0</v>
      </c>
      <c r="CP191" s="51">
        <v>0</v>
      </c>
      <c r="CQ191" s="51"/>
      <c r="CR191" s="51">
        <v>0</v>
      </c>
      <c r="CS191" s="51">
        <v>0</v>
      </c>
      <c r="CT191" s="51"/>
      <c r="CU191" s="51">
        <v>0</v>
      </c>
      <c r="CV191" s="51"/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/>
      <c r="DC191" s="51">
        <v>0</v>
      </c>
      <c r="DD191" s="51">
        <v>0</v>
      </c>
      <c r="DE191" s="51">
        <v>0</v>
      </c>
      <c r="DF191" s="52">
        <v>0</v>
      </c>
      <c r="DG191" s="52">
        <v>0</v>
      </c>
      <c r="DH191" s="52">
        <v>0</v>
      </c>
      <c r="DI191" s="52">
        <v>0</v>
      </c>
      <c r="DJ191" s="52">
        <v>0</v>
      </c>
      <c r="DK191" s="52">
        <v>0</v>
      </c>
      <c r="DL191" s="52">
        <v>0</v>
      </c>
      <c r="DM191" s="52">
        <v>0</v>
      </c>
      <c r="DN191" s="52">
        <v>0</v>
      </c>
      <c r="DO191" s="52">
        <v>0</v>
      </c>
      <c r="DP191" s="52">
        <v>0</v>
      </c>
      <c r="DQ191" s="52">
        <v>0</v>
      </c>
      <c r="DR191" s="52">
        <v>0</v>
      </c>
      <c r="DS191" s="53">
        <v>0</v>
      </c>
      <c r="DT191" s="53">
        <v>0</v>
      </c>
      <c r="DU191" s="53">
        <v>0</v>
      </c>
      <c r="DV191" s="53">
        <v>0</v>
      </c>
      <c r="DW191" s="53">
        <v>0</v>
      </c>
      <c r="DX191" s="2"/>
      <c r="DY191" s="2"/>
      <c r="DZ191" s="46">
        <f t="shared" si="50"/>
        <v>0</v>
      </c>
      <c r="EA191" s="46">
        <f t="shared" si="51"/>
        <v>0</v>
      </c>
      <c r="EB191" s="46">
        <f t="shared" si="52"/>
        <v>0</v>
      </c>
      <c r="EC191" s="46">
        <f t="shared" si="53"/>
        <v>0</v>
      </c>
      <c r="ED191" s="46">
        <f t="shared" si="54"/>
        <v>0</v>
      </c>
      <c r="EE191" s="46">
        <f t="shared" si="55"/>
        <v>0</v>
      </c>
      <c r="EF191" s="46">
        <f t="shared" si="56"/>
        <v>11</v>
      </c>
      <c r="EG191" s="46">
        <f t="shared" si="57"/>
        <v>0</v>
      </c>
      <c r="EH191" s="46">
        <f t="shared" si="32"/>
        <v>0</v>
      </c>
      <c r="EI191" s="46">
        <f t="shared" si="33"/>
        <v>0</v>
      </c>
    </row>
    <row r="192" spans="3:139" ht="12">
      <c r="C192" s="36" t="s">
        <v>365</v>
      </c>
      <c r="D192" s="36" t="s">
        <v>358</v>
      </c>
      <c r="E192" s="36" t="s">
        <v>359</v>
      </c>
      <c r="F192" s="38">
        <f t="shared" si="31"/>
        <v>75333</v>
      </c>
      <c r="G192" s="37" t="s">
        <v>360</v>
      </c>
      <c r="H192" s="47"/>
      <c r="I192" s="48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8"/>
      <c r="U192" s="48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8"/>
      <c r="AG192" s="48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1"/>
      <c r="CO192" s="51"/>
      <c r="CP192" s="51"/>
      <c r="CQ192" s="51">
        <v>0</v>
      </c>
      <c r="CR192" s="51"/>
      <c r="CS192" s="51">
        <v>20</v>
      </c>
      <c r="CT192" s="51">
        <v>8575</v>
      </c>
      <c r="CU192" s="51">
        <v>6100</v>
      </c>
      <c r="CV192" s="51">
        <v>2019</v>
      </c>
      <c r="CW192" s="51">
        <v>4854</v>
      </c>
      <c r="CX192" s="51">
        <v>4375</v>
      </c>
      <c r="CY192" s="51">
        <v>4620</v>
      </c>
      <c r="CZ192" s="51">
        <v>5660</v>
      </c>
      <c r="DA192" s="51">
        <v>6600</v>
      </c>
      <c r="DB192" s="51">
        <v>3061</v>
      </c>
      <c r="DC192" s="51">
        <v>4005</v>
      </c>
      <c r="DD192" s="51">
        <v>4437</v>
      </c>
      <c r="DE192" s="51">
        <v>1388</v>
      </c>
      <c r="DF192" s="52">
        <v>3298</v>
      </c>
      <c r="DG192" s="52">
        <v>2985</v>
      </c>
      <c r="DH192" s="52">
        <v>1404</v>
      </c>
      <c r="DI192" s="52">
        <v>4240</v>
      </c>
      <c r="DJ192" s="52">
        <v>3763</v>
      </c>
      <c r="DK192" s="52">
        <v>1984</v>
      </c>
      <c r="DL192" s="52">
        <v>637</v>
      </c>
      <c r="DM192" s="52">
        <v>1074</v>
      </c>
      <c r="DN192" s="52">
        <v>176</v>
      </c>
      <c r="DO192" s="52">
        <v>58</v>
      </c>
      <c r="DP192" s="52">
        <v>0</v>
      </c>
      <c r="DQ192" s="52">
        <v>0</v>
      </c>
      <c r="DR192" s="52">
        <v>13</v>
      </c>
      <c r="DS192" s="53">
        <v>0</v>
      </c>
      <c r="DT192" s="53">
        <v>0</v>
      </c>
      <c r="DU192" s="53">
        <v>0</v>
      </c>
      <c r="DV192" s="53">
        <v>0</v>
      </c>
      <c r="DW192" s="53">
        <v>0</v>
      </c>
      <c r="DX192" s="2"/>
      <c r="DY192" s="2"/>
      <c r="DZ192" s="46">
        <f t="shared" si="50"/>
        <v>0</v>
      </c>
      <c r="EA192" s="46">
        <f t="shared" si="51"/>
        <v>0</v>
      </c>
      <c r="EB192" s="46">
        <f t="shared" si="52"/>
        <v>0</v>
      </c>
      <c r="EC192" s="46">
        <f t="shared" si="53"/>
        <v>0</v>
      </c>
      <c r="ED192" s="46">
        <f t="shared" si="54"/>
        <v>0</v>
      </c>
      <c r="EE192" s="46">
        <f t="shared" si="55"/>
        <v>0</v>
      </c>
      <c r="EF192" s="46">
        <f t="shared" si="56"/>
        <v>0</v>
      </c>
      <c r="EG192" s="46">
        <f t="shared" si="57"/>
        <v>30563</v>
      </c>
      <c r="EH192" s="46">
        <f t="shared" si="32"/>
        <v>40841</v>
      </c>
      <c r="EI192" s="46">
        <f t="shared" si="33"/>
        <v>1945</v>
      </c>
    </row>
    <row r="193" spans="3:139" ht="12">
      <c r="C193" s="36" t="s">
        <v>366</v>
      </c>
      <c r="D193" s="36" t="s">
        <v>358</v>
      </c>
      <c r="E193" s="36" t="s">
        <v>359</v>
      </c>
      <c r="F193" s="38">
        <f t="shared" si="31"/>
        <v>1548</v>
      </c>
      <c r="G193" s="37" t="s">
        <v>360</v>
      </c>
      <c r="H193" s="47"/>
      <c r="I193" s="48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8"/>
      <c r="U193" s="48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8"/>
      <c r="AG193" s="48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1"/>
      <c r="CO193" s="51"/>
      <c r="CP193" s="51"/>
      <c r="CQ193" s="51"/>
      <c r="CR193" s="51"/>
      <c r="CS193" s="51"/>
      <c r="CT193" s="51">
        <v>5</v>
      </c>
      <c r="CU193" s="51">
        <v>20</v>
      </c>
      <c r="CV193" s="51">
        <v>460</v>
      </c>
      <c r="CW193" s="51">
        <v>0</v>
      </c>
      <c r="CX193" s="51">
        <v>119</v>
      </c>
      <c r="CY193" s="51">
        <v>140</v>
      </c>
      <c r="CZ193" s="51">
        <v>360</v>
      </c>
      <c r="DA193" s="51">
        <v>-16</v>
      </c>
      <c r="DB193" s="51">
        <v>29</v>
      </c>
      <c r="DC193" s="51">
        <v>323</v>
      </c>
      <c r="DD193" s="51">
        <v>0</v>
      </c>
      <c r="DE193" s="51">
        <v>0</v>
      </c>
      <c r="DF193" s="52">
        <v>3</v>
      </c>
      <c r="DG193" s="52">
        <v>98</v>
      </c>
      <c r="DH193" s="52">
        <v>0</v>
      </c>
      <c r="DI193" s="52">
        <v>0</v>
      </c>
      <c r="DJ193" s="52">
        <v>0</v>
      </c>
      <c r="DK193" s="52">
        <v>0</v>
      </c>
      <c r="DL193" s="52">
        <v>7</v>
      </c>
      <c r="DM193" s="52">
        <v>0</v>
      </c>
      <c r="DN193" s="52">
        <v>0</v>
      </c>
      <c r="DO193" s="52">
        <v>0</v>
      </c>
      <c r="DP193" s="52">
        <v>0</v>
      </c>
      <c r="DQ193" s="52">
        <v>0</v>
      </c>
      <c r="DR193" s="52">
        <v>29</v>
      </c>
      <c r="DS193" s="53">
        <v>0</v>
      </c>
      <c r="DT193" s="53">
        <v>0</v>
      </c>
      <c r="DU193" s="53">
        <v>0</v>
      </c>
      <c r="DV193" s="53">
        <v>0</v>
      </c>
      <c r="DW193" s="53">
        <v>0</v>
      </c>
      <c r="DX193" s="2"/>
      <c r="DY193" s="2"/>
      <c r="DZ193" s="46">
        <f t="shared" si="50"/>
        <v>0</v>
      </c>
      <c r="EA193" s="46">
        <f t="shared" si="51"/>
        <v>0</v>
      </c>
      <c r="EB193" s="46">
        <f t="shared" si="52"/>
        <v>0</v>
      </c>
      <c r="EC193" s="46">
        <f t="shared" si="53"/>
        <v>0</v>
      </c>
      <c r="ED193" s="46">
        <f t="shared" si="54"/>
        <v>0</v>
      </c>
      <c r="EE193" s="46">
        <f t="shared" si="55"/>
        <v>0</v>
      </c>
      <c r="EF193" s="46">
        <f t="shared" si="56"/>
        <v>0</v>
      </c>
      <c r="EG193" s="46">
        <f t="shared" si="57"/>
        <v>744</v>
      </c>
      <c r="EH193" s="46">
        <f t="shared" si="32"/>
        <v>797</v>
      </c>
      <c r="EI193" s="46">
        <f t="shared" si="33"/>
        <v>7</v>
      </c>
    </row>
    <row r="194" spans="3:139" ht="12">
      <c r="C194" s="36" t="s">
        <v>367</v>
      </c>
      <c r="D194" s="36" t="s">
        <v>358</v>
      </c>
      <c r="E194" s="36" t="s">
        <v>359</v>
      </c>
      <c r="F194" s="38">
        <f t="shared" si="31"/>
        <v>65832</v>
      </c>
      <c r="G194" s="37" t="s">
        <v>360</v>
      </c>
      <c r="H194" s="47"/>
      <c r="I194" s="48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8"/>
      <c r="U194" s="48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8"/>
      <c r="AG194" s="48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1"/>
      <c r="CO194" s="51"/>
      <c r="CP194" s="51"/>
      <c r="CQ194" s="51"/>
      <c r="CR194" s="51"/>
      <c r="CS194" s="51"/>
      <c r="CT194" s="51">
        <v>0</v>
      </c>
      <c r="CU194" s="51">
        <v>2300</v>
      </c>
      <c r="CV194" s="51">
        <v>4478</v>
      </c>
      <c r="CW194" s="51">
        <v>2640</v>
      </c>
      <c r="CX194" s="51">
        <v>1479</v>
      </c>
      <c r="CY194" s="51">
        <v>1640</v>
      </c>
      <c r="CZ194" s="51">
        <v>1620</v>
      </c>
      <c r="DA194" s="51">
        <v>1737</v>
      </c>
      <c r="DB194" s="51">
        <v>1210</v>
      </c>
      <c r="DC194" s="51">
        <v>2478</v>
      </c>
      <c r="DD194" s="51">
        <v>910</v>
      </c>
      <c r="DE194" s="51">
        <v>4029</v>
      </c>
      <c r="DF194" s="52">
        <v>1087</v>
      </c>
      <c r="DG194" s="52">
        <v>2149</v>
      </c>
      <c r="DH194" s="52">
        <v>4657</v>
      </c>
      <c r="DI194" s="52">
        <v>5080</v>
      </c>
      <c r="DJ194" s="52">
        <v>4450</v>
      </c>
      <c r="DK194" s="52">
        <v>4890</v>
      </c>
      <c r="DL194" s="52">
        <v>3080</v>
      </c>
      <c r="DM194" s="52">
        <v>3770</v>
      </c>
      <c r="DN194" s="52">
        <v>2741</v>
      </c>
      <c r="DO194" s="52">
        <v>3205</v>
      </c>
      <c r="DP194" s="52">
        <v>1317</v>
      </c>
      <c r="DQ194" s="52">
        <v>4885</v>
      </c>
      <c r="DR194" s="52">
        <v>2954</v>
      </c>
      <c r="DS194" s="53">
        <v>1422</v>
      </c>
      <c r="DT194" s="53">
        <v>1422</v>
      </c>
      <c r="DU194" s="53">
        <v>853</v>
      </c>
      <c r="DV194" s="53">
        <v>654</v>
      </c>
      <c r="DW194" s="53">
        <v>412</v>
      </c>
      <c r="DX194" s="2"/>
      <c r="DY194" s="2"/>
      <c r="DZ194" s="46">
        <f t="shared" si="50"/>
        <v>0</v>
      </c>
      <c r="EA194" s="46">
        <f t="shared" si="51"/>
        <v>0</v>
      </c>
      <c r="EB194" s="46">
        <f t="shared" si="52"/>
        <v>0</v>
      </c>
      <c r="EC194" s="46">
        <f t="shared" si="53"/>
        <v>0</v>
      </c>
      <c r="ED194" s="46">
        <f t="shared" si="54"/>
        <v>0</v>
      </c>
      <c r="EE194" s="46">
        <f t="shared" si="55"/>
        <v>0</v>
      </c>
      <c r="EF194" s="46">
        <f t="shared" si="56"/>
        <v>0</v>
      </c>
      <c r="EG194" s="46">
        <f t="shared" si="57"/>
        <v>12537</v>
      </c>
      <c r="EH194" s="46">
        <f t="shared" si="32"/>
        <v>29407</v>
      </c>
      <c r="EI194" s="46">
        <f t="shared" si="33"/>
        <v>12796</v>
      </c>
    </row>
    <row r="195" spans="3:139" ht="12">
      <c r="C195" s="36" t="s">
        <v>368</v>
      </c>
      <c r="D195" s="36" t="s">
        <v>358</v>
      </c>
      <c r="E195" s="36" t="s">
        <v>359</v>
      </c>
      <c r="F195" s="38">
        <f t="shared" si="31"/>
        <v>5278</v>
      </c>
      <c r="G195" s="37" t="s">
        <v>360</v>
      </c>
      <c r="H195" s="47"/>
      <c r="I195" s="48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8"/>
      <c r="U195" s="48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8"/>
      <c r="AG195" s="48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1"/>
      <c r="CO195" s="51"/>
      <c r="CP195" s="51"/>
      <c r="CQ195" s="51"/>
      <c r="CR195" s="51"/>
      <c r="CS195" s="51"/>
      <c r="CT195" s="51">
        <v>0</v>
      </c>
      <c r="CU195" s="51"/>
      <c r="CV195" s="51">
        <v>0</v>
      </c>
      <c r="CW195" s="51"/>
      <c r="CX195" s="51">
        <v>20</v>
      </c>
      <c r="CY195" s="51">
        <v>400</v>
      </c>
      <c r="CZ195" s="51">
        <v>0</v>
      </c>
      <c r="DA195" s="51">
        <v>0</v>
      </c>
      <c r="DB195" s="51">
        <v>0</v>
      </c>
      <c r="DC195" s="51">
        <v>1</v>
      </c>
      <c r="DD195" s="51">
        <v>-23</v>
      </c>
      <c r="DE195" s="51">
        <v>23</v>
      </c>
      <c r="DF195" s="52">
        <v>437</v>
      </c>
      <c r="DG195" s="52">
        <v>72</v>
      </c>
      <c r="DH195" s="52">
        <v>0</v>
      </c>
      <c r="DI195" s="52">
        <v>583</v>
      </c>
      <c r="DJ195" s="52">
        <v>618</v>
      </c>
      <c r="DK195" s="52">
        <v>577</v>
      </c>
      <c r="DL195" s="52">
        <v>264</v>
      </c>
      <c r="DM195" s="52">
        <v>796</v>
      </c>
      <c r="DN195" s="52">
        <v>110</v>
      </c>
      <c r="DO195" s="52">
        <v>602</v>
      </c>
      <c r="DP195" s="52">
        <v>424</v>
      </c>
      <c r="DQ195" s="52">
        <v>374</v>
      </c>
      <c r="DR195" s="52">
        <v>311</v>
      </c>
      <c r="DS195" s="53">
        <v>458</v>
      </c>
      <c r="DT195" s="53">
        <v>458</v>
      </c>
      <c r="DU195" s="53">
        <v>275</v>
      </c>
      <c r="DV195" s="53">
        <v>211</v>
      </c>
      <c r="DW195" s="53">
        <v>133</v>
      </c>
      <c r="DX195" s="2"/>
      <c r="DY195" s="2"/>
      <c r="DZ195" s="46">
        <f t="shared" si="50"/>
        <v>0</v>
      </c>
      <c r="EA195" s="46">
        <f t="shared" si="51"/>
        <v>0</v>
      </c>
      <c r="EB195" s="46">
        <f t="shared" si="52"/>
        <v>0</v>
      </c>
      <c r="EC195" s="46">
        <f t="shared" si="53"/>
        <v>0</v>
      </c>
      <c r="ED195" s="46">
        <f t="shared" si="54"/>
        <v>0</v>
      </c>
      <c r="EE195" s="46">
        <f t="shared" si="55"/>
        <v>0</v>
      </c>
      <c r="EF195" s="46">
        <f t="shared" si="56"/>
        <v>0</v>
      </c>
      <c r="EG195" s="46">
        <f t="shared" si="57"/>
        <v>420</v>
      </c>
      <c r="EH195" s="46">
        <f t="shared" si="32"/>
        <v>1711</v>
      </c>
      <c r="EI195" s="46">
        <f t="shared" si="33"/>
        <v>1772</v>
      </c>
    </row>
    <row r="196" spans="3:139" ht="12">
      <c r="C196" s="36" t="s">
        <v>369</v>
      </c>
      <c r="D196" s="36" t="s">
        <v>358</v>
      </c>
      <c r="E196" s="36" t="s">
        <v>359</v>
      </c>
      <c r="F196" s="38">
        <f t="shared" si="31"/>
        <v>111</v>
      </c>
      <c r="G196" s="37" t="s">
        <v>360</v>
      </c>
      <c r="H196" s="47"/>
      <c r="I196" s="48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8"/>
      <c r="U196" s="48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8"/>
      <c r="AG196" s="48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1"/>
      <c r="CO196" s="51"/>
      <c r="CP196" s="51"/>
      <c r="CQ196" s="51"/>
      <c r="CR196" s="51"/>
      <c r="CS196" s="51"/>
      <c r="CT196" s="51">
        <v>0</v>
      </c>
      <c r="CU196" s="51"/>
      <c r="CV196" s="51">
        <v>0</v>
      </c>
      <c r="CW196" s="51"/>
      <c r="CX196" s="51"/>
      <c r="CY196" s="51"/>
      <c r="CZ196" s="51"/>
      <c r="DA196" s="51"/>
      <c r="DB196" s="51">
        <v>0</v>
      </c>
      <c r="DC196" s="51"/>
      <c r="DD196" s="51"/>
      <c r="DE196" s="51"/>
      <c r="DF196" s="52">
        <v>110</v>
      </c>
      <c r="DG196" s="52">
        <v>1</v>
      </c>
      <c r="DH196" s="52">
        <v>0</v>
      </c>
      <c r="DI196" s="52">
        <v>0</v>
      </c>
      <c r="DJ196" s="52">
        <v>0</v>
      </c>
      <c r="DK196" s="52">
        <v>0</v>
      </c>
      <c r="DL196" s="52">
        <v>0</v>
      </c>
      <c r="DM196" s="52">
        <v>0</v>
      </c>
      <c r="DN196" s="52">
        <v>0</v>
      </c>
      <c r="DO196" s="52">
        <v>0</v>
      </c>
      <c r="DP196" s="52">
        <v>0</v>
      </c>
      <c r="DQ196" s="52">
        <v>0</v>
      </c>
      <c r="DR196" s="52">
        <v>14</v>
      </c>
      <c r="DS196" s="53">
        <v>0</v>
      </c>
      <c r="DT196" s="53">
        <v>0</v>
      </c>
      <c r="DU196" s="53">
        <v>0</v>
      </c>
      <c r="DV196" s="53">
        <v>0</v>
      </c>
      <c r="DW196" s="53">
        <v>0</v>
      </c>
      <c r="DX196" s="2"/>
      <c r="DY196" s="2"/>
      <c r="DZ196" s="46">
        <f t="shared" si="50"/>
        <v>0</v>
      </c>
      <c r="EA196" s="46">
        <f t="shared" si="51"/>
        <v>0</v>
      </c>
      <c r="EB196" s="46">
        <f t="shared" si="52"/>
        <v>0</v>
      </c>
      <c r="EC196" s="46">
        <f t="shared" si="53"/>
        <v>0</v>
      </c>
      <c r="ED196" s="46">
        <f t="shared" si="54"/>
        <v>0</v>
      </c>
      <c r="EE196" s="46">
        <f t="shared" si="55"/>
        <v>0</v>
      </c>
      <c r="EF196" s="46">
        <f t="shared" si="56"/>
        <v>0</v>
      </c>
      <c r="EG196" s="46">
        <f t="shared" si="57"/>
        <v>0</v>
      </c>
      <c r="EH196" s="46">
        <f t="shared" si="32"/>
        <v>111</v>
      </c>
      <c r="EI196" s="46">
        <f t="shared" si="33"/>
        <v>0</v>
      </c>
    </row>
    <row r="197" spans="3:139" ht="12">
      <c r="C197" s="36" t="s">
        <v>370</v>
      </c>
      <c r="D197" s="36" t="s">
        <v>358</v>
      </c>
      <c r="E197" s="36" t="s">
        <v>359</v>
      </c>
      <c r="F197" s="38">
        <f t="shared" si="31"/>
        <v>3928</v>
      </c>
      <c r="G197" s="37" t="s">
        <v>360</v>
      </c>
      <c r="H197" s="47"/>
      <c r="I197" s="48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8"/>
      <c r="U197" s="48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8"/>
      <c r="AG197" s="48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1"/>
      <c r="CO197" s="51"/>
      <c r="CP197" s="51"/>
      <c r="CQ197" s="51"/>
      <c r="CR197" s="51"/>
      <c r="CS197" s="51"/>
      <c r="CT197" s="51"/>
      <c r="CU197" s="51"/>
      <c r="CV197" s="51"/>
      <c r="CW197" s="51"/>
      <c r="CX197" s="51"/>
      <c r="CY197" s="51"/>
      <c r="CZ197" s="51"/>
      <c r="DA197" s="51"/>
      <c r="DB197" s="51"/>
      <c r="DC197" s="51"/>
      <c r="DD197" s="51"/>
      <c r="DE197" s="51"/>
      <c r="DF197" s="52"/>
      <c r="DG197" s="52"/>
      <c r="DH197" s="52"/>
      <c r="DI197" s="52"/>
      <c r="DJ197" s="52">
        <v>10</v>
      </c>
      <c r="DK197" s="52">
        <v>-5</v>
      </c>
      <c r="DL197" s="52">
        <v>9</v>
      </c>
      <c r="DM197" s="52">
        <v>0</v>
      </c>
      <c r="DN197" s="52">
        <v>-5</v>
      </c>
      <c r="DO197" s="52">
        <v>1315</v>
      </c>
      <c r="DP197" s="52">
        <v>46</v>
      </c>
      <c r="DQ197" s="52">
        <v>2558</v>
      </c>
      <c r="DR197" s="52">
        <v>1594</v>
      </c>
      <c r="DS197" s="53">
        <v>50</v>
      </c>
      <c r="DT197" s="53">
        <v>50</v>
      </c>
      <c r="DU197" s="53">
        <v>30</v>
      </c>
      <c r="DV197" s="53">
        <v>23</v>
      </c>
      <c r="DW197" s="53">
        <v>15</v>
      </c>
      <c r="DX197" s="2"/>
      <c r="DY197" s="2"/>
      <c r="DZ197" s="46"/>
      <c r="EA197" s="46"/>
      <c r="EB197" s="46"/>
      <c r="EC197" s="46"/>
      <c r="ED197" s="46"/>
      <c r="EE197" s="46"/>
      <c r="EF197" s="46"/>
      <c r="EG197" s="46"/>
      <c r="EH197" s="46">
        <f t="shared" si="32"/>
        <v>10</v>
      </c>
      <c r="EI197" s="46">
        <f t="shared" si="33"/>
        <v>1319</v>
      </c>
    </row>
    <row r="198" spans="3:139" ht="12">
      <c r="C198" s="36" t="s">
        <v>371</v>
      </c>
      <c r="D198" s="36" t="s">
        <v>358</v>
      </c>
      <c r="E198" s="36" t="s">
        <v>359</v>
      </c>
      <c r="F198" s="38">
        <f t="shared" si="31"/>
        <v>1995</v>
      </c>
      <c r="G198" s="37" t="s">
        <v>360</v>
      </c>
      <c r="H198" s="47"/>
      <c r="I198" s="48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8"/>
      <c r="U198" s="48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8"/>
      <c r="AG198" s="48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1"/>
      <c r="CO198" s="51"/>
      <c r="CP198" s="51"/>
      <c r="CQ198" s="51"/>
      <c r="CR198" s="51"/>
      <c r="CS198" s="51"/>
      <c r="CT198" s="51"/>
      <c r="CU198" s="51"/>
      <c r="CV198" s="51"/>
      <c r="CW198" s="51"/>
      <c r="CX198" s="51"/>
      <c r="CY198" s="51"/>
      <c r="CZ198" s="51"/>
      <c r="DA198" s="51"/>
      <c r="DB198" s="51"/>
      <c r="DC198" s="51"/>
      <c r="DD198" s="51"/>
      <c r="DE198" s="51"/>
      <c r="DF198" s="52"/>
      <c r="DG198" s="52"/>
      <c r="DH198" s="52"/>
      <c r="DI198" s="52"/>
      <c r="DJ198" s="52">
        <v>208</v>
      </c>
      <c r="DK198" s="52">
        <v>476</v>
      </c>
      <c r="DL198" s="52">
        <v>57</v>
      </c>
      <c r="DM198" s="52">
        <v>326</v>
      </c>
      <c r="DN198" s="52">
        <v>166</v>
      </c>
      <c r="DO198" s="52">
        <v>130</v>
      </c>
      <c r="DP198" s="52">
        <v>445</v>
      </c>
      <c r="DQ198" s="52">
        <v>187</v>
      </c>
      <c r="DR198" s="52">
        <v>262</v>
      </c>
      <c r="DS198" s="53">
        <v>481</v>
      </c>
      <c r="DT198" s="53">
        <v>481</v>
      </c>
      <c r="DU198" s="53">
        <v>289</v>
      </c>
      <c r="DV198" s="53">
        <v>221</v>
      </c>
      <c r="DW198" s="53">
        <v>139</v>
      </c>
      <c r="DX198" s="2"/>
      <c r="DY198" s="2"/>
      <c r="DZ198" s="46"/>
      <c r="EA198" s="46"/>
      <c r="EB198" s="46"/>
      <c r="EC198" s="46"/>
      <c r="ED198" s="46"/>
      <c r="EE198" s="46"/>
      <c r="EF198" s="46"/>
      <c r="EG198" s="46"/>
      <c r="EH198" s="46">
        <f t="shared" si="32"/>
        <v>208</v>
      </c>
      <c r="EI198" s="46">
        <f t="shared" si="33"/>
        <v>679</v>
      </c>
    </row>
    <row r="199" spans="3:139" ht="12">
      <c r="C199" s="36" t="s">
        <v>372</v>
      </c>
      <c r="D199" s="36" t="s">
        <v>358</v>
      </c>
      <c r="E199" s="36" t="s">
        <v>359</v>
      </c>
      <c r="F199" s="38">
        <f t="shared" si="31"/>
        <v>4540</v>
      </c>
      <c r="G199" s="37" t="s">
        <v>360</v>
      </c>
      <c r="H199" s="47"/>
      <c r="I199" s="48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8"/>
      <c r="U199" s="48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8"/>
      <c r="AG199" s="48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1"/>
      <c r="CO199" s="51"/>
      <c r="CP199" s="51"/>
      <c r="CQ199" s="51"/>
      <c r="CR199" s="51"/>
      <c r="CS199" s="51"/>
      <c r="CT199" s="51"/>
      <c r="CU199" s="51"/>
      <c r="CV199" s="51"/>
      <c r="CW199" s="51"/>
      <c r="CX199" s="51"/>
      <c r="CY199" s="51"/>
      <c r="CZ199" s="51"/>
      <c r="DA199" s="51"/>
      <c r="DB199" s="51"/>
      <c r="DC199" s="51"/>
      <c r="DD199" s="51"/>
      <c r="DE199" s="51"/>
      <c r="DF199" s="52"/>
      <c r="DG199" s="52"/>
      <c r="DH199" s="52"/>
      <c r="DI199" s="52">
        <v>15</v>
      </c>
      <c r="DJ199" s="52">
        <v>939</v>
      </c>
      <c r="DK199" s="52">
        <v>1075</v>
      </c>
      <c r="DL199" s="52">
        <v>731</v>
      </c>
      <c r="DM199" s="52">
        <v>203</v>
      </c>
      <c r="DN199" s="52">
        <v>301</v>
      </c>
      <c r="DO199" s="52">
        <v>903</v>
      </c>
      <c r="DP199" s="52">
        <v>62</v>
      </c>
      <c r="DQ199" s="52">
        <v>311</v>
      </c>
      <c r="DR199" s="52">
        <v>-2</v>
      </c>
      <c r="DS199" s="53">
        <v>67</v>
      </c>
      <c r="DT199" s="53">
        <v>67</v>
      </c>
      <c r="DU199" s="53">
        <v>40</v>
      </c>
      <c r="DV199" s="53">
        <v>31</v>
      </c>
      <c r="DW199" s="53">
        <v>19</v>
      </c>
      <c r="DX199" s="2"/>
      <c r="DY199" s="2"/>
      <c r="DZ199" s="46"/>
      <c r="EA199" s="46"/>
      <c r="EB199" s="46"/>
      <c r="EC199" s="46"/>
      <c r="ED199" s="46"/>
      <c r="EE199" s="46"/>
      <c r="EF199" s="46"/>
      <c r="EG199" s="46"/>
      <c r="EH199" s="46">
        <f t="shared" si="32"/>
        <v>954</v>
      </c>
      <c r="EI199" s="46">
        <f t="shared" si="33"/>
        <v>2138</v>
      </c>
    </row>
    <row r="200" spans="3:139" ht="12">
      <c r="C200" s="36" t="s">
        <v>373</v>
      </c>
      <c r="D200" s="36" t="s">
        <v>358</v>
      </c>
      <c r="E200" s="36" t="s">
        <v>359</v>
      </c>
      <c r="F200" s="38">
        <f t="shared" si="31"/>
        <v>0</v>
      </c>
      <c r="G200" s="37" t="s">
        <v>360</v>
      </c>
      <c r="H200" s="47"/>
      <c r="I200" s="48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8"/>
      <c r="U200" s="48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8"/>
      <c r="AG200" s="48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1"/>
      <c r="CO200" s="51"/>
      <c r="CP200" s="51"/>
      <c r="CQ200" s="51">
        <v>0</v>
      </c>
      <c r="CR200" s="51"/>
      <c r="CS200" s="51"/>
      <c r="CT200" s="51">
        <v>0</v>
      </c>
      <c r="CU200" s="51"/>
      <c r="CV200" s="51">
        <v>0</v>
      </c>
      <c r="CW200" s="51"/>
      <c r="CX200" s="51"/>
      <c r="CY200" s="51"/>
      <c r="CZ200" s="51"/>
      <c r="DA200" s="51"/>
      <c r="DB200" s="51">
        <v>0</v>
      </c>
      <c r="DC200" s="51"/>
      <c r="DD200" s="51"/>
      <c r="DE200" s="51"/>
      <c r="DF200" s="52"/>
      <c r="DG200" s="52"/>
      <c r="DH200" s="52"/>
      <c r="DI200" s="52"/>
      <c r="DJ200" s="52"/>
      <c r="DK200" s="52"/>
      <c r="DL200" s="52"/>
      <c r="DM200" s="52"/>
      <c r="DN200" s="52"/>
      <c r="DO200" s="52"/>
      <c r="DP200" s="52"/>
      <c r="DQ200" s="52"/>
      <c r="DR200" s="52"/>
      <c r="DS200" s="53">
        <v>0</v>
      </c>
      <c r="DT200" s="53">
        <v>0</v>
      </c>
      <c r="DU200" s="53">
        <v>0</v>
      </c>
      <c r="DV200" s="53">
        <v>0</v>
      </c>
      <c r="DW200" s="53">
        <v>0</v>
      </c>
      <c r="DX200" s="2"/>
      <c r="DY200" s="2"/>
      <c r="DZ200" s="46">
        <f t="shared" ref="DZ200:DZ263" si="58">SUM(H200:S200)</f>
        <v>0</v>
      </c>
      <c r="EA200" s="46">
        <f t="shared" ref="EA200:EA263" si="59">SUM(T200:AE200)</f>
        <v>0</v>
      </c>
      <c r="EB200" s="46">
        <f t="shared" ref="EB200:EB263" si="60">SUM(AF200:AQ200)</f>
        <v>0</v>
      </c>
      <c r="EC200" s="46">
        <f t="shared" ref="EC200:EC263" si="61">SUM(AR200:BC200)</f>
        <v>0</v>
      </c>
      <c r="ED200" s="46">
        <f t="shared" ref="ED200:ED263" si="62">SUM(BD200:BO200)</f>
        <v>0</v>
      </c>
      <c r="EE200" s="46">
        <f t="shared" ref="EE200:EE263" si="63">SUM(BP200:CA200)</f>
        <v>0</v>
      </c>
      <c r="EF200" s="46">
        <f t="shared" ref="EF200:EF263" si="64">SUM(CB200:CM200)</f>
        <v>0</v>
      </c>
      <c r="EG200" s="46">
        <f t="shared" ref="EG200:EG263" si="65">SUM(CN200:CY200)</f>
        <v>0</v>
      </c>
      <c r="EH200" s="46">
        <f t="shared" si="32"/>
        <v>0</v>
      </c>
      <c r="EI200" s="46">
        <f t="shared" si="33"/>
        <v>0</v>
      </c>
    </row>
    <row r="201" spans="3:139" ht="12">
      <c r="C201" s="36" t="s">
        <v>374</v>
      </c>
      <c r="D201" s="36" t="s">
        <v>358</v>
      </c>
      <c r="E201" s="36" t="s">
        <v>359</v>
      </c>
      <c r="F201" s="38">
        <f t="shared" si="31"/>
        <v>22839</v>
      </c>
      <c r="G201" s="37" t="s">
        <v>360</v>
      </c>
      <c r="H201" s="47"/>
      <c r="I201" s="48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8"/>
      <c r="U201" s="48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8"/>
      <c r="AG201" s="48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>
        <v>20</v>
      </c>
      <c r="CM201" s="50">
        <v>0</v>
      </c>
      <c r="CN201" s="51">
        <v>18</v>
      </c>
      <c r="CO201" s="51">
        <v>19</v>
      </c>
      <c r="CP201" s="51">
        <v>920</v>
      </c>
      <c r="CQ201" s="51">
        <v>800</v>
      </c>
      <c r="CR201" s="51">
        <v>-3</v>
      </c>
      <c r="CS201" s="51">
        <v>0</v>
      </c>
      <c r="CT201" s="51">
        <v>153</v>
      </c>
      <c r="CU201" s="51">
        <v>2740</v>
      </c>
      <c r="CV201" s="51">
        <v>640</v>
      </c>
      <c r="CW201" s="51">
        <v>1220</v>
      </c>
      <c r="CX201" s="51">
        <v>500</v>
      </c>
      <c r="CY201" s="51">
        <v>494</v>
      </c>
      <c r="CZ201" s="51">
        <v>1280</v>
      </c>
      <c r="DA201" s="51">
        <v>1434</v>
      </c>
      <c r="DB201" s="51">
        <v>840</v>
      </c>
      <c r="DC201" s="51">
        <v>873</v>
      </c>
      <c r="DD201" s="51">
        <v>1258</v>
      </c>
      <c r="DE201" s="51">
        <v>550</v>
      </c>
      <c r="DF201" s="52">
        <v>392</v>
      </c>
      <c r="DG201" s="52">
        <v>513</v>
      </c>
      <c r="DH201" s="52">
        <v>800</v>
      </c>
      <c r="DI201" s="52">
        <v>726</v>
      </c>
      <c r="DJ201" s="52">
        <v>955</v>
      </c>
      <c r="DK201" s="52">
        <v>122</v>
      </c>
      <c r="DL201" s="52">
        <v>1696</v>
      </c>
      <c r="DM201" s="52">
        <v>1030</v>
      </c>
      <c r="DN201" s="52">
        <v>576</v>
      </c>
      <c r="DO201" s="52">
        <v>705</v>
      </c>
      <c r="DP201" s="52">
        <v>1243</v>
      </c>
      <c r="DQ201" s="52">
        <v>325</v>
      </c>
      <c r="DR201" s="52">
        <v>629</v>
      </c>
      <c r="DS201" s="53">
        <v>1342</v>
      </c>
      <c r="DT201" s="53">
        <v>1342</v>
      </c>
      <c r="DU201" s="53">
        <v>805</v>
      </c>
      <c r="DV201" s="53">
        <v>617</v>
      </c>
      <c r="DW201" s="53">
        <v>389</v>
      </c>
      <c r="DX201" s="2"/>
      <c r="DY201" s="2"/>
      <c r="DZ201" s="46">
        <f t="shared" si="58"/>
        <v>0</v>
      </c>
      <c r="EA201" s="46">
        <f t="shared" si="59"/>
        <v>0</v>
      </c>
      <c r="EB201" s="46">
        <f t="shared" si="60"/>
        <v>0</v>
      </c>
      <c r="EC201" s="46">
        <f t="shared" si="61"/>
        <v>0</v>
      </c>
      <c r="ED201" s="46">
        <f t="shared" si="62"/>
        <v>0</v>
      </c>
      <c r="EE201" s="46">
        <f t="shared" si="63"/>
        <v>0</v>
      </c>
      <c r="EF201" s="46">
        <f t="shared" si="64"/>
        <v>20</v>
      </c>
      <c r="EG201" s="46">
        <f t="shared" si="65"/>
        <v>7501</v>
      </c>
      <c r="EH201" s="46">
        <f t="shared" si="32"/>
        <v>9621</v>
      </c>
      <c r="EI201" s="46">
        <f t="shared" si="33"/>
        <v>4007</v>
      </c>
    </row>
    <row r="202" spans="3:139" ht="12">
      <c r="C202" s="36" t="s">
        <v>375</v>
      </c>
      <c r="D202" s="36" t="s">
        <v>358</v>
      </c>
      <c r="E202" s="36" t="s">
        <v>359</v>
      </c>
      <c r="F202" s="38">
        <f t="shared" si="31"/>
        <v>1101</v>
      </c>
      <c r="G202" s="37" t="s">
        <v>360</v>
      </c>
      <c r="H202" s="47"/>
      <c r="I202" s="48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8"/>
      <c r="U202" s="48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8"/>
      <c r="AG202" s="48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1"/>
      <c r="CO202" s="51"/>
      <c r="CP202" s="51"/>
      <c r="CQ202" s="51"/>
      <c r="CR202" s="51"/>
      <c r="CS202" s="51"/>
      <c r="CT202" s="51">
        <v>0</v>
      </c>
      <c r="CU202" s="51"/>
      <c r="CV202" s="51">
        <v>0</v>
      </c>
      <c r="CW202" s="51"/>
      <c r="CX202" s="51">
        <v>196</v>
      </c>
      <c r="CY202" s="51">
        <v>0</v>
      </c>
      <c r="CZ202" s="51">
        <v>0</v>
      </c>
      <c r="DA202" s="51">
        <v>41</v>
      </c>
      <c r="DB202" s="51">
        <v>64</v>
      </c>
      <c r="DC202" s="51">
        <v>100</v>
      </c>
      <c r="DD202" s="51">
        <v>0</v>
      </c>
      <c r="DE202" s="51">
        <v>52</v>
      </c>
      <c r="DF202" s="52">
        <v>25</v>
      </c>
      <c r="DG202" s="52">
        <v>48</v>
      </c>
      <c r="DH202" s="52">
        <v>35</v>
      </c>
      <c r="DI202" s="52">
        <v>0</v>
      </c>
      <c r="DJ202" s="52">
        <v>130</v>
      </c>
      <c r="DK202" s="52">
        <v>0</v>
      </c>
      <c r="DL202" s="52">
        <v>50</v>
      </c>
      <c r="DM202" s="52">
        <v>129</v>
      </c>
      <c r="DN202" s="52">
        <v>0</v>
      </c>
      <c r="DO202" s="52">
        <v>138</v>
      </c>
      <c r="DP202" s="52">
        <v>95</v>
      </c>
      <c r="DQ202" s="52">
        <v>-2</v>
      </c>
      <c r="DR202" s="52">
        <v>179</v>
      </c>
      <c r="DS202" s="53">
        <v>103</v>
      </c>
      <c r="DT202" s="53">
        <v>103</v>
      </c>
      <c r="DU202" s="53">
        <v>62</v>
      </c>
      <c r="DV202" s="53">
        <v>47</v>
      </c>
      <c r="DW202" s="53">
        <v>30</v>
      </c>
      <c r="DX202" s="2"/>
      <c r="DY202" s="2"/>
      <c r="DZ202" s="46">
        <f t="shared" si="58"/>
        <v>0</v>
      </c>
      <c r="EA202" s="46">
        <f t="shared" si="59"/>
        <v>0</v>
      </c>
      <c r="EB202" s="46">
        <f t="shared" si="60"/>
        <v>0</v>
      </c>
      <c r="EC202" s="46">
        <f t="shared" si="61"/>
        <v>0</v>
      </c>
      <c r="ED202" s="46">
        <f t="shared" si="62"/>
        <v>0</v>
      </c>
      <c r="EE202" s="46">
        <f t="shared" si="63"/>
        <v>0</v>
      </c>
      <c r="EF202" s="46">
        <f t="shared" si="64"/>
        <v>0</v>
      </c>
      <c r="EG202" s="46">
        <f t="shared" si="65"/>
        <v>196</v>
      </c>
      <c r="EH202" s="46">
        <f t="shared" si="32"/>
        <v>495</v>
      </c>
      <c r="EI202" s="46">
        <f t="shared" si="33"/>
        <v>317</v>
      </c>
    </row>
    <row r="203" spans="3:139" ht="12">
      <c r="C203" s="36" t="s">
        <v>376</v>
      </c>
      <c r="D203" s="36" t="s">
        <v>358</v>
      </c>
      <c r="E203" s="36" t="s">
        <v>359</v>
      </c>
      <c r="F203" s="38">
        <f t="shared" ref="F203:F266" si="66">SUM(H203:DQ203)</f>
        <v>207</v>
      </c>
      <c r="G203" s="37" t="s">
        <v>360</v>
      </c>
      <c r="H203" s="47"/>
      <c r="I203" s="48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8"/>
      <c r="U203" s="48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8"/>
      <c r="AG203" s="48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1"/>
      <c r="CO203" s="51"/>
      <c r="CP203" s="51"/>
      <c r="CQ203" s="51"/>
      <c r="CR203" s="51"/>
      <c r="CS203" s="51"/>
      <c r="CT203" s="51">
        <v>0</v>
      </c>
      <c r="CU203" s="51">
        <v>0</v>
      </c>
      <c r="CV203" s="51">
        <v>0</v>
      </c>
      <c r="CW203" s="51">
        <v>20</v>
      </c>
      <c r="CX203" s="51">
        <v>0</v>
      </c>
      <c r="CY203" s="51">
        <v>20</v>
      </c>
      <c r="CZ203" s="51">
        <v>40</v>
      </c>
      <c r="DA203" s="51">
        <v>20</v>
      </c>
      <c r="DB203" s="51">
        <v>16</v>
      </c>
      <c r="DC203" s="51">
        <v>19</v>
      </c>
      <c r="DD203" s="51">
        <v>0</v>
      </c>
      <c r="DE203" s="51">
        <v>0</v>
      </c>
      <c r="DF203" s="52">
        <v>0</v>
      </c>
      <c r="DG203" s="52">
        <v>72</v>
      </c>
      <c r="DH203" s="52">
        <v>0</v>
      </c>
      <c r="DI203" s="52">
        <v>0</v>
      </c>
      <c r="DJ203" s="52">
        <v>0</v>
      </c>
      <c r="DK203" s="52">
        <v>0</v>
      </c>
      <c r="DL203" s="52">
        <v>0</v>
      </c>
      <c r="DM203" s="52">
        <v>0</v>
      </c>
      <c r="DN203" s="52">
        <v>0</v>
      </c>
      <c r="DO203" s="52">
        <v>0</v>
      </c>
      <c r="DP203" s="52">
        <v>0</v>
      </c>
      <c r="DQ203" s="52">
        <v>0</v>
      </c>
      <c r="DR203" s="52">
        <v>0</v>
      </c>
      <c r="DS203" s="53">
        <v>0</v>
      </c>
      <c r="DT203" s="53">
        <v>0</v>
      </c>
      <c r="DU203" s="53">
        <v>0</v>
      </c>
      <c r="DV203" s="53">
        <v>0</v>
      </c>
      <c r="DW203" s="53">
        <v>0</v>
      </c>
      <c r="DX203" s="2"/>
      <c r="DY203" s="2"/>
      <c r="DZ203" s="46">
        <f t="shared" si="58"/>
        <v>0</v>
      </c>
      <c r="EA203" s="46">
        <f t="shared" si="59"/>
        <v>0</v>
      </c>
      <c r="EB203" s="46">
        <f t="shared" si="60"/>
        <v>0</v>
      </c>
      <c r="EC203" s="46">
        <f t="shared" si="61"/>
        <v>0</v>
      </c>
      <c r="ED203" s="46">
        <f t="shared" si="62"/>
        <v>0</v>
      </c>
      <c r="EE203" s="46">
        <f t="shared" si="63"/>
        <v>0</v>
      </c>
      <c r="EF203" s="46">
        <f t="shared" si="64"/>
        <v>0</v>
      </c>
      <c r="EG203" s="46">
        <f t="shared" si="65"/>
        <v>40</v>
      </c>
      <c r="EH203" s="46">
        <f t="shared" si="32"/>
        <v>167</v>
      </c>
      <c r="EI203" s="46">
        <f t="shared" ref="EI203:EI266" si="67">SUM(DL203:DO203)</f>
        <v>0</v>
      </c>
    </row>
    <row r="204" spans="3:139" ht="12">
      <c r="C204" s="36" t="s">
        <v>377</v>
      </c>
      <c r="D204" s="36" t="s">
        <v>378</v>
      </c>
      <c r="E204" s="36" t="s">
        <v>378</v>
      </c>
      <c r="F204" s="38">
        <f t="shared" si="66"/>
        <v>2813</v>
      </c>
      <c r="G204" s="37" t="s">
        <v>379</v>
      </c>
      <c r="H204" s="47">
        <v>0</v>
      </c>
      <c r="I204" s="48">
        <v>0</v>
      </c>
      <c r="J204" s="49">
        <v>40</v>
      </c>
      <c r="K204" s="49">
        <v>320</v>
      </c>
      <c r="L204" s="49">
        <v>14</v>
      </c>
      <c r="M204" s="49">
        <v>261</v>
      </c>
      <c r="N204" s="49">
        <v>10</v>
      </c>
      <c r="O204" s="49">
        <v>197</v>
      </c>
      <c r="P204" s="49">
        <v>0</v>
      </c>
      <c r="Q204" s="49">
        <v>50</v>
      </c>
      <c r="R204" s="49">
        <v>488</v>
      </c>
      <c r="S204" s="49">
        <v>271</v>
      </c>
      <c r="T204" s="48">
        <v>0</v>
      </c>
      <c r="U204" s="48">
        <v>0</v>
      </c>
      <c r="V204" s="49">
        <v>0</v>
      </c>
      <c r="W204" s="49">
        <v>0</v>
      </c>
      <c r="X204" s="49">
        <v>0</v>
      </c>
      <c r="Y204" s="49">
        <v>200</v>
      </c>
      <c r="Z204" s="49">
        <v>0</v>
      </c>
      <c r="AA204" s="49">
        <v>270</v>
      </c>
      <c r="AB204" s="49">
        <v>200</v>
      </c>
      <c r="AC204" s="49">
        <v>40</v>
      </c>
      <c r="AD204" s="49">
        <v>0</v>
      </c>
      <c r="AE204" s="49">
        <v>0</v>
      </c>
      <c r="AF204" s="48">
        <v>380</v>
      </c>
      <c r="AG204" s="48"/>
      <c r="AH204" s="49"/>
      <c r="AI204" s="49"/>
      <c r="AJ204" s="49"/>
      <c r="AK204" s="49"/>
      <c r="AL204" s="49">
        <v>0</v>
      </c>
      <c r="AM204" s="49"/>
      <c r="AN204" s="49">
        <v>0</v>
      </c>
      <c r="AO204" s="49"/>
      <c r="AP204" s="49"/>
      <c r="AQ204" s="49"/>
      <c r="AR204" s="49">
        <v>0</v>
      </c>
      <c r="AS204" s="49">
        <v>0</v>
      </c>
      <c r="AT204" s="49"/>
      <c r="AU204" s="49">
        <v>0</v>
      </c>
      <c r="AV204" s="49">
        <v>0</v>
      </c>
      <c r="AW204" s="49"/>
      <c r="AX204" s="49">
        <v>0</v>
      </c>
      <c r="AY204" s="49"/>
      <c r="AZ204" s="49">
        <v>0</v>
      </c>
      <c r="BA204" s="49">
        <v>0</v>
      </c>
      <c r="BB204" s="49">
        <v>0</v>
      </c>
      <c r="BC204" s="49">
        <v>0</v>
      </c>
      <c r="BD204" s="49">
        <v>0</v>
      </c>
      <c r="BE204" s="49">
        <v>0</v>
      </c>
      <c r="BF204" s="49"/>
      <c r="BG204" s="49">
        <v>9</v>
      </c>
      <c r="BH204" s="49">
        <v>30</v>
      </c>
      <c r="BI204" s="49">
        <v>0</v>
      </c>
      <c r="BJ204" s="49"/>
      <c r="BK204" s="49"/>
      <c r="BL204" s="49">
        <v>0</v>
      </c>
      <c r="BM204" s="49"/>
      <c r="BN204" s="49">
        <v>0</v>
      </c>
      <c r="BO204" s="49"/>
      <c r="BP204" s="50">
        <v>0</v>
      </c>
      <c r="BQ204" s="50">
        <v>0</v>
      </c>
      <c r="BR204" s="50"/>
      <c r="BS204" s="50">
        <v>0</v>
      </c>
      <c r="BT204" s="50">
        <v>10</v>
      </c>
      <c r="BU204" s="50">
        <v>14</v>
      </c>
      <c r="BV204" s="50">
        <v>0</v>
      </c>
      <c r="BW204" s="50">
        <v>0</v>
      </c>
      <c r="BX204" s="50"/>
      <c r="BY204" s="50"/>
      <c r="BZ204" s="50"/>
      <c r="CA204" s="50">
        <v>0</v>
      </c>
      <c r="CB204" s="50">
        <v>0</v>
      </c>
      <c r="CC204" s="50">
        <v>0</v>
      </c>
      <c r="CD204" s="50">
        <v>0</v>
      </c>
      <c r="CE204" s="50">
        <v>0</v>
      </c>
      <c r="CF204" s="50">
        <v>0</v>
      </c>
      <c r="CG204" s="50"/>
      <c r="CH204" s="50">
        <v>0</v>
      </c>
      <c r="CI204" s="50">
        <v>0</v>
      </c>
      <c r="CJ204" s="50">
        <v>0</v>
      </c>
      <c r="CK204" s="50">
        <v>9</v>
      </c>
      <c r="CL204" s="50">
        <v>0</v>
      </c>
      <c r="CM204" s="50">
        <v>0</v>
      </c>
      <c r="CN204" s="51">
        <v>0</v>
      </c>
      <c r="CO204" s="51">
        <v>0</v>
      </c>
      <c r="CP204" s="51">
        <v>0</v>
      </c>
      <c r="CQ204" s="51">
        <v>0</v>
      </c>
      <c r="CR204" s="51">
        <v>0</v>
      </c>
      <c r="CS204" s="51">
        <v>0</v>
      </c>
      <c r="CT204" s="51">
        <v>0</v>
      </c>
      <c r="CU204" s="51">
        <v>0</v>
      </c>
      <c r="CV204" s="51">
        <v>0</v>
      </c>
      <c r="CW204" s="51">
        <v>0</v>
      </c>
      <c r="CX204" s="51">
        <v>0</v>
      </c>
      <c r="CY204" s="51">
        <v>0</v>
      </c>
      <c r="CZ204" s="51">
        <v>0</v>
      </c>
      <c r="DA204" s="51">
        <v>0</v>
      </c>
      <c r="DB204" s="51">
        <v>0</v>
      </c>
      <c r="DC204" s="51">
        <v>0</v>
      </c>
      <c r="DD204" s="51">
        <v>0</v>
      </c>
      <c r="DE204" s="51">
        <v>0</v>
      </c>
      <c r="DF204" s="52">
        <v>0</v>
      </c>
      <c r="DG204" s="52">
        <v>0</v>
      </c>
      <c r="DH204" s="52">
        <v>0</v>
      </c>
      <c r="DI204" s="52">
        <v>0</v>
      </c>
      <c r="DJ204" s="52">
        <v>0</v>
      </c>
      <c r="DK204" s="52">
        <v>0</v>
      </c>
      <c r="DL204" s="52">
        <v>0</v>
      </c>
      <c r="DM204" s="52">
        <v>0</v>
      </c>
      <c r="DN204" s="52">
        <v>0</v>
      </c>
      <c r="DO204" s="52">
        <v>0</v>
      </c>
      <c r="DP204" s="52">
        <v>0</v>
      </c>
      <c r="DQ204" s="52">
        <v>0</v>
      </c>
      <c r="DR204" s="52">
        <v>0</v>
      </c>
      <c r="DS204" s="53">
        <v>0</v>
      </c>
      <c r="DT204" s="53">
        <v>0</v>
      </c>
      <c r="DU204" s="53">
        <v>0</v>
      </c>
      <c r="DV204" s="53">
        <v>0</v>
      </c>
      <c r="DW204" s="53">
        <v>0</v>
      </c>
      <c r="DX204" s="2"/>
      <c r="DY204" s="2"/>
      <c r="DZ204" s="46">
        <f t="shared" si="58"/>
        <v>1651</v>
      </c>
      <c r="EA204" s="46">
        <f t="shared" si="59"/>
        <v>710</v>
      </c>
      <c r="EB204" s="46">
        <f t="shared" si="60"/>
        <v>380</v>
      </c>
      <c r="EC204" s="46">
        <f t="shared" si="61"/>
        <v>0</v>
      </c>
      <c r="ED204" s="46">
        <f t="shared" si="62"/>
        <v>39</v>
      </c>
      <c r="EE204" s="46">
        <f t="shared" si="63"/>
        <v>24</v>
      </c>
      <c r="EF204" s="46">
        <f t="shared" si="64"/>
        <v>9</v>
      </c>
      <c r="EG204" s="46">
        <f t="shared" si="65"/>
        <v>0</v>
      </c>
      <c r="EH204" s="46">
        <f t="shared" si="32"/>
        <v>0</v>
      </c>
      <c r="EI204" s="46">
        <f t="shared" si="67"/>
        <v>0</v>
      </c>
    </row>
    <row r="205" spans="3:139" ht="12">
      <c r="C205" s="36" t="s">
        <v>380</v>
      </c>
      <c r="D205" s="36" t="s">
        <v>378</v>
      </c>
      <c r="E205" s="36" t="s">
        <v>378</v>
      </c>
      <c r="F205" s="38">
        <f t="shared" si="66"/>
        <v>3625</v>
      </c>
      <c r="G205" s="37" t="s">
        <v>379</v>
      </c>
      <c r="H205" s="47">
        <v>0</v>
      </c>
      <c r="I205" s="48">
        <v>0</v>
      </c>
      <c r="J205" s="49">
        <v>336</v>
      </c>
      <c r="K205" s="49">
        <v>360</v>
      </c>
      <c r="L205" s="49">
        <v>40</v>
      </c>
      <c r="M205" s="49">
        <v>367</v>
      </c>
      <c r="N205" s="49">
        <v>359</v>
      </c>
      <c r="O205" s="49">
        <v>4</v>
      </c>
      <c r="P205" s="49">
        <v>345</v>
      </c>
      <c r="Q205" s="49">
        <v>100</v>
      </c>
      <c r="R205" s="49">
        <v>414</v>
      </c>
      <c r="S205" s="49">
        <v>100</v>
      </c>
      <c r="T205" s="48">
        <v>0</v>
      </c>
      <c r="U205" s="48">
        <v>0</v>
      </c>
      <c r="V205" s="49">
        <v>287</v>
      </c>
      <c r="W205" s="49">
        <v>0</v>
      </c>
      <c r="X205" s="49">
        <v>0</v>
      </c>
      <c r="Y205" s="49">
        <v>100</v>
      </c>
      <c r="Z205" s="49">
        <v>100</v>
      </c>
      <c r="AA205" s="49">
        <v>180</v>
      </c>
      <c r="AB205" s="49">
        <v>200</v>
      </c>
      <c r="AC205" s="49">
        <v>18</v>
      </c>
      <c r="AD205" s="49">
        <v>0</v>
      </c>
      <c r="AE205" s="49">
        <v>100</v>
      </c>
      <c r="AF205" s="48">
        <v>140</v>
      </c>
      <c r="AG205" s="48"/>
      <c r="AH205" s="49"/>
      <c r="AI205" s="49"/>
      <c r="AJ205" s="49"/>
      <c r="AK205" s="49"/>
      <c r="AL205" s="49">
        <v>0</v>
      </c>
      <c r="AM205" s="49"/>
      <c r="AN205" s="49">
        <v>0</v>
      </c>
      <c r="AO205" s="49"/>
      <c r="AP205" s="49"/>
      <c r="AQ205" s="49"/>
      <c r="AR205" s="49">
        <v>0</v>
      </c>
      <c r="AS205" s="49">
        <v>0</v>
      </c>
      <c r="AT205" s="49"/>
      <c r="AU205" s="49">
        <v>0</v>
      </c>
      <c r="AV205" s="49">
        <v>0</v>
      </c>
      <c r="AW205" s="49"/>
      <c r="AX205" s="49">
        <v>0</v>
      </c>
      <c r="AY205" s="49"/>
      <c r="AZ205" s="49">
        <v>0</v>
      </c>
      <c r="BA205" s="49">
        <v>0</v>
      </c>
      <c r="BB205" s="49">
        <v>0</v>
      </c>
      <c r="BC205" s="49">
        <v>0</v>
      </c>
      <c r="BD205" s="49">
        <v>0</v>
      </c>
      <c r="BE205" s="49">
        <v>0</v>
      </c>
      <c r="BF205" s="49"/>
      <c r="BG205" s="49"/>
      <c r="BH205" s="49"/>
      <c r="BI205" s="49">
        <v>0</v>
      </c>
      <c r="BJ205" s="49">
        <v>29</v>
      </c>
      <c r="BK205" s="49"/>
      <c r="BL205" s="49">
        <v>10</v>
      </c>
      <c r="BM205" s="49"/>
      <c r="BN205" s="49">
        <v>0</v>
      </c>
      <c r="BO205" s="49"/>
      <c r="BP205" s="50">
        <v>0</v>
      </c>
      <c r="BQ205" s="50">
        <v>9</v>
      </c>
      <c r="BR205" s="50">
        <v>7</v>
      </c>
      <c r="BS205" s="50">
        <v>0</v>
      </c>
      <c r="BT205" s="50">
        <v>0</v>
      </c>
      <c r="BU205" s="50">
        <v>0</v>
      </c>
      <c r="BV205" s="50"/>
      <c r="BW205" s="50">
        <v>0</v>
      </c>
      <c r="BX205" s="50"/>
      <c r="BY205" s="50"/>
      <c r="BZ205" s="50"/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/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1">
        <v>5</v>
      </c>
      <c r="CO205" s="51">
        <v>0</v>
      </c>
      <c r="CP205" s="51">
        <v>0</v>
      </c>
      <c r="CQ205" s="51">
        <v>15</v>
      </c>
      <c r="CR205" s="51">
        <v>0</v>
      </c>
      <c r="CS205" s="51">
        <v>0</v>
      </c>
      <c r="CT205" s="51">
        <v>0</v>
      </c>
      <c r="CU205" s="51">
        <v>0</v>
      </c>
      <c r="CV205" s="51">
        <v>0</v>
      </c>
      <c r="CW205" s="51">
        <v>0</v>
      </c>
      <c r="CX205" s="51">
        <v>0</v>
      </c>
      <c r="CY205" s="51">
        <v>0</v>
      </c>
      <c r="CZ205" s="51">
        <v>0</v>
      </c>
      <c r="DA205" s="51">
        <v>0</v>
      </c>
      <c r="DB205" s="51">
        <v>0</v>
      </c>
      <c r="DC205" s="51">
        <v>0</v>
      </c>
      <c r="DD205" s="51">
        <v>0</v>
      </c>
      <c r="DE205" s="51">
        <v>0</v>
      </c>
      <c r="DF205" s="52">
        <v>0</v>
      </c>
      <c r="DG205" s="52">
        <v>0</v>
      </c>
      <c r="DH205" s="52">
        <v>0</v>
      </c>
      <c r="DI205" s="52">
        <v>0</v>
      </c>
      <c r="DJ205" s="52">
        <v>0</v>
      </c>
      <c r="DK205" s="52">
        <v>0</v>
      </c>
      <c r="DL205" s="52">
        <v>0</v>
      </c>
      <c r="DM205" s="52">
        <v>0</v>
      </c>
      <c r="DN205" s="52">
        <v>0</v>
      </c>
      <c r="DO205" s="52">
        <v>0</v>
      </c>
      <c r="DP205" s="52">
        <v>0</v>
      </c>
      <c r="DQ205" s="52">
        <v>0</v>
      </c>
      <c r="DR205" s="52">
        <v>0</v>
      </c>
      <c r="DS205" s="53">
        <v>0</v>
      </c>
      <c r="DT205" s="53">
        <v>0</v>
      </c>
      <c r="DU205" s="53">
        <v>0</v>
      </c>
      <c r="DV205" s="53">
        <v>0</v>
      </c>
      <c r="DW205" s="53">
        <v>0</v>
      </c>
      <c r="DX205" s="2"/>
      <c r="DY205" s="2"/>
      <c r="DZ205" s="46">
        <f t="shared" si="58"/>
        <v>2425</v>
      </c>
      <c r="EA205" s="46">
        <f t="shared" si="59"/>
        <v>985</v>
      </c>
      <c r="EB205" s="46">
        <f t="shared" si="60"/>
        <v>140</v>
      </c>
      <c r="EC205" s="46">
        <f t="shared" si="61"/>
        <v>0</v>
      </c>
      <c r="ED205" s="46">
        <f t="shared" si="62"/>
        <v>39</v>
      </c>
      <c r="EE205" s="46">
        <f t="shared" si="63"/>
        <v>16</v>
      </c>
      <c r="EF205" s="46">
        <f t="shared" si="64"/>
        <v>0</v>
      </c>
      <c r="EG205" s="46">
        <f t="shared" si="65"/>
        <v>20</v>
      </c>
      <c r="EH205" s="46">
        <f t="shared" ref="EH205:EH268" si="68">SUM(CZ205:DJ205)</f>
        <v>0</v>
      </c>
      <c r="EI205" s="46">
        <f t="shared" si="67"/>
        <v>0</v>
      </c>
    </row>
    <row r="206" spans="3:139" ht="12">
      <c r="C206" s="36" t="s">
        <v>381</v>
      </c>
      <c r="D206" s="36" t="s">
        <v>378</v>
      </c>
      <c r="E206" s="36" t="s">
        <v>378</v>
      </c>
      <c r="F206" s="38">
        <f t="shared" si="66"/>
        <v>1354</v>
      </c>
      <c r="G206" s="37" t="s">
        <v>379</v>
      </c>
      <c r="H206" s="47">
        <v>0</v>
      </c>
      <c r="I206" s="48">
        <v>0</v>
      </c>
      <c r="J206" s="49">
        <v>259</v>
      </c>
      <c r="K206" s="49">
        <v>180</v>
      </c>
      <c r="L206" s="49">
        <v>277</v>
      </c>
      <c r="M206" s="49">
        <v>0</v>
      </c>
      <c r="N206" s="49">
        <v>100</v>
      </c>
      <c r="O206" s="49">
        <v>0</v>
      </c>
      <c r="P206" s="49">
        <v>0</v>
      </c>
      <c r="Q206" s="49">
        <v>207</v>
      </c>
      <c r="R206" s="49">
        <v>13</v>
      </c>
      <c r="S206" s="49">
        <v>0</v>
      </c>
      <c r="T206" s="48">
        <v>59</v>
      </c>
      <c r="U206" s="48">
        <v>59</v>
      </c>
      <c r="V206" s="49">
        <v>0</v>
      </c>
      <c r="W206" s="49">
        <v>0</v>
      </c>
      <c r="X206" s="49">
        <v>100</v>
      </c>
      <c r="Y206" s="49">
        <v>0</v>
      </c>
      <c r="Z206" s="49">
        <v>0</v>
      </c>
      <c r="AA206" s="49">
        <v>0</v>
      </c>
      <c r="AB206" s="49">
        <v>0</v>
      </c>
      <c r="AC206" s="49">
        <v>100</v>
      </c>
      <c r="AD206" s="49">
        <v>0</v>
      </c>
      <c r="AE206" s="49">
        <v>0</v>
      </c>
      <c r="AF206" s="48"/>
      <c r="AG206" s="48"/>
      <c r="AH206" s="49"/>
      <c r="AI206" s="49"/>
      <c r="AJ206" s="49"/>
      <c r="AK206" s="49"/>
      <c r="AL206" s="49">
        <v>0</v>
      </c>
      <c r="AM206" s="49"/>
      <c r="AN206" s="49">
        <v>0</v>
      </c>
      <c r="AO206" s="49"/>
      <c r="AP206" s="49"/>
      <c r="AQ206" s="49"/>
      <c r="AR206" s="49">
        <v>0</v>
      </c>
      <c r="AS206" s="49">
        <v>0</v>
      </c>
      <c r="AT206" s="49"/>
      <c r="AU206" s="49">
        <v>0</v>
      </c>
      <c r="AV206" s="49">
        <v>0</v>
      </c>
      <c r="AW206" s="49"/>
      <c r="AX206" s="49">
        <v>0</v>
      </c>
      <c r="AY206" s="49"/>
      <c r="AZ206" s="49">
        <v>0</v>
      </c>
      <c r="BA206" s="49">
        <v>0</v>
      </c>
      <c r="BB206" s="49">
        <v>0</v>
      </c>
      <c r="BC206" s="49">
        <v>0</v>
      </c>
      <c r="BD206" s="49">
        <v>0</v>
      </c>
      <c r="BE206" s="49">
        <v>0</v>
      </c>
      <c r="BF206" s="49"/>
      <c r="BG206" s="49"/>
      <c r="BH206" s="49"/>
      <c r="BI206" s="49">
        <v>0</v>
      </c>
      <c r="BJ206" s="49"/>
      <c r="BK206" s="49"/>
      <c r="BL206" s="49">
        <v>0</v>
      </c>
      <c r="BM206" s="49"/>
      <c r="BN206" s="49">
        <v>0</v>
      </c>
      <c r="BO206" s="49"/>
      <c r="BP206" s="50">
        <v>0</v>
      </c>
      <c r="BQ206" s="50">
        <v>0</v>
      </c>
      <c r="BR206" s="50"/>
      <c r="BS206" s="50">
        <v>0</v>
      </c>
      <c r="BT206" s="50">
        <v>0</v>
      </c>
      <c r="BU206" s="50">
        <v>0</v>
      </c>
      <c r="BV206" s="50"/>
      <c r="BW206" s="50">
        <v>0</v>
      </c>
      <c r="BX206" s="50"/>
      <c r="BY206" s="50"/>
      <c r="BZ206" s="50"/>
      <c r="CA206" s="50">
        <v>0</v>
      </c>
      <c r="CB206" s="50">
        <v>0</v>
      </c>
      <c r="CC206" s="50">
        <v>0</v>
      </c>
      <c r="CD206" s="50">
        <v>0</v>
      </c>
      <c r="CE206" s="50">
        <v>0</v>
      </c>
      <c r="CF206" s="50">
        <v>0</v>
      </c>
      <c r="CG206" s="50"/>
      <c r="CH206" s="50">
        <v>0</v>
      </c>
      <c r="CI206" s="50">
        <v>0</v>
      </c>
      <c r="CJ206" s="50">
        <v>0</v>
      </c>
      <c r="CK206" s="50">
        <v>0</v>
      </c>
      <c r="CL206" s="50">
        <v>0</v>
      </c>
      <c r="CM206" s="50">
        <v>0</v>
      </c>
      <c r="CN206" s="51">
        <v>0</v>
      </c>
      <c r="CO206" s="51">
        <v>0</v>
      </c>
      <c r="CP206" s="51">
        <v>0</v>
      </c>
      <c r="CQ206" s="51">
        <v>0</v>
      </c>
      <c r="CR206" s="51">
        <v>0</v>
      </c>
      <c r="CS206" s="51">
        <v>0</v>
      </c>
      <c r="CT206" s="51">
        <v>0</v>
      </c>
      <c r="CU206" s="51">
        <v>0</v>
      </c>
      <c r="CV206" s="51">
        <v>0</v>
      </c>
      <c r="CW206" s="51">
        <v>0</v>
      </c>
      <c r="CX206" s="51">
        <v>0</v>
      </c>
      <c r="CY206" s="51">
        <v>0</v>
      </c>
      <c r="CZ206" s="51">
        <v>0</v>
      </c>
      <c r="DA206" s="51">
        <v>0</v>
      </c>
      <c r="DB206" s="51">
        <v>0</v>
      </c>
      <c r="DC206" s="51">
        <v>0</v>
      </c>
      <c r="DD206" s="51">
        <v>0</v>
      </c>
      <c r="DE206" s="51">
        <v>0</v>
      </c>
      <c r="DF206" s="52">
        <v>0</v>
      </c>
      <c r="DG206" s="52">
        <v>0</v>
      </c>
      <c r="DH206" s="52">
        <v>0</v>
      </c>
      <c r="DI206" s="52">
        <v>0</v>
      </c>
      <c r="DJ206" s="52">
        <v>0</v>
      </c>
      <c r="DK206" s="52">
        <v>0</v>
      </c>
      <c r="DL206" s="52">
        <v>0</v>
      </c>
      <c r="DM206" s="52">
        <v>0</v>
      </c>
      <c r="DN206" s="52">
        <v>0</v>
      </c>
      <c r="DO206" s="52">
        <v>0</v>
      </c>
      <c r="DP206" s="52">
        <v>0</v>
      </c>
      <c r="DQ206" s="52">
        <v>0</v>
      </c>
      <c r="DR206" s="52">
        <v>0</v>
      </c>
      <c r="DS206" s="53">
        <v>0</v>
      </c>
      <c r="DT206" s="53">
        <v>0</v>
      </c>
      <c r="DU206" s="53">
        <v>0</v>
      </c>
      <c r="DV206" s="53">
        <v>0</v>
      </c>
      <c r="DW206" s="53">
        <v>0</v>
      </c>
      <c r="DX206" s="2"/>
      <c r="DY206" s="2"/>
      <c r="DZ206" s="46">
        <f t="shared" si="58"/>
        <v>1036</v>
      </c>
      <c r="EA206" s="46">
        <f t="shared" si="59"/>
        <v>318</v>
      </c>
      <c r="EB206" s="46">
        <f t="shared" si="60"/>
        <v>0</v>
      </c>
      <c r="EC206" s="46">
        <f t="shared" si="61"/>
        <v>0</v>
      </c>
      <c r="ED206" s="46">
        <f t="shared" si="62"/>
        <v>0</v>
      </c>
      <c r="EE206" s="46">
        <f t="shared" si="63"/>
        <v>0</v>
      </c>
      <c r="EF206" s="46">
        <f t="shared" si="64"/>
        <v>0</v>
      </c>
      <c r="EG206" s="46">
        <f t="shared" si="65"/>
        <v>0</v>
      </c>
      <c r="EH206" s="46">
        <f t="shared" si="68"/>
        <v>0</v>
      </c>
      <c r="EI206" s="46">
        <f t="shared" si="67"/>
        <v>0</v>
      </c>
    </row>
    <row r="207" spans="3:139" ht="12">
      <c r="C207" s="36" t="s">
        <v>382</v>
      </c>
      <c r="D207" s="36" t="s">
        <v>378</v>
      </c>
      <c r="E207" s="36" t="s">
        <v>378</v>
      </c>
      <c r="F207" s="38">
        <f t="shared" si="66"/>
        <v>40</v>
      </c>
      <c r="G207" s="37" t="s">
        <v>379</v>
      </c>
      <c r="H207" s="47">
        <v>0</v>
      </c>
      <c r="I207" s="48">
        <v>0</v>
      </c>
      <c r="J207" s="49">
        <v>0</v>
      </c>
      <c r="K207" s="49">
        <v>0</v>
      </c>
      <c r="L207" s="49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8">
        <v>0</v>
      </c>
      <c r="U207" s="48">
        <v>0</v>
      </c>
      <c r="V207" s="49">
        <v>0</v>
      </c>
      <c r="W207" s="49">
        <v>0</v>
      </c>
      <c r="X207" s="49">
        <v>0</v>
      </c>
      <c r="Y207" s="49">
        <v>0</v>
      </c>
      <c r="Z207" s="49">
        <v>0</v>
      </c>
      <c r="AA207" s="49">
        <v>0</v>
      </c>
      <c r="AB207" s="49">
        <v>0</v>
      </c>
      <c r="AC207" s="49">
        <v>0</v>
      </c>
      <c r="AD207" s="49">
        <v>0</v>
      </c>
      <c r="AE207" s="49">
        <v>0</v>
      </c>
      <c r="AF207" s="48"/>
      <c r="AG207" s="48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>
        <v>20</v>
      </c>
      <c r="BB207" s="49">
        <v>20</v>
      </c>
      <c r="BC207" s="49">
        <v>0</v>
      </c>
      <c r="BD207" s="49"/>
      <c r="BE207" s="49"/>
      <c r="BF207" s="49"/>
      <c r="BG207" s="49"/>
      <c r="BH207" s="49"/>
      <c r="BI207" s="49">
        <v>0</v>
      </c>
      <c r="BJ207" s="49"/>
      <c r="BK207" s="49"/>
      <c r="BL207" s="49"/>
      <c r="BM207" s="49"/>
      <c r="BN207" s="49">
        <v>0</v>
      </c>
      <c r="BO207" s="49"/>
      <c r="BP207" s="50"/>
      <c r="BQ207" s="50"/>
      <c r="BR207" s="50"/>
      <c r="BS207" s="50"/>
      <c r="BT207" s="50">
        <v>0</v>
      </c>
      <c r="BU207" s="50">
        <v>0</v>
      </c>
      <c r="BV207" s="50"/>
      <c r="BW207" s="50">
        <v>0</v>
      </c>
      <c r="BX207" s="50"/>
      <c r="BY207" s="50"/>
      <c r="BZ207" s="50"/>
      <c r="CA207" s="50">
        <v>0</v>
      </c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1"/>
      <c r="CO207" s="51"/>
      <c r="CP207" s="51"/>
      <c r="CQ207" s="51">
        <v>0</v>
      </c>
      <c r="CR207" s="51"/>
      <c r="CS207" s="51"/>
      <c r="CT207" s="51">
        <v>0</v>
      </c>
      <c r="CU207" s="51"/>
      <c r="CV207" s="51">
        <v>0</v>
      </c>
      <c r="CW207" s="51"/>
      <c r="CX207" s="51"/>
      <c r="CY207" s="51"/>
      <c r="CZ207" s="51"/>
      <c r="DA207" s="51"/>
      <c r="DB207" s="51">
        <v>0</v>
      </c>
      <c r="DC207" s="51"/>
      <c r="DD207" s="51"/>
      <c r="DE207" s="51"/>
      <c r="DF207" s="52"/>
      <c r="DG207" s="52"/>
      <c r="DH207" s="52"/>
      <c r="DI207" s="52"/>
      <c r="DJ207" s="52"/>
      <c r="DK207" s="52"/>
      <c r="DL207" s="52"/>
      <c r="DM207" s="52"/>
      <c r="DN207" s="52"/>
      <c r="DO207" s="52"/>
      <c r="DP207" s="52"/>
      <c r="DQ207" s="52"/>
      <c r="DR207" s="52"/>
      <c r="DS207" s="53">
        <v>0</v>
      </c>
      <c r="DT207" s="53">
        <v>0</v>
      </c>
      <c r="DU207" s="53">
        <v>0</v>
      </c>
      <c r="DV207" s="53">
        <v>0</v>
      </c>
      <c r="DW207" s="53">
        <v>0</v>
      </c>
      <c r="DX207" s="2"/>
      <c r="DY207" s="2"/>
      <c r="DZ207" s="46">
        <f t="shared" si="58"/>
        <v>0</v>
      </c>
      <c r="EA207" s="46">
        <f t="shared" si="59"/>
        <v>0</v>
      </c>
      <c r="EB207" s="46">
        <f t="shared" si="60"/>
        <v>0</v>
      </c>
      <c r="EC207" s="46">
        <f t="shared" si="61"/>
        <v>40</v>
      </c>
      <c r="ED207" s="46">
        <f t="shared" si="62"/>
        <v>0</v>
      </c>
      <c r="EE207" s="46">
        <f t="shared" si="63"/>
        <v>0</v>
      </c>
      <c r="EF207" s="46">
        <f t="shared" si="64"/>
        <v>0</v>
      </c>
      <c r="EG207" s="46">
        <f t="shared" si="65"/>
        <v>0</v>
      </c>
      <c r="EH207" s="46">
        <f t="shared" si="68"/>
        <v>0</v>
      </c>
      <c r="EI207" s="46">
        <f t="shared" si="67"/>
        <v>0</v>
      </c>
    </row>
    <row r="208" spans="3:139" ht="12">
      <c r="C208" s="36" t="s">
        <v>383</v>
      </c>
      <c r="D208" s="36" t="s">
        <v>378</v>
      </c>
      <c r="E208" s="36" t="s">
        <v>378</v>
      </c>
      <c r="F208" s="38">
        <f t="shared" si="66"/>
        <v>5</v>
      </c>
      <c r="G208" s="37" t="s">
        <v>379</v>
      </c>
      <c r="H208" s="47"/>
      <c r="I208" s="48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8"/>
      <c r="U208" s="48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8"/>
      <c r="AG208" s="48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50"/>
      <c r="BQ208" s="50"/>
      <c r="BR208" s="50">
        <v>0</v>
      </c>
      <c r="BS208" s="50"/>
      <c r="BT208" s="50">
        <v>0</v>
      </c>
      <c r="BU208" s="50">
        <v>0</v>
      </c>
      <c r="BV208" s="50"/>
      <c r="BW208" s="50">
        <v>0</v>
      </c>
      <c r="BX208" s="50"/>
      <c r="BY208" s="50"/>
      <c r="BZ208" s="50"/>
      <c r="CA208" s="50">
        <v>0</v>
      </c>
      <c r="CB208" s="50"/>
      <c r="CC208" s="50"/>
      <c r="CD208" s="50"/>
      <c r="CE208" s="50"/>
      <c r="CF208" s="50"/>
      <c r="CG208" s="50"/>
      <c r="CH208" s="50">
        <v>5</v>
      </c>
      <c r="CI208" s="50">
        <v>0</v>
      </c>
      <c r="CJ208" s="50">
        <v>0</v>
      </c>
      <c r="CK208" s="50">
        <v>0</v>
      </c>
      <c r="CL208" s="50">
        <v>0</v>
      </c>
      <c r="CM208" s="50">
        <v>0</v>
      </c>
      <c r="CN208" s="51">
        <v>0</v>
      </c>
      <c r="CO208" s="51">
        <v>0</v>
      </c>
      <c r="CP208" s="51">
        <v>0</v>
      </c>
      <c r="CQ208" s="51">
        <v>0</v>
      </c>
      <c r="CR208" s="51">
        <v>0</v>
      </c>
      <c r="CS208" s="51">
        <v>0</v>
      </c>
      <c r="CT208" s="51">
        <v>0</v>
      </c>
      <c r="CU208" s="51">
        <v>0</v>
      </c>
      <c r="CV208" s="51">
        <v>0</v>
      </c>
      <c r="CW208" s="51">
        <v>0</v>
      </c>
      <c r="CX208" s="51">
        <v>0</v>
      </c>
      <c r="CY208" s="51">
        <v>0</v>
      </c>
      <c r="CZ208" s="51">
        <v>0</v>
      </c>
      <c r="DA208" s="51">
        <v>0</v>
      </c>
      <c r="DB208" s="51">
        <v>0</v>
      </c>
      <c r="DC208" s="51">
        <v>0</v>
      </c>
      <c r="DD208" s="51">
        <v>0</v>
      </c>
      <c r="DE208" s="51">
        <v>0</v>
      </c>
      <c r="DF208" s="52">
        <v>0</v>
      </c>
      <c r="DG208" s="52">
        <v>0</v>
      </c>
      <c r="DH208" s="52">
        <v>0</v>
      </c>
      <c r="DI208" s="52">
        <v>0</v>
      </c>
      <c r="DJ208" s="52">
        <v>0</v>
      </c>
      <c r="DK208" s="52">
        <v>0</v>
      </c>
      <c r="DL208" s="52">
        <v>0</v>
      </c>
      <c r="DM208" s="52">
        <v>0</v>
      </c>
      <c r="DN208" s="52">
        <v>0</v>
      </c>
      <c r="DO208" s="52">
        <v>0</v>
      </c>
      <c r="DP208" s="52">
        <v>0</v>
      </c>
      <c r="DQ208" s="52">
        <v>0</v>
      </c>
      <c r="DR208" s="52">
        <v>0</v>
      </c>
      <c r="DS208" s="53">
        <v>0</v>
      </c>
      <c r="DT208" s="53">
        <v>0</v>
      </c>
      <c r="DU208" s="53">
        <v>0</v>
      </c>
      <c r="DV208" s="53">
        <v>0</v>
      </c>
      <c r="DW208" s="53">
        <v>0</v>
      </c>
      <c r="DX208" s="2"/>
      <c r="DY208" s="2"/>
      <c r="DZ208" s="46">
        <f t="shared" si="58"/>
        <v>0</v>
      </c>
      <c r="EA208" s="46">
        <f t="shared" si="59"/>
        <v>0</v>
      </c>
      <c r="EB208" s="46">
        <f t="shared" si="60"/>
        <v>0</v>
      </c>
      <c r="EC208" s="46">
        <f t="shared" si="61"/>
        <v>0</v>
      </c>
      <c r="ED208" s="46">
        <f t="shared" si="62"/>
        <v>0</v>
      </c>
      <c r="EE208" s="46">
        <f t="shared" si="63"/>
        <v>0</v>
      </c>
      <c r="EF208" s="46">
        <f t="shared" si="64"/>
        <v>5</v>
      </c>
      <c r="EG208" s="46">
        <f t="shared" si="65"/>
        <v>0</v>
      </c>
      <c r="EH208" s="46">
        <f t="shared" si="68"/>
        <v>0</v>
      </c>
      <c r="EI208" s="46">
        <f t="shared" si="67"/>
        <v>0</v>
      </c>
    </row>
    <row r="209" spans="3:139" ht="12">
      <c r="C209" s="36" t="s">
        <v>384</v>
      </c>
      <c r="D209" s="36" t="s">
        <v>378</v>
      </c>
      <c r="E209" s="36" t="s">
        <v>378</v>
      </c>
      <c r="F209" s="38">
        <f t="shared" si="66"/>
        <v>67771</v>
      </c>
      <c r="G209" s="37" t="s">
        <v>379</v>
      </c>
      <c r="H209" s="47">
        <v>0</v>
      </c>
      <c r="I209" s="48">
        <v>0</v>
      </c>
      <c r="J209" s="49">
        <v>4195</v>
      </c>
      <c r="K209" s="49">
        <v>4120</v>
      </c>
      <c r="L209" s="49">
        <v>3534</v>
      </c>
      <c r="M209" s="49">
        <v>3370</v>
      </c>
      <c r="N209" s="49">
        <v>4090</v>
      </c>
      <c r="O209" s="49">
        <v>2314</v>
      </c>
      <c r="P209" s="49">
        <v>1342</v>
      </c>
      <c r="Q209" s="49">
        <v>1667</v>
      </c>
      <c r="R209" s="49">
        <v>6145</v>
      </c>
      <c r="S209" s="49">
        <v>2577</v>
      </c>
      <c r="T209" s="48">
        <v>1698</v>
      </c>
      <c r="U209" s="48">
        <v>1698</v>
      </c>
      <c r="V209" s="49">
        <v>2965</v>
      </c>
      <c r="W209" s="49">
        <v>1019</v>
      </c>
      <c r="X209" s="49">
        <v>1380</v>
      </c>
      <c r="Y209" s="49">
        <v>3400</v>
      </c>
      <c r="Z209" s="49">
        <v>2680</v>
      </c>
      <c r="AA209" s="49">
        <v>6280</v>
      </c>
      <c r="AB209" s="49">
        <v>2840</v>
      </c>
      <c r="AC209" s="49">
        <v>3380</v>
      </c>
      <c r="AD209" s="49">
        <v>2300</v>
      </c>
      <c r="AE209" s="49">
        <v>900</v>
      </c>
      <c r="AF209" s="48"/>
      <c r="AG209" s="48"/>
      <c r="AH209" s="49"/>
      <c r="AI209" s="49">
        <v>740</v>
      </c>
      <c r="AJ209" s="49"/>
      <c r="AK209" s="49"/>
      <c r="AL209" s="49">
        <v>0</v>
      </c>
      <c r="AM209" s="49"/>
      <c r="AN209" s="49">
        <v>0</v>
      </c>
      <c r="AO209" s="49"/>
      <c r="AP209" s="49"/>
      <c r="AQ209" s="49">
        <v>60</v>
      </c>
      <c r="AR209" s="49">
        <v>0</v>
      </c>
      <c r="AS209" s="49">
        <v>150</v>
      </c>
      <c r="AT209" s="49"/>
      <c r="AU209" s="49">
        <v>0</v>
      </c>
      <c r="AV209" s="49">
        <v>320</v>
      </c>
      <c r="AW209" s="49"/>
      <c r="AX209" s="49">
        <v>0</v>
      </c>
      <c r="AY209" s="49"/>
      <c r="AZ209" s="49">
        <v>480</v>
      </c>
      <c r="BA209" s="49">
        <v>0</v>
      </c>
      <c r="BB209" s="49">
        <v>100</v>
      </c>
      <c r="BC209" s="49">
        <v>0</v>
      </c>
      <c r="BD209" s="49">
        <v>0</v>
      </c>
      <c r="BE209" s="49">
        <v>0</v>
      </c>
      <c r="BF209" s="49"/>
      <c r="BG209" s="49"/>
      <c r="BH209" s="49"/>
      <c r="BI209" s="49">
        <v>180</v>
      </c>
      <c r="BJ209" s="49"/>
      <c r="BK209" s="49"/>
      <c r="BL209" s="49">
        <v>0</v>
      </c>
      <c r="BM209" s="49">
        <v>20</v>
      </c>
      <c r="BN209" s="49">
        <v>168</v>
      </c>
      <c r="BO209" s="49"/>
      <c r="BP209" s="50">
        <v>0</v>
      </c>
      <c r="BQ209" s="50">
        <v>151</v>
      </c>
      <c r="BR209" s="50">
        <v>48</v>
      </c>
      <c r="BS209" s="50">
        <v>53</v>
      </c>
      <c r="BT209" s="50">
        <v>104</v>
      </c>
      <c r="BU209" s="50">
        <v>0</v>
      </c>
      <c r="BV209" s="50"/>
      <c r="BW209" s="50">
        <v>137</v>
      </c>
      <c r="BX209" s="50"/>
      <c r="BY209" s="50">
        <v>109</v>
      </c>
      <c r="BZ209" s="50">
        <v>48</v>
      </c>
      <c r="CA209" s="50">
        <v>11</v>
      </c>
      <c r="CB209" s="50">
        <v>122</v>
      </c>
      <c r="CC209" s="50">
        <v>0</v>
      </c>
      <c r="CD209" s="50">
        <v>36</v>
      </c>
      <c r="CE209" s="50">
        <v>100</v>
      </c>
      <c r="CF209" s="50">
        <v>0</v>
      </c>
      <c r="CG209" s="50">
        <v>121</v>
      </c>
      <c r="CH209" s="50">
        <v>58</v>
      </c>
      <c r="CI209" s="50">
        <v>166</v>
      </c>
      <c r="CJ209" s="50">
        <v>0</v>
      </c>
      <c r="CK209" s="50">
        <v>75</v>
      </c>
      <c r="CL209" s="50">
        <v>53</v>
      </c>
      <c r="CM209" s="50">
        <v>0</v>
      </c>
      <c r="CN209" s="51">
        <v>97</v>
      </c>
      <c r="CO209" s="51">
        <v>0</v>
      </c>
      <c r="CP209" s="51">
        <v>0</v>
      </c>
      <c r="CQ209" s="51">
        <v>0</v>
      </c>
      <c r="CR209" s="51">
        <v>170</v>
      </c>
      <c r="CS209" s="51">
        <v>0</v>
      </c>
      <c r="CT209" s="51">
        <v>0</v>
      </c>
      <c r="CU209" s="51">
        <v>0</v>
      </c>
      <c r="CV209" s="51">
        <v>0</v>
      </c>
      <c r="CW209" s="51">
        <v>0</v>
      </c>
      <c r="CX209" s="51">
        <v>0</v>
      </c>
      <c r="CY209" s="51">
        <v>0</v>
      </c>
      <c r="CZ209" s="51">
        <v>0</v>
      </c>
      <c r="DA209" s="51">
        <v>0</v>
      </c>
      <c r="DB209" s="51">
        <v>0</v>
      </c>
      <c r="DC209" s="51">
        <v>0</v>
      </c>
      <c r="DD209" s="51">
        <v>0</v>
      </c>
      <c r="DE209" s="51">
        <v>0</v>
      </c>
      <c r="DF209" s="52">
        <v>0</v>
      </c>
      <c r="DG209" s="52">
        <v>0</v>
      </c>
      <c r="DH209" s="52">
        <v>0</v>
      </c>
      <c r="DI209" s="52">
        <v>0</v>
      </c>
      <c r="DJ209" s="52">
        <v>0</v>
      </c>
      <c r="DK209" s="52">
        <v>0</v>
      </c>
      <c r="DL209" s="52">
        <v>0</v>
      </c>
      <c r="DM209" s="52">
        <v>0</v>
      </c>
      <c r="DN209" s="52">
        <v>0</v>
      </c>
      <c r="DO209" s="52">
        <v>0</v>
      </c>
      <c r="DP209" s="52">
        <v>0</v>
      </c>
      <c r="DQ209" s="52">
        <v>0</v>
      </c>
      <c r="DR209" s="52">
        <v>0</v>
      </c>
      <c r="DS209" s="53">
        <v>0</v>
      </c>
      <c r="DT209" s="53">
        <v>0</v>
      </c>
      <c r="DU209" s="53">
        <v>0</v>
      </c>
      <c r="DV209" s="53">
        <v>0</v>
      </c>
      <c r="DW209" s="53">
        <v>0</v>
      </c>
      <c r="DX209" s="2"/>
      <c r="DY209" s="2"/>
      <c r="DZ209" s="46">
        <f t="shared" si="58"/>
        <v>33354</v>
      </c>
      <c r="EA209" s="46">
        <f t="shared" si="59"/>
        <v>30540</v>
      </c>
      <c r="EB209" s="46">
        <f t="shared" si="60"/>
        <v>800</v>
      </c>
      <c r="EC209" s="46">
        <f t="shared" si="61"/>
        <v>1050</v>
      </c>
      <c r="ED209" s="46">
        <f t="shared" si="62"/>
        <v>368</v>
      </c>
      <c r="EE209" s="46">
        <f t="shared" si="63"/>
        <v>661</v>
      </c>
      <c r="EF209" s="46">
        <f t="shared" si="64"/>
        <v>731</v>
      </c>
      <c r="EG209" s="46">
        <f t="shared" si="65"/>
        <v>267</v>
      </c>
      <c r="EH209" s="46">
        <f t="shared" si="68"/>
        <v>0</v>
      </c>
      <c r="EI209" s="46">
        <f t="shared" si="67"/>
        <v>0</v>
      </c>
    </row>
    <row r="210" spans="3:139" ht="12">
      <c r="C210" s="36" t="s">
        <v>385</v>
      </c>
      <c r="D210" s="36" t="s">
        <v>378</v>
      </c>
      <c r="E210" s="36" t="s">
        <v>378</v>
      </c>
      <c r="F210" s="38">
        <f t="shared" si="66"/>
        <v>93418</v>
      </c>
      <c r="G210" s="37" t="s">
        <v>379</v>
      </c>
      <c r="H210" s="47">
        <v>0</v>
      </c>
      <c r="I210" s="48">
        <v>0</v>
      </c>
      <c r="J210" s="49">
        <v>3093</v>
      </c>
      <c r="K210" s="49">
        <v>3280</v>
      </c>
      <c r="L210" s="49">
        <v>5599</v>
      </c>
      <c r="M210" s="49">
        <v>2321</v>
      </c>
      <c r="N210" s="49">
        <v>5369</v>
      </c>
      <c r="O210" s="49">
        <v>2726</v>
      </c>
      <c r="P210" s="49">
        <v>5372</v>
      </c>
      <c r="Q210" s="49">
        <v>6914</v>
      </c>
      <c r="R210" s="49">
        <v>3295</v>
      </c>
      <c r="S210" s="49">
        <v>2716</v>
      </c>
      <c r="T210" s="48">
        <v>1658</v>
      </c>
      <c r="U210" s="48">
        <v>1658</v>
      </c>
      <c r="V210" s="49">
        <v>3644</v>
      </c>
      <c r="W210" s="49">
        <v>4890</v>
      </c>
      <c r="X210" s="49">
        <v>5020</v>
      </c>
      <c r="Y210" s="49">
        <v>3700</v>
      </c>
      <c r="Z210" s="49">
        <v>4200</v>
      </c>
      <c r="AA210" s="49">
        <v>6340</v>
      </c>
      <c r="AB210" s="49">
        <v>4580</v>
      </c>
      <c r="AC210" s="49">
        <v>5480</v>
      </c>
      <c r="AD210" s="49">
        <v>4200</v>
      </c>
      <c r="AE210" s="49">
        <v>2300</v>
      </c>
      <c r="AF210" s="48"/>
      <c r="AG210" s="48"/>
      <c r="AH210" s="49"/>
      <c r="AI210" s="49"/>
      <c r="AJ210" s="49">
        <v>150</v>
      </c>
      <c r="AK210" s="49"/>
      <c r="AL210" s="49">
        <v>350</v>
      </c>
      <c r="AM210" s="49"/>
      <c r="AN210" s="49">
        <v>0</v>
      </c>
      <c r="AO210" s="49"/>
      <c r="AP210" s="49"/>
      <c r="AQ210" s="49"/>
      <c r="AR210" s="49">
        <v>100</v>
      </c>
      <c r="AS210" s="49">
        <v>100</v>
      </c>
      <c r="AT210" s="49"/>
      <c r="AU210" s="49">
        <v>0</v>
      </c>
      <c r="AV210" s="49">
        <v>200</v>
      </c>
      <c r="AW210" s="49"/>
      <c r="AX210" s="49">
        <v>0</v>
      </c>
      <c r="AY210" s="49">
        <v>320</v>
      </c>
      <c r="AZ210" s="49">
        <v>220</v>
      </c>
      <c r="BA210" s="49">
        <v>140</v>
      </c>
      <c r="BB210" s="49">
        <v>120</v>
      </c>
      <c r="BC210" s="49">
        <v>0</v>
      </c>
      <c r="BD210" s="49">
        <v>200</v>
      </c>
      <c r="BE210" s="49">
        <v>0</v>
      </c>
      <c r="BF210" s="49"/>
      <c r="BG210" s="49">
        <v>58</v>
      </c>
      <c r="BH210" s="49">
        <v>40</v>
      </c>
      <c r="BI210" s="49">
        <v>359</v>
      </c>
      <c r="BJ210" s="49">
        <v>56</v>
      </c>
      <c r="BK210" s="49"/>
      <c r="BL210" s="49">
        <v>0</v>
      </c>
      <c r="BM210" s="49"/>
      <c r="BN210" s="49">
        <v>174</v>
      </c>
      <c r="BO210" s="49"/>
      <c r="BP210" s="50">
        <v>0</v>
      </c>
      <c r="BQ210" s="50">
        <v>51</v>
      </c>
      <c r="BR210" s="50">
        <v>26</v>
      </c>
      <c r="BS210" s="50">
        <v>85</v>
      </c>
      <c r="BT210" s="50">
        <v>129</v>
      </c>
      <c r="BU210" s="50">
        <v>94</v>
      </c>
      <c r="BV210" s="50">
        <v>0</v>
      </c>
      <c r="BW210" s="50">
        <v>64</v>
      </c>
      <c r="BX210" s="50">
        <v>118</v>
      </c>
      <c r="BY210" s="50">
        <v>118</v>
      </c>
      <c r="BZ210" s="50">
        <v>136</v>
      </c>
      <c r="CA210" s="50">
        <v>136</v>
      </c>
      <c r="CB210" s="50">
        <v>120</v>
      </c>
      <c r="CC210" s="50">
        <v>0</v>
      </c>
      <c r="CD210" s="50">
        <v>0</v>
      </c>
      <c r="CE210" s="50">
        <v>276</v>
      </c>
      <c r="CF210" s="50">
        <v>0</v>
      </c>
      <c r="CG210" s="50">
        <v>175</v>
      </c>
      <c r="CH210" s="50">
        <v>34</v>
      </c>
      <c r="CI210" s="50">
        <v>276</v>
      </c>
      <c r="CJ210" s="50">
        <v>0</v>
      </c>
      <c r="CK210" s="50">
        <v>109</v>
      </c>
      <c r="CL210" s="50">
        <v>119</v>
      </c>
      <c r="CM210" s="50">
        <v>0</v>
      </c>
      <c r="CN210" s="51">
        <v>198</v>
      </c>
      <c r="CO210" s="51">
        <v>0</v>
      </c>
      <c r="CP210" s="51">
        <v>0</v>
      </c>
      <c r="CQ210" s="51">
        <v>0</v>
      </c>
      <c r="CR210" s="51">
        <v>0</v>
      </c>
      <c r="CS210" s="51">
        <v>0</v>
      </c>
      <c r="CT210" s="51">
        <v>0</v>
      </c>
      <c r="CU210" s="51">
        <v>0</v>
      </c>
      <c r="CV210" s="51">
        <v>0</v>
      </c>
      <c r="CW210" s="51">
        <v>0</v>
      </c>
      <c r="CX210" s="51">
        <v>0</v>
      </c>
      <c r="CY210" s="51">
        <v>0</v>
      </c>
      <c r="CZ210" s="51">
        <v>0</v>
      </c>
      <c r="DA210" s="51">
        <v>0</v>
      </c>
      <c r="DB210" s="51">
        <v>0</v>
      </c>
      <c r="DC210" s="51">
        <v>0</v>
      </c>
      <c r="DD210" s="51">
        <v>0</v>
      </c>
      <c r="DE210" s="51">
        <v>40</v>
      </c>
      <c r="DF210" s="52">
        <v>37</v>
      </c>
      <c r="DG210" s="52">
        <v>50</v>
      </c>
      <c r="DH210" s="52">
        <v>0</v>
      </c>
      <c r="DI210" s="52">
        <v>0</v>
      </c>
      <c r="DJ210" s="52">
        <v>0</v>
      </c>
      <c r="DK210" s="52">
        <v>0</v>
      </c>
      <c r="DL210" s="52">
        <v>0</v>
      </c>
      <c r="DM210" s="52">
        <v>85</v>
      </c>
      <c r="DN210" s="52">
        <v>0</v>
      </c>
      <c r="DO210" s="52">
        <v>0</v>
      </c>
      <c r="DP210" s="52">
        <v>0</v>
      </c>
      <c r="DQ210" s="52">
        <v>0</v>
      </c>
      <c r="DR210" s="52">
        <v>0</v>
      </c>
      <c r="DS210" s="53">
        <v>0</v>
      </c>
      <c r="DT210" s="53">
        <v>0</v>
      </c>
      <c r="DU210" s="53">
        <v>0</v>
      </c>
      <c r="DV210" s="53">
        <v>0</v>
      </c>
      <c r="DW210" s="53">
        <v>0</v>
      </c>
      <c r="DX210" s="2"/>
      <c r="DY210" s="2"/>
      <c r="DZ210" s="46">
        <f t="shared" si="58"/>
        <v>40685</v>
      </c>
      <c r="EA210" s="46">
        <f t="shared" si="59"/>
        <v>47670</v>
      </c>
      <c r="EB210" s="46">
        <f t="shared" si="60"/>
        <v>500</v>
      </c>
      <c r="EC210" s="46">
        <f t="shared" si="61"/>
        <v>1200</v>
      </c>
      <c r="ED210" s="46">
        <f t="shared" si="62"/>
        <v>887</v>
      </c>
      <c r="EE210" s="46">
        <f t="shared" si="63"/>
        <v>957</v>
      </c>
      <c r="EF210" s="46">
        <f t="shared" si="64"/>
        <v>1109</v>
      </c>
      <c r="EG210" s="46">
        <f t="shared" si="65"/>
        <v>198</v>
      </c>
      <c r="EH210" s="46">
        <f t="shared" si="68"/>
        <v>127</v>
      </c>
      <c r="EI210" s="46">
        <f t="shared" si="67"/>
        <v>85</v>
      </c>
    </row>
    <row r="211" spans="3:139" ht="12">
      <c r="C211" s="36" t="s">
        <v>386</v>
      </c>
      <c r="D211" s="36" t="s">
        <v>378</v>
      </c>
      <c r="E211" s="36" t="s">
        <v>378</v>
      </c>
      <c r="F211" s="38">
        <f t="shared" si="66"/>
        <v>24013</v>
      </c>
      <c r="G211" s="37" t="s">
        <v>379</v>
      </c>
      <c r="H211" s="47">
        <v>0</v>
      </c>
      <c r="I211" s="48">
        <v>1295</v>
      </c>
      <c r="J211" s="49">
        <v>1396</v>
      </c>
      <c r="K211" s="49">
        <v>1360</v>
      </c>
      <c r="L211" s="49">
        <v>2520</v>
      </c>
      <c r="M211" s="49">
        <v>59</v>
      </c>
      <c r="N211" s="49">
        <v>2457</v>
      </c>
      <c r="O211" s="49">
        <v>1047</v>
      </c>
      <c r="P211" s="49">
        <v>745</v>
      </c>
      <c r="Q211" s="49">
        <v>1221</v>
      </c>
      <c r="R211" s="49">
        <v>2798</v>
      </c>
      <c r="S211" s="49">
        <v>196</v>
      </c>
      <c r="T211" s="48">
        <v>1140</v>
      </c>
      <c r="U211" s="48">
        <v>1140</v>
      </c>
      <c r="V211" s="49">
        <v>2495</v>
      </c>
      <c r="W211" s="49">
        <v>0</v>
      </c>
      <c r="X211" s="49">
        <v>20</v>
      </c>
      <c r="Y211" s="49">
        <v>457</v>
      </c>
      <c r="Z211" s="49">
        <v>1500</v>
      </c>
      <c r="AA211" s="49">
        <v>400</v>
      </c>
      <c r="AB211" s="49">
        <v>0</v>
      </c>
      <c r="AC211" s="49">
        <v>0</v>
      </c>
      <c r="AD211" s="49">
        <v>0</v>
      </c>
      <c r="AE211" s="49">
        <v>0</v>
      </c>
      <c r="AF211" s="48"/>
      <c r="AG211" s="48"/>
      <c r="AH211" s="49"/>
      <c r="AI211" s="49"/>
      <c r="AJ211" s="49"/>
      <c r="AK211" s="49"/>
      <c r="AL211" s="49">
        <v>40</v>
      </c>
      <c r="AM211" s="49"/>
      <c r="AN211" s="49">
        <v>0</v>
      </c>
      <c r="AO211" s="49"/>
      <c r="AP211" s="49"/>
      <c r="AQ211" s="49"/>
      <c r="AR211" s="49">
        <v>100</v>
      </c>
      <c r="AS211" s="49">
        <v>0</v>
      </c>
      <c r="AT211" s="49"/>
      <c r="AU211" s="49">
        <v>100</v>
      </c>
      <c r="AV211" s="49">
        <v>100</v>
      </c>
      <c r="AW211" s="49"/>
      <c r="AX211" s="49">
        <v>0</v>
      </c>
      <c r="AY211" s="49"/>
      <c r="AZ211" s="49">
        <v>160</v>
      </c>
      <c r="BA211" s="49">
        <v>0</v>
      </c>
      <c r="BB211" s="49">
        <v>60</v>
      </c>
      <c r="BC211" s="49">
        <v>0</v>
      </c>
      <c r="BD211" s="49">
        <v>60</v>
      </c>
      <c r="BE211" s="49">
        <v>0</v>
      </c>
      <c r="BF211" s="49"/>
      <c r="BG211" s="49">
        <v>22</v>
      </c>
      <c r="BH211" s="49">
        <v>147</v>
      </c>
      <c r="BI211" s="49">
        <v>0</v>
      </c>
      <c r="BJ211" s="49">
        <v>98</v>
      </c>
      <c r="BK211" s="49"/>
      <c r="BL211" s="49">
        <v>0</v>
      </c>
      <c r="BM211" s="49"/>
      <c r="BN211" s="49">
        <v>35</v>
      </c>
      <c r="BO211" s="49"/>
      <c r="BP211" s="50">
        <v>0</v>
      </c>
      <c r="BQ211" s="50">
        <v>98</v>
      </c>
      <c r="BR211" s="50">
        <v>46</v>
      </c>
      <c r="BS211" s="50">
        <v>30</v>
      </c>
      <c r="BT211" s="50">
        <v>73</v>
      </c>
      <c r="BU211" s="50">
        <v>0</v>
      </c>
      <c r="BV211" s="50">
        <v>25</v>
      </c>
      <c r="BW211" s="50">
        <v>0</v>
      </c>
      <c r="BX211" s="50"/>
      <c r="BY211" s="50">
        <v>63</v>
      </c>
      <c r="BZ211" s="50"/>
      <c r="CA211" s="50">
        <v>0</v>
      </c>
      <c r="CB211" s="50">
        <v>69</v>
      </c>
      <c r="CC211" s="50">
        <v>0</v>
      </c>
      <c r="CD211" s="50">
        <v>97</v>
      </c>
      <c r="CE211" s="50">
        <v>50</v>
      </c>
      <c r="CF211" s="50">
        <v>0</v>
      </c>
      <c r="CG211" s="50"/>
      <c r="CH211" s="50">
        <v>0</v>
      </c>
      <c r="CI211" s="50">
        <v>59</v>
      </c>
      <c r="CJ211" s="50">
        <v>0</v>
      </c>
      <c r="CK211" s="50">
        <v>29</v>
      </c>
      <c r="CL211" s="50">
        <v>40</v>
      </c>
      <c r="CM211" s="50">
        <v>2</v>
      </c>
      <c r="CN211" s="51">
        <v>35</v>
      </c>
      <c r="CO211" s="51">
        <v>0</v>
      </c>
      <c r="CP211" s="51">
        <v>0</v>
      </c>
      <c r="CQ211" s="51">
        <v>0</v>
      </c>
      <c r="CR211" s="51">
        <v>0</v>
      </c>
      <c r="CS211" s="51">
        <v>0</v>
      </c>
      <c r="CT211" s="51">
        <v>0</v>
      </c>
      <c r="CU211" s="51">
        <v>0</v>
      </c>
      <c r="CV211" s="51">
        <v>0</v>
      </c>
      <c r="CW211" s="51">
        <v>0</v>
      </c>
      <c r="CX211" s="51">
        <v>0</v>
      </c>
      <c r="CY211" s="51">
        <v>0</v>
      </c>
      <c r="CZ211" s="51">
        <v>0</v>
      </c>
      <c r="DA211" s="51">
        <v>18</v>
      </c>
      <c r="DB211" s="51">
        <v>0</v>
      </c>
      <c r="DC211" s="51">
        <v>25</v>
      </c>
      <c r="DD211" s="51">
        <v>0</v>
      </c>
      <c r="DE211" s="51">
        <v>0</v>
      </c>
      <c r="DF211" s="52">
        <v>0</v>
      </c>
      <c r="DG211" s="52">
        <v>0</v>
      </c>
      <c r="DH211" s="52">
        <v>0</v>
      </c>
      <c r="DI211" s="52">
        <v>0</v>
      </c>
      <c r="DJ211" s="52">
        <v>0</v>
      </c>
      <c r="DK211" s="52">
        <v>0</v>
      </c>
      <c r="DL211" s="52">
        <v>0</v>
      </c>
      <c r="DM211" s="52">
        <v>86</v>
      </c>
      <c r="DN211" s="52">
        <v>0</v>
      </c>
      <c r="DO211" s="52">
        <v>0</v>
      </c>
      <c r="DP211" s="52">
        <v>0</v>
      </c>
      <c r="DQ211" s="52">
        <v>0</v>
      </c>
      <c r="DR211" s="52">
        <v>0</v>
      </c>
      <c r="DS211" s="53">
        <v>0</v>
      </c>
      <c r="DT211" s="53">
        <v>0</v>
      </c>
      <c r="DU211" s="53">
        <v>0</v>
      </c>
      <c r="DV211" s="53">
        <v>0</v>
      </c>
      <c r="DW211" s="53">
        <v>0</v>
      </c>
      <c r="DX211" s="2"/>
      <c r="DY211" s="2"/>
      <c r="DZ211" s="46">
        <f t="shared" si="58"/>
        <v>15094</v>
      </c>
      <c r="EA211" s="46">
        <f t="shared" si="59"/>
        <v>7152</v>
      </c>
      <c r="EB211" s="46">
        <f t="shared" si="60"/>
        <v>40</v>
      </c>
      <c r="EC211" s="46">
        <f t="shared" si="61"/>
        <v>520</v>
      </c>
      <c r="ED211" s="46">
        <f t="shared" si="62"/>
        <v>362</v>
      </c>
      <c r="EE211" s="46">
        <f t="shared" si="63"/>
        <v>335</v>
      </c>
      <c r="EF211" s="46">
        <f t="shared" si="64"/>
        <v>346</v>
      </c>
      <c r="EG211" s="46">
        <f t="shared" si="65"/>
        <v>35</v>
      </c>
      <c r="EH211" s="46">
        <f t="shared" si="68"/>
        <v>43</v>
      </c>
      <c r="EI211" s="46">
        <f t="shared" si="67"/>
        <v>86</v>
      </c>
    </row>
    <row r="212" spans="3:139" ht="12">
      <c r="C212" s="36" t="s">
        <v>387</v>
      </c>
      <c r="D212" s="36" t="s">
        <v>378</v>
      </c>
      <c r="E212" s="36" t="s">
        <v>378</v>
      </c>
      <c r="F212" s="38">
        <f t="shared" si="66"/>
        <v>38237</v>
      </c>
      <c r="G212" s="37" t="s">
        <v>379</v>
      </c>
      <c r="H212" s="47">
        <v>0</v>
      </c>
      <c r="I212" s="48">
        <v>0</v>
      </c>
      <c r="J212" s="49">
        <v>1912</v>
      </c>
      <c r="K212" s="49">
        <v>1820</v>
      </c>
      <c r="L212" s="49">
        <v>2155</v>
      </c>
      <c r="M212" s="49">
        <v>815</v>
      </c>
      <c r="N212" s="49">
        <v>629</v>
      </c>
      <c r="O212" s="49">
        <v>3405</v>
      </c>
      <c r="P212" s="49">
        <v>694</v>
      </c>
      <c r="Q212" s="49">
        <v>2000</v>
      </c>
      <c r="R212" s="49">
        <v>1674</v>
      </c>
      <c r="S212" s="49">
        <v>838</v>
      </c>
      <c r="T212" s="48">
        <v>1579</v>
      </c>
      <c r="U212" s="48">
        <v>1579</v>
      </c>
      <c r="V212" s="49">
        <v>626</v>
      </c>
      <c r="W212" s="49">
        <v>1452</v>
      </c>
      <c r="X212" s="49">
        <v>2240</v>
      </c>
      <c r="Y212" s="49">
        <v>2440</v>
      </c>
      <c r="Z212" s="49">
        <v>1720</v>
      </c>
      <c r="AA212" s="49">
        <v>240</v>
      </c>
      <c r="AB212" s="49">
        <v>2620</v>
      </c>
      <c r="AC212" s="49">
        <v>1360</v>
      </c>
      <c r="AD212" s="49">
        <v>1160</v>
      </c>
      <c r="AE212" s="49">
        <v>1132</v>
      </c>
      <c r="AF212" s="48"/>
      <c r="AG212" s="48"/>
      <c r="AH212" s="49"/>
      <c r="AI212" s="49">
        <v>560</v>
      </c>
      <c r="AJ212" s="49">
        <v>1118</v>
      </c>
      <c r="AK212" s="49">
        <v>820</v>
      </c>
      <c r="AL212" s="49">
        <v>900</v>
      </c>
      <c r="AM212" s="49"/>
      <c r="AN212" s="49">
        <v>0</v>
      </c>
      <c r="AO212" s="49"/>
      <c r="AP212" s="49"/>
      <c r="AQ212" s="49"/>
      <c r="AR212" s="49">
        <v>50</v>
      </c>
      <c r="AS212" s="49">
        <v>100</v>
      </c>
      <c r="AT212" s="49"/>
      <c r="AU212" s="49">
        <v>0</v>
      </c>
      <c r="AV212" s="49">
        <v>100</v>
      </c>
      <c r="AW212" s="49"/>
      <c r="AX212" s="49">
        <v>0</v>
      </c>
      <c r="AY212" s="49">
        <v>40</v>
      </c>
      <c r="AZ212" s="49">
        <v>240</v>
      </c>
      <c r="BA212" s="49">
        <v>0</v>
      </c>
      <c r="BB212" s="49">
        <v>0</v>
      </c>
      <c r="BC212" s="49">
        <v>0</v>
      </c>
      <c r="BD212" s="49">
        <v>0</v>
      </c>
      <c r="BE212" s="49">
        <v>0</v>
      </c>
      <c r="BF212" s="49"/>
      <c r="BG212" s="49"/>
      <c r="BH212" s="49"/>
      <c r="BI212" s="49">
        <v>0</v>
      </c>
      <c r="BJ212" s="49">
        <v>0</v>
      </c>
      <c r="BK212" s="49"/>
      <c r="BL212" s="49">
        <v>0</v>
      </c>
      <c r="BM212" s="49"/>
      <c r="BN212" s="49">
        <v>10</v>
      </c>
      <c r="BO212" s="49"/>
      <c r="BP212" s="50">
        <v>0</v>
      </c>
      <c r="BQ212" s="50">
        <v>0</v>
      </c>
      <c r="BR212" s="50">
        <v>10</v>
      </c>
      <c r="BS212" s="50">
        <v>0</v>
      </c>
      <c r="BT212" s="50">
        <v>0</v>
      </c>
      <c r="BU212" s="50">
        <v>0</v>
      </c>
      <c r="BV212" s="50"/>
      <c r="BW212" s="50">
        <v>0</v>
      </c>
      <c r="BX212" s="50">
        <v>32</v>
      </c>
      <c r="BY212" s="50"/>
      <c r="BZ212" s="50"/>
      <c r="CA212" s="50">
        <v>0</v>
      </c>
      <c r="CB212" s="50">
        <v>40</v>
      </c>
      <c r="CC212" s="50">
        <v>0</v>
      </c>
      <c r="CD212" s="50">
        <v>0</v>
      </c>
      <c r="CE212" s="50">
        <v>38</v>
      </c>
      <c r="CF212" s="50">
        <v>0</v>
      </c>
      <c r="CG212" s="50"/>
      <c r="CH212" s="50">
        <v>0</v>
      </c>
      <c r="CI212" s="50">
        <v>0</v>
      </c>
      <c r="CJ212" s="50">
        <v>0</v>
      </c>
      <c r="CK212" s="50">
        <v>0</v>
      </c>
      <c r="CL212" s="50">
        <v>0</v>
      </c>
      <c r="CM212" s="50">
        <v>0</v>
      </c>
      <c r="CN212" s="51">
        <v>23</v>
      </c>
      <c r="CO212" s="51">
        <v>0</v>
      </c>
      <c r="CP212" s="51">
        <v>0</v>
      </c>
      <c r="CQ212" s="51">
        <v>28</v>
      </c>
      <c r="CR212" s="51">
        <v>0</v>
      </c>
      <c r="CS212" s="51">
        <v>0</v>
      </c>
      <c r="CT212" s="51">
        <v>0</v>
      </c>
      <c r="CU212" s="51">
        <v>0</v>
      </c>
      <c r="CV212" s="51">
        <v>0</v>
      </c>
      <c r="CW212" s="51">
        <v>0</v>
      </c>
      <c r="CX212" s="51">
        <v>0</v>
      </c>
      <c r="CY212" s="51">
        <v>0</v>
      </c>
      <c r="CZ212" s="51">
        <v>0</v>
      </c>
      <c r="DA212" s="51">
        <v>25</v>
      </c>
      <c r="DB212" s="51">
        <v>0</v>
      </c>
      <c r="DC212" s="51">
        <v>0</v>
      </c>
      <c r="DD212" s="51">
        <v>0</v>
      </c>
      <c r="DE212" s="51">
        <v>0</v>
      </c>
      <c r="DF212" s="52">
        <v>0</v>
      </c>
      <c r="DG212" s="52">
        <v>13</v>
      </c>
      <c r="DH212" s="52">
        <v>0</v>
      </c>
      <c r="DI212" s="52">
        <v>0</v>
      </c>
      <c r="DJ212" s="52">
        <v>0</v>
      </c>
      <c r="DK212" s="52">
        <v>0</v>
      </c>
      <c r="DL212" s="52">
        <v>0</v>
      </c>
      <c r="DM212" s="52">
        <v>0</v>
      </c>
      <c r="DN212" s="52">
        <v>0</v>
      </c>
      <c r="DO212" s="52">
        <v>0</v>
      </c>
      <c r="DP212" s="52">
        <v>0</v>
      </c>
      <c r="DQ212" s="52">
        <v>0</v>
      </c>
      <c r="DR212" s="52">
        <v>0</v>
      </c>
      <c r="DS212" s="53">
        <v>0</v>
      </c>
      <c r="DT212" s="53">
        <v>0</v>
      </c>
      <c r="DU212" s="53">
        <v>0</v>
      </c>
      <c r="DV212" s="53">
        <v>0</v>
      </c>
      <c r="DW212" s="53">
        <v>0</v>
      </c>
      <c r="DX212" s="2"/>
      <c r="DY212" s="2"/>
      <c r="DZ212" s="46">
        <f t="shared" si="58"/>
        <v>15942</v>
      </c>
      <c r="EA212" s="46">
        <f t="shared" si="59"/>
        <v>18148</v>
      </c>
      <c r="EB212" s="46">
        <f t="shared" si="60"/>
        <v>3398</v>
      </c>
      <c r="EC212" s="46">
        <f t="shared" si="61"/>
        <v>530</v>
      </c>
      <c r="ED212" s="46">
        <f t="shared" si="62"/>
        <v>10</v>
      </c>
      <c r="EE212" s="46">
        <f t="shared" si="63"/>
        <v>42</v>
      </c>
      <c r="EF212" s="46">
        <f t="shared" si="64"/>
        <v>78</v>
      </c>
      <c r="EG212" s="46">
        <f t="shared" si="65"/>
        <v>51</v>
      </c>
      <c r="EH212" s="46">
        <f t="shared" si="68"/>
        <v>38</v>
      </c>
      <c r="EI212" s="46">
        <f t="shared" si="67"/>
        <v>0</v>
      </c>
    </row>
    <row r="213" spans="3:139" ht="12">
      <c r="C213" s="36" t="s">
        <v>388</v>
      </c>
      <c r="D213" s="36" t="s">
        <v>378</v>
      </c>
      <c r="E213" s="36" t="s">
        <v>378</v>
      </c>
      <c r="F213" s="38">
        <f t="shared" si="66"/>
        <v>12795</v>
      </c>
      <c r="G213" s="37" t="s">
        <v>379</v>
      </c>
      <c r="H213" s="47">
        <v>0</v>
      </c>
      <c r="I213" s="48">
        <v>0</v>
      </c>
      <c r="J213" s="49">
        <v>260</v>
      </c>
      <c r="K213" s="49">
        <v>240</v>
      </c>
      <c r="L213" s="49">
        <v>320</v>
      </c>
      <c r="M213" s="49">
        <v>693</v>
      </c>
      <c r="N213" s="49">
        <v>529</v>
      </c>
      <c r="O213" s="49">
        <v>860</v>
      </c>
      <c r="P213" s="49">
        <v>718</v>
      </c>
      <c r="Q213" s="49">
        <v>1364</v>
      </c>
      <c r="R213" s="49">
        <v>394</v>
      </c>
      <c r="S213" s="49">
        <v>372</v>
      </c>
      <c r="T213" s="48">
        <v>300</v>
      </c>
      <c r="U213" s="48">
        <v>300</v>
      </c>
      <c r="V213" s="49">
        <v>313</v>
      </c>
      <c r="W213" s="49">
        <v>781</v>
      </c>
      <c r="X213" s="49">
        <v>920</v>
      </c>
      <c r="Y213" s="49">
        <v>760</v>
      </c>
      <c r="Z213" s="49">
        <v>340</v>
      </c>
      <c r="AA213" s="49">
        <v>314</v>
      </c>
      <c r="AB213" s="49">
        <v>700</v>
      </c>
      <c r="AC213" s="49">
        <v>740</v>
      </c>
      <c r="AD213" s="49">
        <v>300</v>
      </c>
      <c r="AE213" s="49">
        <v>300</v>
      </c>
      <c r="AF213" s="48"/>
      <c r="AG213" s="48"/>
      <c r="AH213" s="49"/>
      <c r="AI213" s="49">
        <v>177</v>
      </c>
      <c r="AJ213" s="49">
        <v>277</v>
      </c>
      <c r="AK213" s="49">
        <v>60</v>
      </c>
      <c r="AL213" s="49">
        <v>160</v>
      </c>
      <c r="AM213" s="49"/>
      <c r="AN213" s="49">
        <v>0</v>
      </c>
      <c r="AO213" s="49"/>
      <c r="AP213" s="49"/>
      <c r="AQ213" s="49"/>
      <c r="AR213" s="49">
        <v>0</v>
      </c>
      <c r="AS213" s="49">
        <v>0</v>
      </c>
      <c r="AT213" s="49"/>
      <c r="AU213" s="49">
        <v>0</v>
      </c>
      <c r="AV213" s="49">
        <v>0</v>
      </c>
      <c r="AW213" s="49"/>
      <c r="AX213" s="49">
        <v>0</v>
      </c>
      <c r="AY213" s="49"/>
      <c r="AZ213" s="49">
        <v>40</v>
      </c>
      <c r="BA213" s="49">
        <v>0</v>
      </c>
      <c r="BB213" s="49">
        <v>0</v>
      </c>
      <c r="BC213" s="49">
        <v>0</v>
      </c>
      <c r="BD213" s="49">
        <v>0</v>
      </c>
      <c r="BE213" s="49">
        <v>0</v>
      </c>
      <c r="BF213" s="49">
        <v>10</v>
      </c>
      <c r="BG213" s="49">
        <v>10</v>
      </c>
      <c r="BH213" s="49">
        <v>40</v>
      </c>
      <c r="BI213" s="49">
        <v>0</v>
      </c>
      <c r="BJ213" s="49"/>
      <c r="BK213" s="49"/>
      <c r="BL213" s="49">
        <v>0</v>
      </c>
      <c r="BM213" s="49"/>
      <c r="BN213" s="49">
        <v>10</v>
      </c>
      <c r="BO213" s="49"/>
      <c r="BP213" s="50">
        <v>0</v>
      </c>
      <c r="BQ213" s="50">
        <v>9</v>
      </c>
      <c r="BR213" s="50">
        <v>13</v>
      </c>
      <c r="BS213" s="50">
        <v>10</v>
      </c>
      <c r="BT213" s="50">
        <v>0</v>
      </c>
      <c r="BU213" s="50">
        <v>0</v>
      </c>
      <c r="BV213" s="50">
        <v>8</v>
      </c>
      <c r="BW213" s="50">
        <v>0</v>
      </c>
      <c r="BX213" s="50"/>
      <c r="BY213" s="50"/>
      <c r="BZ213" s="50">
        <v>20</v>
      </c>
      <c r="CA213" s="50">
        <v>0</v>
      </c>
      <c r="CB213" s="50">
        <v>0</v>
      </c>
      <c r="CC213" s="50">
        <v>0</v>
      </c>
      <c r="CD213" s="50">
        <v>0</v>
      </c>
      <c r="CE213" s="50">
        <v>24</v>
      </c>
      <c r="CF213" s="50">
        <v>0</v>
      </c>
      <c r="CG213" s="50"/>
      <c r="CH213" s="50">
        <v>0</v>
      </c>
      <c r="CI213" s="50">
        <v>0</v>
      </c>
      <c r="CJ213" s="50">
        <v>70</v>
      </c>
      <c r="CK213" s="50">
        <v>0</v>
      </c>
      <c r="CL213" s="50">
        <v>0</v>
      </c>
      <c r="CM213" s="50">
        <v>0</v>
      </c>
      <c r="CN213" s="51">
        <v>17</v>
      </c>
      <c r="CO213" s="51">
        <v>0</v>
      </c>
      <c r="CP213" s="51">
        <v>0</v>
      </c>
      <c r="CQ213" s="51">
        <v>0</v>
      </c>
      <c r="CR213" s="51">
        <v>0</v>
      </c>
      <c r="CS213" s="51">
        <v>0</v>
      </c>
      <c r="CT213" s="51">
        <v>0</v>
      </c>
      <c r="CU213" s="51">
        <v>0</v>
      </c>
      <c r="CV213" s="51">
        <v>0</v>
      </c>
      <c r="CW213" s="51">
        <v>0</v>
      </c>
      <c r="CX213" s="51">
        <v>0</v>
      </c>
      <c r="CY213" s="51">
        <v>0</v>
      </c>
      <c r="CZ213" s="51">
        <v>0</v>
      </c>
      <c r="DA213" s="51">
        <v>0</v>
      </c>
      <c r="DB213" s="51">
        <v>0</v>
      </c>
      <c r="DC213" s="51">
        <v>0</v>
      </c>
      <c r="DD213" s="51">
        <v>0</v>
      </c>
      <c r="DE213" s="51">
        <v>22</v>
      </c>
      <c r="DF213" s="52">
        <v>0</v>
      </c>
      <c r="DG213" s="52">
        <v>0</v>
      </c>
      <c r="DH213" s="52">
        <v>0</v>
      </c>
      <c r="DI213" s="52">
        <v>0</v>
      </c>
      <c r="DJ213" s="52">
        <v>0</v>
      </c>
      <c r="DK213" s="52">
        <v>0</v>
      </c>
      <c r="DL213" s="52">
        <v>0</v>
      </c>
      <c r="DM213" s="52">
        <v>0</v>
      </c>
      <c r="DN213" s="52">
        <v>0</v>
      </c>
      <c r="DO213" s="52">
        <v>0</v>
      </c>
      <c r="DP213" s="52">
        <v>0</v>
      </c>
      <c r="DQ213" s="52">
        <v>0</v>
      </c>
      <c r="DR213" s="52">
        <v>0</v>
      </c>
      <c r="DS213" s="53">
        <v>0</v>
      </c>
      <c r="DT213" s="53">
        <v>0</v>
      </c>
      <c r="DU213" s="53">
        <v>0</v>
      </c>
      <c r="DV213" s="53">
        <v>0</v>
      </c>
      <c r="DW213" s="53">
        <v>0</v>
      </c>
      <c r="DX213" s="2"/>
      <c r="DY213" s="2"/>
      <c r="DZ213" s="46">
        <f t="shared" si="58"/>
        <v>5750</v>
      </c>
      <c r="EA213" s="46">
        <f t="shared" si="59"/>
        <v>6068</v>
      </c>
      <c r="EB213" s="46">
        <f t="shared" si="60"/>
        <v>674</v>
      </c>
      <c r="EC213" s="46">
        <f t="shared" si="61"/>
        <v>40</v>
      </c>
      <c r="ED213" s="46">
        <f t="shared" si="62"/>
        <v>70</v>
      </c>
      <c r="EE213" s="46">
        <f t="shared" si="63"/>
        <v>60</v>
      </c>
      <c r="EF213" s="46">
        <f t="shared" si="64"/>
        <v>94</v>
      </c>
      <c r="EG213" s="46">
        <f t="shared" si="65"/>
        <v>17</v>
      </c>
      <c r="EH213" s="46">
        <f t="shared" si="68"/>
        <v>22</v>
      </c>
      <c r="EI213" s="46">
        <f t="shared" si="67"/>
        <v>0</v>
      </c>
    </row>
    <row r="214" spans="3:139" ht="12">
      <c r="C214" s="36" t="s">
        <v>389</v>
      </c>
      <c r="D214" s="36" t="s">
        <v>378</v>
      </c>
      <c r="E214" s="36" t="s">
        <v>378</v>
      </c>
      <c r="F214" s="38">
        <f t="shared" si="66"/>
        <v>1763</v>
      </c>
      <c r="G214" s="37" t="s">
        <v>379</v>
      </c>
      <c r="H214" s="47">
        <v>0</v>
      </c>
      <c r="I214" s="48">
        <v>0</v>
      </c>
      <c r="J214" s="49">
        <v>280</v>
      </c>
      <c r="K214" s="49">
        <v>140</v>
      </c>
      <c r="L214" s="49">
        <v>60</v>
      </c>
      <c r="M214" s="49">
        <v>0</v>
      </c>
      <c r="N214" s="49">
        <v>13</v>
      </c>
      <c r="O214" s="49">
        <v>137</v>
      </c>
      <c r="P214" s="49">
        <v>0</v>
      </c>
      <c r="Q214" s="49">
        <v>100</v>
      </c>
      <c r="R214" s="49">
        <v>248</v>
      </c>
      <c r="S214" s="49">
        <v>0</v>
      </c>
      <c r="T214" s="48">
        <v>0</v>
      </c>
      <c r="U214" s="48">
        <v>0</v>
      </c>
      <c r="V214" s="49">
        <v>0</v>
      </c>
      <c r="W214" s="49">
        <v>340</v>
      </c>
      <c r="X214" s="49">
        <v>0</v>
      </c>
      <c r="Y214" s="49">
        <v>200</v>
      </c>
      <c r="Z214" s="49">
        <v>20</v>
      </c>
      <c r="AA214" s="49">
        <v>0</v>
      </c>
      <c r="AB214" s="49">
        <v>0</v>
      </c>
      <c r="AC214" s="49">
        <v>0</v>
      </c>
      <c r="AD214" s="49">
        <v>200</v>
      </c>
      <c r="AE214" s="49">
        <v>0</v>
      </c>
      <c r="AF214" s="48"/>
      <c r="AG214" s="48"/>
      <c r="AH214" s="49"/>
      <c r="AI214" s="49"/>
      <c r="AJ214" s="49"/>
      <c r="AK214" s="49"/>
      <c r="AL214" s="49">
        <v>0</v>
      </c>
      <c r="AM214" s="49"/>
      <c r="AN214" s="49">
        <v>0</v>
      </c>
      <c r="AO214" s="49"/>
      <c r="AP214" s="49"/>
      <c r="AQ214" s="49"/>
      <c r="AR214" s="49">
        <v>0</v>
      </c>
      <c r="AS214" s="49">
        <v>0</v>
      </c>
      <c r="AT214" s="49"/>
      <c r="AU214" s="49">
        <v>0</v>
      </c>
      <c r="AV214" s="49">
        <v>0</v>
      </c>
      <c r="AW214" s="49"/>
      <c r="AX214" s="49">
        <v>0</v>
      </c>
      <c r="AY214" s="49"/>
      <c r="AZ214" s="49">
        <v>19</v>
      </c>
      <c r="BA214" s="49">
        <v>0</v>
      </c>
      <c r="BB214" s="49">
        <v>0</v>
      </c>
      <c r="BC214" s="49">
        <v>0</v>
      </c>
      <c r="BD214" s="49">
        <v>0</v>
      </c>
      <c r="BE214" s="49">
        <v>0</v>
      </c>
      <c r="BF214" s="49"/>
      <c r="BG214" s="49"/>
      <c r="BH214" s="49"/>
      <c r="BI214" s="49">
        <v>0</v>
      </c>
      <c r="BJ214" s="49"/>
      <c r="BK214" s="49"/>
      <c r="BL214" s="49">
        <v>0</v>
      </c>
      <c r="BM214" s="49"/>
      <c r="BN214" s="49">
        <v>0</v>
      </c>
      <c r="BO214" s="49"/>
      <c r="BP214" s="50">
        <v>0</v>
      </c>
      <c r="BQ214" s="50">
        <v>3</v>
      </c>
      <c r="BR214" s="50">
        <v>3</v>
      </c>
      <c r="BS214" s="50">
        <v>0</v>
      </c>
      <c r="BT214" s="50">
        <v>0</v>
      </c>
      <c r="BU214" s="50">
        <v>0</v>
      </c>
      <c r="BV214" s="50"/>
      <c r="BW214" s="50">
        <v>0</v>
      </c>
      <c r="BX214" s="50"/>
      <c r="BY214" s="50"/>
      <c r="BZ214" s="50"/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/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1">
        <v>0</v>
      </c>
      <c r="CO214" s="51">
        <v>0</v>
      </c>
      <c r="CP214" s="51">
        <v>0</v>
      </c>
      <c r="CQ214" s="51">
        <v>0</v>
      </c>
      <c r="CR214" s="51">
        <v>0</v>
      </c>
      <c r="CS214" s="51">
        <v>0</v>
      </c>
      <c r="CT214" s="51">
        <v>0</v>
      </c>
      <c r="CU214" s="51">
        <v>0</v>
      </c>
      <c r="CV214" s="51">
        <v>0</v>
      </c>
      <c r="CW214" s="51">
        <v>0</v>
      </c>
      <c r="CX214" s="51">
        <v>0</v>
      </c>
      <c r="CY214" s="51">
        <v>0</v>
      </c>
      <c r="CZ214" s="51">
        <v>0</v>
      </c>
      <c r="DA214" s="51">
        <v>0</v>
      </c>
      <c r="DB214" s="51">
        <v>0</v>
      </c>
      <c r="DC214" s="51">
        <v>0</v>
      </c>
      <c r="DD214" s="51">
        <v>0</v>
      </c>
      <c r="DE214" s="51">
        <v>0</v>
      </c>
      <c r="DF214" s="52">
        <v>0</v>
      </c>
      <c r="DG214" s="52">
        <v>0</v>
      </c>
      <c r="DH214" s="52">
        <v>0</v>
      </c>
      <c r="DI214" s="52">
        <v>0</v>
      </c>
      <c r="DJ214" s="52">
        <v>0</v>
      </c>
      <c r="DK214" s="52">
        <v>0</v>
      </c>
      <c r="DL214" s="52">
        <v>0</v>
      </c>
      <c r="DM214" s="52">
        <v>0</v>
      </c>
      <c r="DN214" s="52">
        <v>0</v>
      </c>
      <c r="DO214" s="52">
        <v>0</v>
      </c>
      <c r="DP214" s="52">
        <v>0</v>
      </c>
      <c r="DQ214" s="52">
        <v>0</v>
      </c>
      <c r="DR214" s="52">
        <v>0</v>
      </c>
      <c r="DS214" s="53">
        <v>0</v>
      </c>
      <c r="DT214" s="53">
        <v>0</v>
      </c>
      <c r="DU214" s="53">
        <v>0</v>
      </c>
      <c r="DV214" s="53">
        <v>0</v>
      </c>
      <c r="DW214" s="53">
        <v>0</v>
      </c>
      <c r="DX214" s="2"/>
      <c r="DY214" s="2"/>
      <c r="DZ214" s="46">
        <f t="shared" si="58"/>
        <v>978</v>
      </c>
      <c r="EA214" s="46">
        <f t="shared" si="59"/>
        <v>760</v>
      </c>
      <c r="EB214" s="46">
        <f t="shared" si="60"/>
        <v>0</v>
      </c>
      <c r="EC214" s="46">
        <f t="shared" si="61"/>
        <v>19</v>
      </c>
      <c r="ED214" s="46">
        <f t="shared" si="62"/>
        <v>0</v>
      </c>
      <c r="EE214" s="46">
        <f t="shared" si="63"/>
        <v>6</v>
      </c>
      <c r="EF214" s="46">
        <f t="shared" si="64"/>
        <v>0</v>
      </c>
      <c r="EG214" s="46">
        <f t="shared" si="65"/>
        <v>0</v>
      </c>
      <c r="EH214" s="46">
        <f t="shared" si="68"/>
        <v>0</v>
      </c>
      <c r="EI214" s="46">
        <f t="shared" si="67"/>
        <v>0</v>
      </c>
    </row>
    <row r="215" spans="3:139" ht="12">
      <c r="C215" s="36" t="s">
        <v>390</v>
      </c>
      <c r="D215" s="36" t="s">
        <v>378</v>
      </c>
      <c r="E215" s="36" t="s">
        <v>378</v>
      </c>
      <c r="F215" s="38">
        <f t="shared" si="66"/>
        <v>11413</v>
      </c>
      <c r="G215" s="37" t="s">
        <v>379</v>
      </c>
      <c r="H215" s="47"/>
      <c r="I215" s="48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8"/>
      <c r="U215" s="48"/>
      <c r="V215" s="49"/>
      <c r="W215" s="49">
        <v>1100</v>
      </c>
      <c r="X215" s="49">
        <v>1400</v>
      </c>
      <c r="Y215" s="49">
        <v>1300</v>
      </c>
      <c r="Z215" s="49">
        <v>780</v>
      </c>
      <c r="AA215" s="49">
        <v>1100</v>
      </c>
      <c r="AB215" s="49">
        <v>1300</v>
      </c>
      <c r="AC215" s="49">
        <v>1400</v>
      </c>
      <c r="AD215" s="49">
        <v>2200</v>
      </c>
      <c r="AE215" s="49">
        <v>200</v>
      </c>
      <c r="AF215" s="48"/>
      <c r="AG215" s="48"/>
      <c r="AH215" s="49"/>
      <c r="AI215" s="49"/>
      <c r="AJ215" s="49"/>
      <c r="AK215" s="49"/>
      <c r="AL215" s="49">
        <v>0</v>
      </c>
      <c r="AM215" s="49"/>
      <c r="AN215" s="49">
        <v>0</v>
      </c>
      <c r="AO215" s="49"/>
      <c r="AP215" s="49"/>
      <c r="AQ215" s="49"/>
      <c r="AR215" s="49">
        <v>0</v>
      </c>
      <c r="AS215" s="49">
        <v>33</v>
      </c>
      <c r="AT215" s="49"/>
      <c r="AU215" s="49">
        <v>0</v>
      </c>
      <c r="AV215" s="49">
        <v>0</v>
      </c>
      <c r="AW215" s="49"/>
      <c r="AX215" s="49">
        <v>0</v>
      </c>
      <c r="AY215" s="49">
        <v>80</v>
      </c>
      <c r="AZ215" s="49">
        <v>20</v>
      </c>
      <c r="BA215" s="49">
        <v>0</v>
      </c>
      <c r="BB215" s="49">
        <v>0</v>
      </c>
      <c r="BC215" s="49">
        <v>0</v>
      </c>
      <c r="BD215" s="49">
        <v>20</v>
      </c>
      <c r="BE215" s="49">
        <v>0</v>
      </c>
      <c r="BF215" s="49"/>
      <c r="BG215" s="49">
        <v>9</v>
      </c>
      <c r="BH215" s="49">
        <v>40</v>
      </c>
      <c r="BI215" s="49">
        <v>0</v>
      </c>
      <c r="BJ215" s="49"/>
      <c r="BK215" s="49"/>
      <c r="BL215" s="49">
        <v>20</v>
      </c>
      <c r="BM215" s="49">
        <v>68</v>
      </c>
      <c r="BN215" s="49">
        <v>0</v>
      </c>
      <c r="BO215" s="49"/>
      <c r="BP215" s="50">
        <v>0</v>
      </c>
      <c r="BQ215" s="50">
        <v>0</v>
      </c>
      <c r="BR215" s="50">
        <v>12</v>
      </c>
      <c r="BS215" s="50">
        <v>29</v>
      </c>
      <c r="BT215" s="50">
        <v>48</v>
      </c>
      <c r="BU215" s="50">
        <v>0</v>
      </c>
      <c r="BV215" s="50"/>
      <c r="BW215" s="50">
        <v>0</v>
      </c>
      <c r="BX215" s="50"/>
      <c r="BY215" s="50"/>
      <c r="BZ215" s="50"/>
      <c r="CA215" s="50">
        <v>0</v>
      </c>
      <c r="CB215" s="50">
        <v>39</v>
      </c>
      <c r="CC215" s="50">
        <v>0</v>
      </c>
      <c r="CD215" s="50">
        <v>24</v>
      </c>
      <c r="CE215" s="50">
        <v>0</v>
      </c>
      <c r="CF215" s="50">
        <v>10</v>
      </c>
      <c r="CG215" s="50">
        <v>22</v>
      </c>
      <c r="CH215" s="50">
        <v>0</v>
      </c>
      <c r="CI215" s="50">
        <v>0</v>
      </c>
      <c r="CJ215" s="50">
        <v>0</v>
      </c>
      <c r="CK215" s="50">
        <v>39</v>
      </c>
      <c r="CL215" s="50">
        <v>24</v>
      </c>
      <c r="CM215" s="50">
        <v>7</v>
      </c>
      <c r="CN215" s="51">
        <v>19</v>
      </c>
      <c r="CO215" s="51">
        <v>0</v>
      </c>
      <c r="CP215" s="51">
        <v>58</v>
      </c>
      <c r="CQ215" s="51">
        <v>12</v>
      </c>
      <c r="CR215" s="51">
        <v>0</v>
      </c>
      <c r="CS215" s="51">
        <v>0</v>
      </c>
      <c r="CT215" s="51">
        <v>0</v>
      </c>
      <c r="CU215" s="51">
        <v>0</v>
      </c>
      <c r="CV215" s="51">
        <v>0</v>
      </c>
      <c r="CW215" s="51">
        <v>0</v>
      </c>
      <c r="CX215" s="51">
        <v>0</v>
      </c>
      <c r="CY215" s="51">
        <v>0</v>
      </c>
      <c r="CZ215" s="51">
        <v>0</v>
      </c>
      <c r="DA215" s="51">
        <v>0</v>
      </c>
      <c r="DB215" s="51">
        <v>0</v>
      </c>
      <c r="DC215" s="51">
        <v>0</v>
      </c>
      <c r="DD215" s="51">
        <v>0</v>
      </c>
      <c r="DE215" s="51">
        <v>0</v>
      </c>
      <c r="DF215" s="52">
        <v>0</v>
      </c>
      <c r="DG215" s="52">
        <v>0</v>
      </c>
      <c r="DH215" s="52">
        <v>0</v>
      </c>
      <c r="DI215" s="52">
        <v>0</v>
      </c>
      <c r="DJ215" s="52">
        <v>0</v>
      </c>
      <c r="DK215" s="52">
        <v>0</v>
      </c>
      <c r="DL215" s="52">
        <v>0</v>
      </c>
      <c r="DM215" s="52">
        <v>0</v>
      </c>
      <c r="DN215" s="52">
        <v>0</v>
      </c>
      <c r="DO215" s="52">
        <v>0</v>
      </c>
      <c r="DP215" s="52">
        <v>0</v>
      </c>
      <c r="DQ215" s="52">
        <v>0</v>
      </c>
      <c r="DR215" s="52">
        <v>0</v>
      </c>
      <c r="DS215" s="53">
        <v>0</v>
      </c>
      <c r="DT215" s="53">
        <v>0</v>
      </c>
      <c r="DU215" s="53">
        <v>0</v>
      </c>
      <c r="DV215" s="53">
        <v>0</v>
      </c>
      <c r="DW215" s="53">
        <v>0</v>
      </c>
      <c r="DX215" s="2"/>
      <c r="DY215" s="2"/>
      <c r="DZ215" s="46">
        <f t="shared" si="58"/>
        <v>0</v>
      </c>
      <c r="EA215" s="46">
        <f t="shared" si="59"/>
        <v>10780</v>
      </c>
      <c r="EB215" s="46">
        <f t="shared" si="60"/>
        <v>0</v>
      </c>
      <c r="EC215" s="46">
        <f t="shared" si="61"/>
        <v>133</v>
      </c>
      <c r="ED215" s="46">
        <f t="shared" si="62"/>
        <v>157</v>
      </c>
      <c r="EE215" s="46">
        <f t="shared" si="63"/>
        <v>89</v>
      </c>
      <c r="EF215" s="46">
        <f t="shared" si="64"/>
        <v>165</v>
      </c>
      <c r="EG215" s="46">
        <f t="shared" si="65"/>
        <v>89</v>
      </c>
      <c r="EH215" s="46">
        <f t="shared" si="68"/>
        <v>0</v>
      </c>
      <c r="EI215" s="46">
        <f t="shared" si="67"/>
        <v>0</v>
      </c>
    </row>
    <row r="216" spans="3:139" ht="12">
      <c r="C216" s="36" t="s">
        <v>391</v>
      </c>
      <c r="D216" s="36" t="s">
        <v>378</v>
      </c>
      <c r="E216" s="36" t="s">
        <v>378</v>
      </c>
      <c r="F216" s="38">
        <f t="shared" si="66"/>
        <v>4521</v>
      </c>
      <c r="G216" s="37" t="s">
        <v>379</v>
      </c>
      <c r="H216" s="47"/>
      <c r="I216" s="48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8"/>
      <c r="U216" s="48"/>
      <c r="V216" s="49"/>
      <c r="W216" s="49"/>
      <c r="X216" s="49"/>
      <c r="Y216" s="49"/>
      <c r="Z216" s="49"/>
      <c r="AA216" s="49"/>
      <c r="AB216" s="49">
        <v>1340</v>
      </c>
      <c r="AC216" s="49">
        <v>740</v>
      </c>
      <c r="AD216" s="49">
        <v>1718</v>
      </c>
      <c r="AE216" s="49">
        <v>300</v>
      </c>
      <c r="AF216" s="48"/>
      <c r="AG216" s="48"/>
      <c r="AH216" s="49"/>
      <c r="AI216" s="49">
        <v>246</v>
      </c>
      <c r="AJ216" s="49"/>
      <c r="AK216" s="49"/>
      <c r="AL216" s="49">
        <v>120</v>
      </c>
      <c r="AM216" s="49"/>
      <c r="AN216" s="49">
        <v>0</v>
      </c>
      <c r="AO216" s="49"/>
      <c r="AP216" s="49"/>
      <c r="AQ216" s="49"/>
      <c r="AR216" s="49">
        <v>0</v>
      </c>
      <c r="AS216" s="49">
        <v>0</v>
      </c>
      <c r="AT216" s="49"/>
      <c r="AU216" s="49">
        <v>0</v>
      </c>
      <c r="AV216" s="49">
        <v>0</v>
      </c>
      <c r="AW216" s="49"/>
      <c r="AX216" s="49">
        <v>0</v>
      </c>
      <c r="AY216" s="49">
        <v>57</v>
      </c>
      <c r="AZ216" s="49">
        <v>0</v>
      </c>
      <c r="BA216" s="49">
        <v>0</v>
      </c>
      <c r="BB216" s="49">
        <v>0</v>
      </c>
      <c r="BC216" s="49">
        <v>0</v>
      </c>
      <c r="BD216" s="49">
        <v>0</v>
      </c>
      <c r="BE216" s="49">
        <v>0</v>
      </c>
      <c r="BF216" s="49"/>
      <c r="BG216" s="49"/>
      <c r="BH216" s="49"/>
      <c r="BI216" s="49">
        <v>0</v>
      </c>
      <c r="BJ216" s="49"/>
      <c r="BK216" s="49"/>
      <c r="BL216" s="49">
        <v>0</v>
      </c>
      <c r="BM216" s="49"/>
      <c r="BN216" s="49">
        <v>0</v>
      </c>
      <c r="BO216" s="49"/>
      <c r="BP216" s="50">
        <v>0</v>
      </c>
      <c r="BQ216" s="50">
        <v>0</v>
      </c>
      <c r="BR216" s="50"/>
      <c r="BS216" s="50">
        <v>0</v>
      </c>
      <c r="BT216" s="50">
        <v>0</v>
      </c>
      <c r="BU216" s="50">
        <v>0</v>
      </c>
      <c r="BV216" s="50"/>
      <c r="BW216" s="50">
        <v>0</v>
      </c>
      <c r="BX216" s="50"/>
      <c r="BY216" s="50"/>
      <c r="BZ216" s="50"/>
      <c r="CA216" s="50">
        <v>0</v>
      </c>
      <c r="CB216" s="50">
        <v>0</v>
      </c>
      <c r="CC216" s="50">
        <v>0</v>
      </c>
      <c r="CD216" s="50">
        <v>0</v>
      </c>
      <c r="CE216" s="50">
        <v>0</v>
      </c>
      <c r="CF216" s="50">
        <v>0</v>
      </c>
      <c r="CG216" s="50"/>
      <c r="CH216" s="50">
        <v>0</v>
      </c>
      <c r="CI216" s="50">
        <v>0</v>
      </c>
      <c r="CJ216" s="50">
        <v>0</v>
      </c>
      <c r="CK216" s="50">
        <v>0</v>
      </c>
      <c r="CL216" s="50">
        <v>0</v>
      </c>
      <c r="CM216" s="50">
        <v>0</v>
      </c>
      <c r="CN216" s="51">
        <v>0</v>
      </c>
      <c r="CO216" s="51">
        <v>0</v>
      </c>
      <c r="CP216" s="51">
        <v>0</v>
      </c>
      <c r="CQ216" s="51">
        <v>0</v>
      </c>
      <c r="CR216" s="51">
        <v>0</v>
      </c>
      <c r="CS216" s="51">
        <v>0</v>
      </c>
      <c r="CT216" s="51">
        <v>0</v>
      </c>
      <c r="CU216" s="51">
        <v>0</v>
      </c>
      <c r="CV216" s="51">
        <v>0</v>
      </c>
      <c r="CW216" s="51">
        <v>0</v>
      </c>
      <c r="CX216" s="51">
        <v>0</v>
      </c>
      <c r="CY216" s="51">
        <v>0</v>
      </c>
      <c r="CZ216" s="51">
        <v>0</v>
      </c>
      <c r="DA216" s="51">
        <v>0</v>
      </c>
      <c r="DB216" s="51">
        <v>0</v>
      </c>
      <c r="DC216" s="51">
        <v>0</v>
      </c>
      <c r="DD216" s="51">
        <v>0</v>
      </c>
      <c r="DE216" s="51">
        <v>0</v>
      </c>
      <c r="DF216" s="52">
        <v>0</v>
      </c>
      <c r="DG216" s="52">
        <v>0</v>
      </c>
      <c r="DH216" s="52">
        <v>0</v>
      </c>
      <c r="DI216" s="52">
        <v>0</v>
      </c>
      <c r="DJ216" s="52">
        <v>0</v>
      </c>
      <c r="DK216" s="52">
        <v>0</v>
      </c>
      <c r="DL216" s="52">
        <v>0</v>
      </c>
      <c r="DM216" s="52">
        <v>0</v>
      </c>
      <c r="DN216" s="52">
        <v>0</v>
      </c>
      <c r="DO216" s="52">
        <v>0</v>
      </c>
      <c r="DP216" s="52">
        <v>0</v>
      </c>
      <c r="DQ216" s="52">
        <v>0</v>
      </c>
      <c r="DR216" s="52">
        <v>0</v>
      </c>
      <c r="DS216" s="53">
        <v>0</v>
      </c>
      <c r="DT216" s="53">
        <v>0</v>
      </c>
      <c r="DU216" s="53">
        <v>0</v>
      </c>
      <c r="DV216" s="53">
        <v>0</v>
      </c>
      <c r="DW216" s="53">
        <v>0</v>
      </c>
      <c r="DX216" s="2"/>
      <c r="DY216" s="2"/>
      <c r="DZ216" s="46">
        <f t="shared" si="58"/>
        <v>0</v>
      </c>
      <c r="EA216" s="46">
        <f t="shared" si="59"/>
        <v>4098</v>
      </c>
      <c r="EB216" s="46">
        <f t="shared" si="60"/>
        <v>366</v>
      </c>
      <c r="EC216" s="46">
        <f t="shared" si="61"/>
        <v>57</v>
      </c>
      <c r="ED216" s="46">
        <f t="shared" si="62"/>
        <v>0</v>
      </c>
      <c r="EE216" s="46">
        <f t="shared" si="63"/>
        <v>0</v>
      </c>
      <c r="EF216" s="46">
        <f t="shared" si="64"/>
        <v>0</v>
      </c>
      <c r="EG216" s="46">
        <f t="shared" si="65"/>
        <v>0</v>
      </c>
      <c r="EH216" s="46">
        <f t="shared" si="68"/>
        <v>0</v>
      </c>
      <c r="EI216" s="46">
        <f t="shared" si="67"/>
        <v>0</v>
      </c>
    </row>
    <row r="217" spans="3:139" ht="12">
      <c r="C217" s="36" t="s">
        <v>392</v>
      </c>
      <c r="D217" s="36" t="s">
        <v>378</v>
      </c>
      <c r="E217" s="36" t="s">
        <v>378</v>
      </c>
      <c r="F217" s="38">
        <f t="shared" si="66"/>
        <v>3280</v>
      </c>
      <c r="G217" s="37" t="s">
        <v>379</v>
      </c>
      <c r="H217" s="47"/>
      <c r="I217" s="48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8"/>
      <c r="U217" s="48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8"/>
      <c r="AG217" s="48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>
        <v>1584</v>
      </c>
      <c r="AT217" s="49">
        <v>1660</v>
      </c>
      <c r="AU217" s="49">
        <v>0</v>
      </c>
      <c r="AV217" s="49">
        <v>0</v>
      </c>
      <c r="AW217" s="49"/>
      <c r="AX217" s="49">
        <v>0</v>
      </c>
      <c r="AY217" s="49"/>
      <c r="AZ217" s="49">
        <v>0</v>
      </c>
      <c r="BA217" s="49">
        <v>0</v>
      </c>
      <c r="BB217" s="49">
        <v>0</v>
      </c>
      <c r="BC217" s="49">
        <v>0</v>
      </c>
      <c r="BD217" s="49">
        <v>10</v>
      </c>
      <c r="BE217" s="49">
        <v>0</v>
      </c>
      <c r="BF217" s="49"/>
      <c r="BG217" s="49"/>
      <c r="BH217" s="49"/>
      <c r="BI217" s="49">
        <v>17</v>
      </c>
      <c r="BJ217" s="49"/>
      <c r="BK217" s="49"/>
      <c r="BL217" s="49">
        <v>0</v>
      </c>
      <c r="BM217" s="49"/>
      <c r="BN217" s="49">
        <v>0</v>
      </c>
      <c r="BO217" s="49"/>
      <c r="BP217" s="50">
        <v>0</v>
      </c>
      <c r="BQ217" s="50">
        <v>0</v>
      </c>
      <c r="BR217" s="50"/>
      <c r="BS217" s="50">
        <v>0</v>
      </c>
      <c r="BT217" s="50">
        <v>0</v>
      </c>
      <c r="BU217" s="50">
        <v>0</v>
      </c>
      <c r="BV217" s="50"/>
      <c r="BW217" s="50">
        <v>0</v>
      </c>
      <c r="BX217" s="50"/>
      <c r="BY217" s="50"/>
      <c r="BZ217" s="50">
        <v>9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/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1">
        <v>0</v>
      </c>
      <c r="CO217" s="51">
        <v>0</v>
      </c>
      <c r="CP217" s="51">
        <v>0</v>
      </c>
      <c r="CQ217" s="51">
        <v>0</v>
      </c>
      <c r="CR217" s="51">
        <v>0</v>
      </c>
      <c r="CS217" s="51">
        <v>0</v>
      </c>
      <c r="CT217" s="51">
        <v>0</v>
      </c>
      <c r="CU217" s="51">
        <v>0</v>
      </c>
      <c r="CV217" s="51">
        <v>0</v>
      </c>
      <c r="CW217" s="51">
        <v>0</v>
      </c>
      <c r="CX217" s="51">
        <v>0</v>
      </c>
      <c r="CY217" s="51">
        <v>0</v>
      </c>
      <c r="CZ217" s="51">
        <v>0</v>
      </c>
      <c r="DA217" s="51">
        <v>0</v>
      </c>
      <c r="DB217" s="51">
        <v>0</v>
      </c>
      <c r="DC217" s="51">
        <v>0</v>
      </c>
      <c r="DD217" s="51">
        <v>0</v>
      </c>
      <c r="DE217" s="51">
        <v>0</v>
      </c>
      <c r="DF217" s="52">
        <v>0</v>
      </c>
      <c r="DG217" s="52">
        <v>0</v>
      </c>
      <c r="DH217" s="52">
        <v>0</v>
      </c>
      <c r="DI217" s="52">
        <v>0</v>
      </c>
      <c r="DJ217" s="52">
        <v>0</v>
      </c>
      <c r="DK217" s="52">
        <v>0</v>
      </c>
      <c r="DL217" s="52">
        <v>0</v>
      </c>
      <c r="DM217" s="52">
        <v>0</v>
      </c>
      <c r="DN217" s="52">
        <v>0</v>
      </c>
      <c r="DO217" s="52">
        <v>0</v>
      </c>
      <c r="DP217" s="52">
        <v>0</v>
      </c>
      <c r="DQ217" s="52">
        <v>0</v>
      </c>
      <c r="DR217" s="52">
        <v>0</v>
      </c>
      <c r="DS217" s="53">
        <v>0</v>
      </c>
      <c r="DT217" s="53">
        <v>0</v>
      </c>
      <c r="DU217" s="53">
        <v>0</v>
      </c>
      <c r="DV217" s="53">
        <v>0</v>
      </c>
      <c r="DW217" s="53">
        <v>0</v>
      </c>
      <c r="DX217" s="2"/>
      <c r="DY217" s="2"/>
      <c r="DZ217" s="46">
        <f t="shared" si="58"/>
        <v>0</v>
      </c>
      <c r="EA217" s="46">
        <f t="shared" si="59"/>
        <v>0</v>
      </c>
      <c r="EB217" s="46">
        <f t="shared" si="60"/>
        <v>0</v>
      </c>
      <c r="EC217" s="46">
        <f t="shared" si="61"/>
        <v>3244</v>
      </c>
      <c r="ED217" s="46">
        <f t="shared" si="62"/>
        <v>27</v>
      </c>
      <c r="EE217" s="46">
        <f t="shared" si="63"/>
        <v>9</v>
      </c>
      <c r="EF217" s="46">
        <f t="shared" si="64"/>
        <v>0</v>
      </c>
      <c r="EG217" s="46">
        <f t="shared" si="65"/>
        <v>0</v>
      </c>
      <c r="EH217" s="46">
        <f t="shared" si="68"/>
        <v>0</v>
      </c>
      <c r="EI217" s="46">
        <f t="shared" si="67"/>
        <v>0</v>
      </c>
    </row>
    <row r="218" spans="3:139" ht="12">
      <c r="C218" s="36" t="s">
        <v>393</v>
      </c>
      <c r="D218" s="36" t="s">
        <v>394</v>
      </c>
      <c r="E218" s="36" t="s">
        <v>394</v>
      </c>
      <c r="F218" s="38">
        <f t="shared" si="66"/>
        <v>8009</v>
      </c>
      <c r="G218" s="37" t="s">
        <v>395</v>
      </c>
      <c r="H218" s="47">
        <v>0</v>
      </c>
      <c r="I218" s="48">
        <v>0</v>
      </c>
      <c r="J218" s="49">
        <v>980</v>
      </c>
      <c r="K218" s="49">
        <v>578</v>
      </c>
      <c r="L218" s="49">
        <v>183</v>
      </c>
      <c r="M218" s="49">
        <v>613</v>
      </c>
      <c r="N218" s="49">
        <v>457</v>
      </c>
      <c r="O218" s="49">
        <v>224</v>
      </c>
      <c r="P218" s="49">
        <v>634</v>
      </c>
      <c r="Q218" s="49">
        <v>542</v>
      </c>
      <c r="R218" s="49">
        <v>1271</v>
      </c>
      <c r="S218" s="49">
        <v>0</v>
      </c>
      <c r="T218" s="48">
        <v>0</v>
      </c>
      <c r="U218" s="48">
        <v>0</v>
      </c>
      <c r="V218" s="49">
        <v>517</v>
      </c>
      <c r="W218" s="49">
        <v>0</v>
      </c>
      <c r="X218" s="49">
        <v>240</v>
      </c>
      <c r="Y218" s="49">
        <v>300</v>
      </c>
      <c r="Z218" s="49">
        <v>500</v>
      </c>
      <c r="AA218" s="49">
        <v>0</v>
      </c>
      <c r="AB218" s="49">
        <v>40</v>
      </c>
      <c r="AC218" s="49">
        <v>280</v>
      </c>
      <c r="AD218" s="49">
        <v>200</v>
      </c>
      <c r="AE218" s="49">
        <v>0</v>
      </c>
      <c r="AF218" s="48">
        <v>100</v>
      </c>
      <c r="AG218" s="48"/>
      <c r="AH218" s="49"/>
      <c r="AI218" s="49">
        <v>20</v>
      </c>
      <c r="AJ218" s="49">
        <v>99</v>
      </c>
      <c r="AK218" s="49"/>
      <c r="AL218" s="49">
        <v>0</v>
      </c>
      <c r="AM218" s="49"/>
      <c r="AN218" s="49">
        <v>0</v>
      </c>
      <c r="AO218" s="49"/>
      <c r="AP218" s="49"/>
      <c r="AQ218" s="49"/>
      <c r="AR218" s="49">
        <v>0</v>
      </c>
      <c r="AS218" s="49">
        <v>0</v>
      </c>
      <c r="AT218" s="49"/>
      <c r="AU218" s="49">
        <v>0</v>
      </c>
      <c r="AV218" s="49">
        <v>0</v>
      </c>
      <c r="AW218" s="49"/>
      <c r="AX218" s="49">
        <v>0</v>
      </c>
      <c r="AY218" s="49"/>
      <c r="AZ218" s="49">
        <v>0</v>
      </c>
      <c r="BA218" s="49">
        <v>0</v>
      </c>
      <c r="BB218" s="49">
        <v>0</v>
      </c>
      <c r="BC218" s="49">
        <v>0</v>
      </c>
      <c r="BD218" s="49">
        <v>0</v>
      </c>
      <c r="BE218" s="49">
        <v>0</v>
      </c>
      <c r="BF218" s="49"/>
      <c r="BG218" s="49"/>
      <c r="BH218" s="49">
        <v>50</v>
      </c>
      <c r="BI218" s="49">
        <v>0</v>
      </c>
      <c r="BJ218" s="49"/>
      <c r="BK218" s="49"/>
      <c r="BL218" s="49">
        <v>0</v>
      </c>
      <c r="BM218" s="49"/>
      <c r="BN218" s="49">
        <v>58</v>
      </c>
      <c r="BO218" s="49"/>
      <c r="BP218" s="50">
        <v>0</v>
      </c>
      <c r="BQ218" s="50">
        <v>0</v>
      </c>
      <c r="BR218" s="50">
        <v>2</v>
      </c>
      <c r="BS218" s="50">
        <v>1</v>
      </c>
      <c r="BT218" s="50">
        <v>19</v>
      </c>
      <c r="BU218" s="50">
        <v>0</v>
      </c>
      <c r="BV218" s="50"/>
      <c r="BW218" s="50">
        <v>0</v>
      </c>
      <c r="BX218" s="50"/>
      <c r="BY218" s="50"/>
      <c r="BZ218" s="50"/>
      <c r="CA218" s="50">
        <v>0</v>
      </c>
      <c r="CB218" s="50">
        <v>0</v>
      </c>
      <c r="CC218" s="50">
        <v>0</v>
      </c>
      <c r="CD218" s="50">
        <v>0</v>
      </c>
      <c r="CE218" s="50">
        <v>0</v>
      </c>
      <c r="CF218" s="50">
        <v>0</v>
      </c>
      <c r="CG218" s="50"/>
      <c r="CH218" s="50">
        <v>10</v>
      </c>
      <c r="CI218" s="50">
        <v>0</v>
      </c>
      <c r="CJ218" s="50">
        <v>0</v>
      </c>
      <c r="CK218" s="50">
        <v>2</v>
      </c>
      <c r="CL218" s="50">
        <v>5</v>
      </c>
      <c r="CM218" s="50">
        <v>0</v>
      </c>
      <c r="CN218" s="51">
        <v>0</v>
      </c>
      <c r="CO218" s="51">
        <v>0</v>
      </c>
      <c r="CP218" s="51">
        <v>24</v>
      </c>
      <c r="CQ218" s="51">
        <v>0</v>
      </c>
      <c r="CR218" s="51">
        <v>0</v>
      </c>
      <c r="CS218" s="51">
        <v>0</v>
      </c>
      <c r="CT218" s="51">
        <v>0</v>
      </c>
      <c r="CU218" s="51">
        <v>0</v>
      </c>
      <c r="CV218" s="51">
        <v>0</v>
      </c>
      <c r="CW218" s="51">
        <v>0</v>
      </c>
      <c r="CX218" s="51">
        <v>22</v>
      </c>
      <c r="CY218" s="51">
        <v>0</v>
      </c>
      <c r="CZ218" s="51">
        <v>0</v>
      </c>
      <c r="DA218" s="51">
        <v>19</v>
      </c>
      <c r="DB218" s="51">
        <v>1</v>
      </c>
      <c r="DC218" s="51">
        <v>0</v>
      </c>
      <c r="DD218" s="51">
        <v>0</v>
      </c>
      <c r="DE218" s="51">
        <v>0</v>
      </c>
      <c r="DF218" s="52">
        <v>0</v>
      </c>
      <c r="DG218" s="52">
        <v>0</v>
      </c>
      <c r="DH218" s="52">
        <v>0</v>
      </c>
      <c r="DI218" s="52">
        <v>0</v>
      </c>
      <c r="DJ218" s="52">
        <v>0</v>
      </c>
      <c r="DK218" s="52">
        <v>18</v>
      </c>
      <c r="DL218" s="52">
        <v>0</v>
      </c>
      <c r="DM218" s="52">
        <v>0</v>
      </c>
      <c r="DN218" s="52">
        <v>0</v>
      </c>
      <c r="DO218" s="52">
        <v>0</v>
      </c>
      <c r="DP218" s="52">
        <v>0</v>
      </c>
      <c r="DQ218" s="52">
        <v>0</v>
      </c>
      <c r="DR218" s="52">
        <v>0</v>
      </c>
      <c r="DS218" s="53">
        <v>0</v>
      </c>
      <c r="DT218" s="53">
        <v>0</v>
      </c>
      <c r="DU218" s="53">
        <v>0</v>
      </c>
      <c r="DV218" s="53">
        <v>0</v>
      </c>
      <c r="DW218" s="53">
        <v>0</v>
      </c>
      <c r="DX218" s="2"/>
      <c r="DY218" s="2"/>
      <c r="DZ218" s="46">
        <f t="shared" si="58"/>
        <v>5482</v>
      </c>
      <c r="EA218" s="46">
        <f t="shared" si="59"/>
        <v>2077</v>
      </c>
      <c r="EB218" s="46">
        <f t="shared" si="60"/>
        <v>219</v>
      </c>
      <c r="EC218" s="46">
        <f t="shared" si="61"/>
        <v>0</v>
      </c>
      <c r="ED218" s="46">
        <f t="shared" si="62"/>
        <v>108</v>
      </c>
      <c r="EE218" s="46">
        <f t="shared" si="63"/>
        <v>22</v>
      </c>
      <c r="EF218" s="46">
        <f t="shared" si="64"/>
        <v>17</v>
      </c>
      <c r="EG218" s="46">
        <f t="shared" si="65"/>
        <v>46</v>
      </c>
      <c r="EH218" s="46">
        <f t="shared" si="68"/>
        <v>20</v>
      </c>
      <c r="EI218" s="46">
        <f t="shared" si="67"/>
        <v>0</v>
      </c>
    </row>
    <row r="219" spans="3:139" ht="12">
      <c r="C219" s="36" t="s">
        <v>396</v>
      </c>
      <c r="D219" s="36" t="s">
        <v>394</v>
      </c>
      <c r="E219" s="36" t="s">
        <v>394</v>
      </c>
      <c r="F219" s="38">
        <f t="shared" si="66"/>
        <v>33342</v>
      </c>
      <c r="G219" s="37" t="s">
        <v>395</v>
      </c>
      <c r="H219" s="47">
        <v>0</v>
      </c>
      <c r="I219" s="48">
        <v>0</v>
      </c>
      <c r="J219" s="49">
        <v>360</v>
      </c>
      <c r="K219" s="49">
        <v>200</v>
      </c>
      <c r="L219" s="49">
        <v>0</v>
      </c>
      <c r="M219" s="49">
        <v>0</v>
      </c>
      <c r="N219" s="49">
        <v>0</v>
      </c>
      <c r="O219" s="49">
        <v>0</v>
      </c>
      <c r="P219" s="49">
        <v>2765</v>
      </c>
      <c r="Q219" s="49">
        <v>2931</v>
      </c>
      <c r="R219" s="49">
        <v>1718</v>
      </c>
      <c r="S219" s="49">
        <v>875</v>
      </c>
      <c r="T219" s="48">
        <v>1479</v>
      </c>
      <c r="U219" s="48">
        <v>1479</v>
      </c>
      <c r="V219" s="49">
        <v>1096</v>
      </c>
      <c r="W219" s="49">
        <v>3231</v>
      </c>
      <c r="X219" s="49">
        <v>1940</v>
      </c>
      <c r="Y219" s="49">
        <v>3000</v>
      </c>
      <c r="Z219" s="49">
        <v>1540</v>
      </c>
      <c r="AA219" s="49">
        <v>1380</v>
      </c>
      <c r="AB219" s="49">
        <v>1599</v>
      </c>
      <c r="AC219" s="49">
        <v>2100</v>
      </c>
      <c r="AD219" s="49">
        <v>654</v>
      </c>
      <c r="AE219" s="49">
        <v>1540</v>
      </c>
      <c r="AF219" s="48">
        <v>700</v>
      </c>
      <c r="AG219" s="48">
        <v>800</v>
      </c>
      <c r="AH219" s="49"/>
      <c r="AI219" s="49">
        <v>445</v>
      </c>
      <c r="AJ219" s="49">
        <v>400</v>
      </c>
      <c r="AK219" s="49"/>
      <c r="AL219" s="49">
        <v>0</v>
      </c>
      <c r="AM219" s="49"/>
      <c r="AN219" s="49">
        <v>0</v>
      </c>
      <c r="AO219" s="49">
        <v>100</v>
      </c>
      <c r="AP219" s="49"/>
      <c r="AQ219" s="49"/>
      <c r="AR219" s="49">
        <v>0</v>
      </c>
      <c r="AS219" s="49">
        <v>0</v>
      </c>
      <c r="AT219" s="49"/>
      <c r="AU219" s="49">
        <v>0</v>
      </c>
      <c r="AV219" s="49">
        <v>0</v>
      </c>
      <c r="AW219" s="49"/>
      <c r="AX219" s="49">
        <v>0</v>
      </c>
      <c r="AY219" s="49"/>
      <c r="AZ219" s="49">
        <v>44</v>
      </c>
      <c r="BA219" s="49">
        <v>0</v>
      </c>
      <c r="BB219" s="49">
        <v>0</v>
      </c>
      <c r="BC219" s="49">
        <v>0</v>
      </c>
      <c r="BD219" s="49">
        <v>0</v>
      </c>
      <c r="BE219" s="49">
        <v>0</v>
      </c>
      <c r="BF219" s="49"/>
      <c r="BG219" s="49">
        <v>60</v>
      </c>
      <c r="BH219" s="49"/>
      <c r="BI219" s="49">
        <v>98</v>
      </c>
      <c r="BJ219" s="49"/>
      <c r="BK219" s="49"/>
      <c r="BL219" s="49">
        <v>45</v>
      </c>
      <c r="BM219" s="49">
        <v>144</v>
      </c>
      <c r="BN219" s="49">
        <v>0</v>
      </c>
      <c r="BO219" s="49"/>
      <c r="BP219" s="50">
        <v>0</v>
      </c>
      <c r="BQ219" s="50">
        <v>0</v>
      </c>
      <c r="BR219" s="50">
        <v>9</v>
      </c>
      <c r="BS219" s="50">
        <v>15</v>
      </c>
      <c r="BT219" s="50">
        <v>82</v>
      </c>
      <c r="BU219" s="50">
        <v>0</v>
      </c>
      <c r="BV219" s="50">
        <v>20</v>
      </c>
      <c r="BW219" s="50">
        <v>0</v>
      </c>
      <c r="BX219" s="50"/>
      <c r="BY219" s="50"/>
      <c r="BZ219" s="50">
        <v>59</v>
      </c>
      <c r="CA219" s="50">
        <v>98</v>
      </c>
      <c r="CB219" s="50">
        <v>36</v>
      </c>
      <c r="CC219" s="50">
        <v>0</v>
      </c>
      <c r="CD219" s="50">
        <v>0</v>
      </c>
      <c r="CE219" s="50">
        <v>0</v>
      </c>
      <c r="CF219" s="50">
        <v>26</v>
      </c>
      <c r="CG219" s="50"/>
      <c r="CH219" s="50">
        <v>59</v>
      </c>
      <c r="CI219" s="50">
        <v>0</v>
      </c>
      <c r="CJ219" s="50">
        <v>40</v>
      </c>
      <c r="CK219" s="50">
        <v>7</v>
      </c>
      <c r="CL219" s="50">
        <v>70</v>
      </c>
      <c r="CM219" s="50">
        <v>0</v>
      </c>
      <c r="CN219" s="51">
        <v>50</v>
      </c>
      <c r="CO219" s="51">
        <v>0</v>
      </c>
      <c r="CP219" s="51">
        <v>0</v>
      </c>
      <c r="CQ219" s="51">
        <v>0</v>
      </c>
      <c r="CR219" s="51">
        <v>0</v>
      </c>
      <c r="CS219" s="51">
        <v>0</v>
      </c>
      <c r="CT219" s="51">
        <v>36</v>
      </c>
      <c r="CU219" s="51">
        <v>0</v>
      </c>
      <c r="CV219" s="51">
        <v>0</v>
      </c>
      <c r="CW219" s="51">
        <v>0</v>
      </c>
      <c r="CX219" s="51">
        <v>0</v>
      </c>
      <c r="CY219" s="51">
        <v>0</v>
      </c>
      <c r="CZ219" s="51">
        <v>0</v>
      </c>
      <c r="DA219" s="51">
        <v>0</v>
      </c>
      <c r="DB219" s="51">
        <v>12</v>
      </c>
      <c r="DC219" s="51">
        <v>0</v>
      </c>
      <c r="DD219" s="51">
        <v>0</v>
      </c>
      <c r="DE219" s="51">
        <v>0</v>
      </c>
      <c r="DF219" s="52">
        <v>0</v>
      </c>
      <c r="DG219" s="52">
        <v>0</v>
      </c>
      <c r="DH219" s="52">
        <v>0</v>
      </c>
      <c r="DI219" s="52">
        <v>0</v>
      </c>
      <c r="DJ219" s="52">
        <v>0</v>
      </c>
      <c r="DK219" s="52">
        <v>0</v>
      </c>
      <c r="DL219" s="52">
        <v>0</v>
      </c>
      <c r="DM219" s="52">
        <v>0</v>
      </c>
      <c r="DN219" s="52">
        <v>0</v>
      </c>
      <c r="DO219" s="52">
        <v>0</v>
      </c>
      <c r="DP219" s="52">
        <v>0</v>
      </c>
      <c r="DQ219" s="52">
        <v>0</v>
      </c>
      <c r="DR219" s="52">
        <v>0</v>
      </c>
      <c r="DS219" s="53">
        <v>0</v>
      </c>
      <c r="DT219" s="53">
        <v>0</v>
      </c>
      <c r="DU219" s="53">
        <v>0</v>
      </c>
      <c r="DV219" s="53">
        <v>0</v>
      </c>
      <c r="DW219" s="53">
        <v>0</v>
      </c>
      <c r="DX219" s="2"/>
      <c r="DY219" s="2"/>
      <c r="DZ219" s="46">
        <f t="shared" si="58"/>
        <v>8849</v>
      </c>
      <c r="EA219" s="46">
        <f t="shared" si="59"/>
        <v>21038</v>
      </c>
      <c r="EB219" s="46">
        <f t="shared" si="60"/>
        <v>2445</v>
      </c>
      <c r="EC219" s="46">
        <f t="shared" si="61"/>
        <v>44</v>
      </c>
      <c r="ED219" s="46">
        <f t="shared" si="62"/>
        <v>347</v>
      </c>
      <c r="EE219" s="46">
        <f t="shared" si="63"/>
        <v>283</v>
      </c>
      <c r="EF219" s="46">
        <f t="shared" si="64"/>
        <v>238</v>
      </c>
      <c r="EG219" s="46">
        <f t="shared" si="65"/>
        <v>86</v>
      </c>
      <c r="EH219" s="46">
        <f t="shared" si="68"/>
        <v>12</v>
      </c>
      <c r="EI219" s="46">
        <f t="shared" si="67"/>
        <v>0</v>
      </c>
    </row>
    <row r="220" spans="3:139" ht="12">
      <c r="C220" s="36" t="s">
        <v>397</v>
      </c>
      <c r="D220" s="36" t="s">
        <v>394</v>
      </c>
      <c r="E220" s="36" t="s">
        <v>394</v>
      </c>
      <c r="F220" s="38">
        <f t="shared" si="66"/>
        <v>200</v>
      </c>
      <c r="G220" s="37" t="s">
        <v>395</v>
      </c>
      <c r="H220" s="47"/>
      <c r="I220" s="48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8"/>
      <c r="U220" s="48"/>
      <c r="V220" s="49"/>
      <c r="W220" s="49"/>
      <c r="X220" s="49">
        <v>200</v>
      </c>
      <c r="Y220" s="49">
        <v>0</v>
      </c>
      <c r="Z220" s="49">
        <v>0</v>
      </c>
      <c r="AA220" s="49">
        <v>0</v>
      </c>
      <c r="AB220" s="49">
        <v>0</v>
      </c>
      <c r="AC220" s="49">
        <v>0</v>
      </c>
      <c r="AD220" s="49">
        <v>0</v>
      </c>
      <c r="AE220" s="49">
        <v>0</v>
      </c>
      <c r="AF220" s="48"/>
      <c r="AG220" s="48"/>
      <c r="AH220" s="49"/>
      <c r="AI220" s="49"/>
      <c r="AJ220" s="49"/>
      <c r="AK220" s="49"/>
      <c r="AL220" s="49">
        <v>0</v>
      </c>
      <c r="AM220" s="49"/>
      <c r="AN220" s="49">
        <v>0</v>
      </c>
      <c r="AO220" s="49"/>
      <c r="AP220" s="49"/>
      <c r="AQ220" s="49"/>
      <c r="AR220" s="49">
        <v>0</v>
      </c>
      <c r="AS220" s="49">
        <v>0</v>
      </c>
      <c r="AT220" s="49"/>
      <c r="AU220" s="49">
        <v>0</v>
      </c>
      <c r="AV220" s="49">
        <v>0</v>
      </c>
      <c r="AW220" s="49"/>
      <c r="AX220" s="49">
        <v>0</v>
      </c>
      <c r="AY220" s="49"/>
      <c r="AZ220" s="49">
        <v>0</v>
      </c>
      <c r="BA220" s="49">
        <v>0</v>
      </c>
      <c r="BB220" s="49">
        <v>0</v>
      </c>
      <c r="BC220" s="49">
        <v>0</v>
      </c>
      <c r="BD220" s="49">
        <v>0</v>
      </c>
      <c r="BE220" s="49">
        <v>0</v>
      </c>
      <c r="BF220" s="49"/>
      <c r="BG220" s="49"/>
      <c r="BH220" s="49"/>
      <c r="BI220" s="49">
        <v>0</v>
      </c>
      <c r="BJ220" s="49"/>
      <c r="BK220" s="49"/>
      <c r="BL220" s="49">
        <v>0</v>
      </c>
      <c r="BM220" s="49"/>
      <c r="BN220" s="49">
        <v>0</v>
      </c>
      <c r="BO220" s="49"/>
      <c r="BP220" s="50">
        <v>0</v>
      </c>
      <c r="BQ220" s="50">
        <v>0</v>
      </c>
      <c r="BR220" s="50"/>
      <c r="BS220" s="50">
        <v>0</v>
      </c>
      <c r="BT220" s="50">
        <v>0</v>
      </c>
      <c r="BU220" s="50">
        <v>0</v>
      </c>
      <c r="BV220" s="50"/>
      <c r="BW220" s="50">
        <v>0</v>
      </c>
      <c r="BX220" s="50"/>
      <c r="BY220" s="50"/>
      <c r="BZ220" s="50"/>
      <c r="CA220" s="50">
        <v>0</v>
      </c>
      <c r="CB220" s="50">
        <v>0</v>
      </c>
      <c r="CC220" s="50">
        <v>0</v>
      </c>
      <c r="CD220" s="50">
        <v>0</v>
      </c>
      <c r="CE220" s="50">
        <v>0</v>
      </c>
      <c r="CF220" s="50">
        <v>0</v>
      </c>
      <c r="CG220" s="50"/>
      <c r="CH220" s="50">
        <v>0</v>
      </c>
      <c r="CI220" s="50">
        <v>0</v>
      </c>
      <c r="CJ220" s="50">
        <v>0</v>
      </c>
      <c r="CK220" s="50">
        <v>0</v>
      </c>
      <c r="CL220" s="50">
        <v>0</v>
      </c>
      <c r="CM220" s="50">
        <v>0</v>
      </c>
      <c r="CN220" s="51">
        <v>0</v>
      </c>
      <c r="CO220" s="51">
        <v>0</v>
      </c>
      <c r="CP220" s="51">
        <v>0</v>
      </c>
      <c r="CQ220" s="51">
        <v>0</v>
      </c>
      <c r="CR220" s="51">
        <v>0</v>
      </c>
      <c r="CS220" s="51">
        <v>0</v>
      </c>
      <c r="CT220" s="51">
        <v>0</v>
      </c>
      <c r="CU220" s="51">
        <v>0</v>
      </c>
      <c r="CV220" s="51">
        <v>0</v>
      </c>
      <c r="CW220" s="51">
        <v>0</v>
      </c>
      <c r="CX220" s="51">
        <v>0</v>
      </c>
      <c r="CY220" s="51">
        <v>0</v>
      </c>
      <c r="CZ220" s="51">
        <v>0</v>
      </c>
      <c r="DA220" s="51">
        <v>0</v>
      </c>
      <c r="DB220" s="51">
        <v>0</v>
      </c>
      <c r="DC220" s="51">
        <v>0</v>
      </c>
      <c r="DD220" s="51">
        <v>0</v>
      </c>
      <c r="DE220" s="51">
        <v>0</v>
      </c>
      <c r="DF220" s="52">
        <v>0</v>
      </c>
      <c r="DG220" s="52">
        <v>0</v>
      </c>
      <c r="DH220" s="52">
        <v>0</v>
      </c>
      <c r="DI220" s="52">
        <v>0</v>
      </c>
      <c r="DJ220" s="52">
        <v>0</v>
      </c>
      <c r="DK220" s="52">
        <v>0</v>
      </c>
      <c r="DL220" s="52">
        <v>0</v>
      </c>
      <c r="DM220" s="52">
        <v>0</v>
      </c>
      <c r="DN220" s="52">
        <v>0</v>
      </c>
      <c r="DO220" s="52">
        <v>0</v>
      </c>
      <c r="DP220" s="52">
        <v>0</v>
      </c>
      <c r="DQ220" s="52">
        <v>0</v>
      </c>
      <c r="DR220" s="52">
        <v>0</v>
      </c>
      <c r="DS220" s="53">
        <v>0</v>
      </c>
      <c r="DT220" s="53">
        <v>0</v>
      </c>
      <c r="DU220" s="53">
        <v>0</v>
      </c>
      <c r="DV220" s="53">
        <v>0</v>
      </c>
      <c r="DW220" s="53">
        <v>0</v>
      </c>
      <c r="DX220" s="2"/>
      <c r="DY220" s="2"/>
      <c r="DZ220" s="46">
        <f t="shared" si="58"/>
        <v>0</v>
      </c>
      <c r="EA220" s="46">
        <f t="shared" si="59"/>
        <v>200</v>
      </c>
      <c r="EB220" s="46">
        <f t="shared" si="60"/>
        <v>0</v>
      </c>
      <c r="EC220" s="46">
        <f t="shared" si="61"/>
        <v>0</v>
      </c>
      <c r="ED220" s="46">
        <f t="shared" si="62"/>
        <v>0</v>
      </c>
      <c r="EE220" s="46">
        <f t="shared" si="63"/>
        <v>0</v>
      </c>
      <c r="EF220" s="46">
        <f t="shared" si="64"/>
        <v>0</v>
      </c>
      <c r="EG220" s="46">
        <f t="shared" si="65"/>
        <v>0</v>
      </c>
      <c r="EH220" s="46">
        <f t="shared" si="68"/>
        <v>0</v>
      </c>
      <c r="EI220" s="46">
        <f t="shared" si="67"/>
        <v>0</v>
      </c>
    </row>
    <row r="221" spans="3:139" ht="12">
      <c r="C221" s="36" t="s">
        <v>398</v>
      </c>
      <c r="D221" s="36" t="s">
        <v>394</v>
      </c>
      <c r="E221" s="36" t="s">
        <v>394</v>
      </c>
      <c r="F221" s="38">
        <f t="shared" si="66"/>
        <v>2487</v>
      </c>
      <c r="G221" s="37" t="s">
        <v>395</v>
      </c>
      <c r="H221" s="47"/>
      <c r="I221" s="48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8"/>
      <c r="U221" s="48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8"/>
      <c r="AG221" s="48"/>
      <c r="AH221" s="49"/>
      <c r="AI221" s="49"/>
      <c r="AJ221" s="49">
        <v>2212</v>
      </c>
      <c r="AK221" s="49"/>
      <c r="AL221" s="49">
        <v>0</v>
      </c>
      <c r="AM221" s="49"/>
      <c r="AN221" s="49">
        <v>0</v>
      </c>
      <c r="AO221" s="49"/>
      <c r="AP221" s="49"/>
      <c r="AQ221" s="49">
        <v>275</v>
      </c>
      <c r="AR221" s="49">
        <v>0</v>
      </c>
      <c r="AS221" s="49">
        <v>0</v>
      </c>
      <c r="AT221" s="49"/>
      <c r="AU221" s="49">
        <v>0</v>
      </c>
      <c r="AV221" s="49">
        <v>0</v>
      </c>
      <c r="AW221" s="49"/>
      <c r="AX221" s="49">
        <v>0</v>
      </c>
      <c r="AY221" s="49"/>
      <c r="AZ221" s="49">
        <v>0</v>
      </c>
      <c r="BA221" s="49">
        <v>0</v>
      </c>
      <c r="BB221" s="49">
        <v>0</v>
      </c>
      <c r="BC221" s="49">
        <v>0</v>
      </c>
      <c r="BD221" s="49">
        <v>0</v>
      </c>
      <c r="BE221" s="49">
        <v>0</v>
      </c>
      <c r="BF221" s="49"/>
      <c r="BG221" s="49"/>
      <c r="BH221" s="49"/>
      <c r="BI221" s="49">
        <v>0</v>
      </c>
      <c r="BJ221" s="49"/>
      <c r="BK221" s="49"/>
      <c r="BL221" s="49">
        <v>0</v>
      </c>
      <c r="BM221" s="49"/>
      <c r="BN221" s="49">
        <v>0</v>
      </c>
      <c r="BO221" s="49"/>
      <c r="BP221" s="50">
        <v>0</v>
      </c>
      <c r="BQ221" s="50">
        <v>0</v>
      </c>
      <c r="BR221" s="50"/>
      <c r="BS221" s="50">
        <v>0</v>
      </c>
      <c r="BT221" s="50">
        <v>0</v>
      </c>
      <c r="BU221" s="50">
        <v>0</v>
      </c>
      <c r="BV221" s="50"/>
      <c r="BW221" s="50">
        <v>0</v>
      </c>
      <c r="BX221" s="50"/>
      <c r="BY221" s="50"/>
      <c r="BZ221" s="50"/>
      <c r="CA221" s="50">
        <v>0</v>
      </c>
      <c r="CB221" s="50">
        <v>0</v>
      </c>
      <c r="CC221" s="50">
        <v>0</v>
      </c>
      <c r="CD221" s="50">
        <v>0</v>
      </c>
      <c r="CE221" s="50">
        <v>0</v>
      </c>
      <c r="CF221" s="50">
        <v>0</v>
      </c>
      <c r="CG221" s="50"/>
      <c r="CH221" s="50">
        <v>0</v>
      </c>
      <c r="CI221" s="50">
        <v>0</v>
      </c>
      <c r="CJ221" s="50">
        <v>0</v>
      </c>
      <c r="CK221" s="50">
        <v>0</v>
      </c>
      <c r="CL221" s="50">
        <v>0</v>
      </c>
      <c r="CM221" s="50">
        <v>0</v>
      </c>
      <c r="CN221" s="51">
        <v>0</v>
      </c>
      <c r="CO221" s="51">
        <v>0</v>
      </c>
      <c r="CP221" s="51">
        <v>0</v>
      </c>
      <c r="CQ221" s="51">
        <v>0</v>
      </c>
      <c r="CR221" s="51">
        <v>0</v>
      </c>
      <c r="CS221" s="51">
        <v>0</v>
      </c>
      <c r="CT221" s="51">
        <v>0</v>
      </c>
      <c r="CU221" s="51">
        <v>0</v>
      </c>
      <c r="CV221" s="51">
        <v>0</v>
      </c>
      <c r="CW221" s="51">
        <v>0</v>
      </c>
      <c r="CX221" s="51">
        <v>0</v>
      </c>
      <c r="CY221" s="51">
        <v>0</v>
      </c>
      <c r="CZ221" s="51">
        <v>0</v>
      </c>
      <c r="DA221" s="51">
        <v>0</v>
      </c>
      <c r="DB221" s="51">
        <v>0</v>
      </c>
      <c r="DC221" s="51">
        <v>0</v>
      </c>
      <c r="DD221" s="51">
        <v>0</v>
      </c>
      <c r="DE221" s="51">
        <v>0</v>
      </c>
      <c r="DF221" s="52">
        <v>0</v>
      </c>
      <c r="DG221" s="52">
        <v>0</v>
      </c>
      <c r="DH221" s="52">
        <v>0</v>
      </c>
      <c r="DI221" s="52">
        <v>0</v>
      </c>
      <c r="DJ221" s="52">
        <v>0</v>
      </c>
      <c r="DK221" s="52">
        <v>0</v>
      </c>
      <c r="DL221" s="52">
        <v>0</v>
      </c>
      <c r="DM221" s="52">
        <v>0</v>
      </c>
      <c r="DN221" s="52">
        <v>0</v>
      </c>
      <c r="DO221" s="52">
        <v>0</v>
      </c>
      <c r="DP221" s="52">
        <v>0</v>
      </c>
      <c r="DQ221" s="52">
        <v>0</v>
      </c>
      <c r="DR221" s="52">
        <v>0</v>
      </c>
      <c r="DS221" s="53">
        <v>0</v>
      </c>
      <c r="DT221" s="53">
        <v>0</v>
      </c>
      <c r="DU221" s="53">
        <v>0</v>
      </c>
      <c r="DV221" s="53">
        <v>0</v>
      </c>
      <c r="DW221" s="53">
        <v>0</v>
      </c>
      <c r="DX221" s="2"/>
      <c r="DY221" s="2"/>
      <c r="DZ221" s="46">
        <f t="shared" si="58"/>
        <v>0</v>
      </c>
      <c r="EA221" s="46">
        <f t="shared" si="59"/>
        <v>0</v>
      </c>
      <c r="EB221" s="46">
        <f t="shared" si="60"/>
        <v>2487</v>
      </c>
      <c r="EC221" s="46">
        <f t="shared" si="61"/>
        <v>0</v>
      </c>
      <c r="ED221" s="46">
        <f t="shared" si="62"/>
        <v>0</v>
      </c>
      <c r="EE221" s="46">
        <f t="shared" si="63"/>
        <v>0</v>
      </c>
      <c r="EF221" s="46">
        <f t="shared" si="64"/>
        <v>0</v>
      </c>
      <c r="EG221" s="46">
        <f t="shared" si="65"/>
        <v>0</v>
      </c>
      <c r="EH221" s="46">
        <f t="shared" si="68"/>
        <v>0</v>
      </c>
      <c r="EI221" s="46">
        <f t="shared" si="67"/>
        <v>0</v>
      </c>
    </row>
    <row r="222" spans="3:139" ht="12">
      <c r="C222" s="36" t="s">
        <v>399</v>
      </c>
      <c r="D222" s="36" t="s">
        <v>394</v>
      </c>
      <c r="E222" s="36" t="s">
        <v>394</v>
      </c>
      <c r="F222" s="38">
        <f t="shared" si="66"/>
        <v>5292</v>
      </c>
      <c r="G222" s="37" t="s">
        <v>395</v>
      </c>
      <c r="H222" s="47"/>
      <c r="I222" s="48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8"/>
      <c r="U222" s="48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8"/>
      <c r="AG222" s="48"/>
      <c r="AH222" s="49"/>
      <c r="AI222" s="49"/>
      <c r="AJ222" s="49">
        <v>2212</v>
      </c>
      <c r="AK222" s="49"/>
      <c r="AL222" s="49">
        <v>0</v>
      </c>
      <c r="AM222" s="49"/>
      <c r="AN222" s="49">
        <v>0</v>
      </c>
      <c r="AO222" s="49"/>
      <c r="AP222" s="49"/>
      <c r="AQ222" s="49"/>
      <c r="AR222" s="49">
        <v>0</v>
      </c>
      <c r="AS222" s="49">
        <v>0</v>
      </c>
      <c r="AT222" s="49">
        <v>851</v>
      </c>
      <c r="AU222" s="49">
        <v>2150</v>
      </c>
      <c r="AV222" s="49">
        <v>0</v>
      </c>
      <c r="AW222" s="49"/>
      <c r="AX222" s="49">
        <v>0</v>
      </c>
      <c r="AY222" s="49"/>
      <c r="AZ222" s="49">
        <v>0</v>
      </c>
      <c r="BA222" s="49">
        <v>0</v>
      </c>
      <c r="BB222" s="49">
        <v>20</v>
      </c>
      <c r="BC222" s="49">
        <v>40</v>
      </c>
      <c r="BD222" s="49">
        <v>19</v>
      </c>
      <c r="BE222" s="49">
        <v>0</v>
      </c>
      <c r="BF222" s="49"/>
      <c r="BG222" s="49"/>
      <c r="BH222" s="49"/>
      <c r="BI222" s="49">
        <v>0</v>
      </c>
      <c r="BJ222" s="49"/>
      <c r="BK222" s="49"/>
      <c r="BL222" s="49">
        <v>0</v>
      </c>
      <c r="BM222" s="49"/>
      <c r="BN222" s="49">
        <v>0</v>
      </c>
      <c r="BO222" s="49"/>
      <c r="BP222" s="50">
        <v>0</v>
      </c>
      <c r="BQ222" s="50">
        <v>0</v>
      </c>
      <c r="BR222" s="50"/>
      <c r="BS222" s="50">
        <v>0</v>
      </c>
      <c r="BT222" s="50">
        <v>0</v>
      </c>
      <c r="BU222" s="50">
        <v>0</v>
      </c>
      <c r="BV222" s="50"/>
      <c r="BW222" s="50">
        <v>0</v>
      </c>
      <c r="BX222" s="50"/>
      <c r="BY222" s="50"/>
      <c r="BZ222" s="50"/>
      <c r="CA222" s="50">
        <v>0</v>
      </c>
      <c r="CB222" s="50">
        <v>0</v>
      </c>
      <c r="CC222" s="50">
        <v>0</v>
      </c>
      <c r="CD222" s="50">
        <v>0</v>
      </c>
      <c r="CE222" s="50">
        <v>0</v>
      </c>
      <c r="CF222" s="50">
        <v>0</v>
      </c>
      <c r="CG222" s="50"/>
      <c r="CH222" s="50">
        <v>0</v>
      </c>
      <c r="CI222" s="50">
        <v>0</v>
      </c>
      <c r="CJ222" s="50">
        <v>0</v>
      </c>
      <c r="CK222" s="50">
        <v>0</v>
      </c>
      <c r="CL222" s="50">
        <v>0</v>
      </c>
      <c r="CM222" s="50">
        <v>0</v>
      </c>
      <c r="CN222" s="51">
        <v>0</v>
      </c>
      <c r="CO222" s="51">
        <v>0</v>
      </c>
      <c r="CP222" s="51">
        <v>0</v>
      </c>
      <c r="CQ222" s="51">
        <v>0</v>
      </c>
      <c r="CR222" s="51">
        <v>0</v>
      </c>
      <c r="CS222" s="51">
        <v>0</v>
      </c>
      <c r="CT222" s="51">
        <v>0</v>
      </c>
      <c r="CU222" s="51">
        <v>0</v>
      </c>
      <c r="CV222" s="51">
        <v>0</v>
      </c>
      <c r="CW222" s="51">
        <v>0</v>
      </c>
      <c r="CX222" s="51">
        <v>0</v>
      </c>
      <c r="CY222" s="51">
        <v>0</v>
      </c>
      <c r="CZ222" s="51">
        <v>0</v>
      </c>
      <c r="DA222" s="51">
        <v>0</v>
      </c>
      <c r="DB222" s="51">
        <v>0</v>
      </c>
      <c r="DC222" s="51">
        <v>0</v>
      </c>
      <c r="DD222" s="51">
        <v>0</v>
      </c>
      <c r="DE222" s="51">
        <v>0</v>
      </c>
      <c r="DF222" s="52">
        <v>0</v>
      </c>
      <c r="DG222" s="52">
        <v>0</v>
      </c>
      <c r="DH222" s="52">
        <v>0</v>
      </c>
      <c r="DI222" s="52">
        <v>0</v>
      </c>
      <c r="DJ222" s="52">
        <v>0</v>
      </c>
      <c r="DK222" s="52">
        <v>0</v>
      </c>
      <c r="DL222" s="52">
        <v>0</v>
      </c>
      <c r="DM222" s="52">
        <v>0</v>
      </c>
      <c r="DN222" s="52">
        <v>0</v>
      </c>
      <c r="DO222" s="52">
        <v>0</v>
      </c>
      <c r="DP222" s="52">
        <v>0</v>
      </c>
      <c r="DQ222" s="52">
        <v>0</v>
      </c>
      <c r="DR222" s="52">
        <v>0</v>
      </c>
      <c r="DS222" s="53">
        <v>0</v>
      </c>
      <c r="DT222" s="53">
        <v>0</v>
      </c>
      <c r="DU222" s="53">
        <v>0</v>
      </c>
      <c r="DV222" s="53">
        <v>0</v>
      </c>
      <c r="DW222" s="53">
        <v>0</v>
      </c>
      <c r="DX222" s="2"/>
      <c r="DY222" s="2"/>
      <c r="DZ222" s="46">
        <f t="shared" si="58"/>
        <v>0</v>
      </c>
      <c r="EA222" s="46">
        <f t="shared" si="59"/>
        <v>0</v>
      </c>
      <c r="EB222" s="46">
        <f t="shared" si="60"/>
        <v>2212</v>
      </c>
      <c r="EC222" s="46">
        <f t="shared" si="61"/>
        <v>3061</v>
      </c>
      <c r="ED222" s="46">
        <f t="shared" si="62"/>
        <v>19</v>
      </c>
      <c r="EE222" s="46">
        <f t="shared" si="63"/>
        <v>0</v>
      </c>
      <c r="EF222" s="46">
        <f t="shared" si="64"/>
        <v>0</v>
      </c>
      <c r="EG222" s="46">
        <f t="shared" si="65"/>
        <v>0</v>
      </c>
      <c r="EH222" s="46">
        <f t="shared" si="68"/>
        <v>0</v>
      </c>
      <c r="EI222" s="46">
        <f t="shared" si="67"/>
        <v>0</v>
      </c>
    </row>
    <row r="223" spans="3:139" ht="12">
      <c r="C223" s="36" t="s">
        <v>400</v>
      </c>
      <c r="D223" s="36" t="s">
        <v>401</v>
      </c>
      <c r="E223" s="36" t="s">
        <v>401</v>
      </c>
      <c r="F223" s="38">
        <f t="shared" si="66"/>
        <v>3134</v>
      </c>
      <c r="G223" s="37" t="s">
        <v>402</v>
      </c>
      <c r="H223" s="47"/>
      <c r="I223" s="48">
        <v>0</v>
      </c>
      <c r="J223" s="49">
        <v>0</v>
      </c>
      <c r="K223" s="49">
        <v>0</v>
      </c>
      <c r="L223" s="49">
        <v>0</v>
      </c>
      <c r="M223" s="49">
        <v>0</v>
      </c>
      <c r="N223" s="49">
        <v>0</v>
      </c>
      <c r="O223" s="49">
        <v>0</v>
      </c>
      <c r="P223" s="49">
        <v>0</v>
      </c>
      <c r="Q223" s="49">
        <v>0</v>
      </c>
      <c r="R223" s="49">
        <v>0</v>
      </c>
      <c r="S223" s="49">
        <v>0</v>
      </c>
      <c r="T223" s="48">
        <v>0</v>
      </c>
      <c r="U223" s="48">
        <v>0</v>
      </c>
      <c r="V223" s="49">
        <v>0</v>
      </c>
      <c r="W223" s="49">
        <v>0</v>
      </c>
      <c r="X223" s="49">
        <v>160</v>
      </c>
      <c r="Y223" s="49">
        <v>540</v>
      </c>
      <c r="Z223" s="49">
        <v>0</v>
      </c>
      <c r="AA223" s="49">
        <v>880</v>
      </c>
      <c r="AB223" s="49">
        <v>200</v>
      </c>
      <c r="AC223" s="49">
        <v>240</v>
      </c>
      <c r="AD223" s="49">
        <v>400</v>
      </c>
      <c r="AE223" s="49">
        <v>0</v>
      </c>
      <c r="AF223" s="48">
        <v>400</v>
      </c>
      <c r="AG223" s="48"/>
      <c r="AH223" s="49"/>
      <c r="AI223" s="49"/>
      <c r="AJ223" s="49"/>
      <c r="AK223" s="49"/>
      <c r="AL223" s="49">
        <v>0</v>
      </c>
      <c r="AM223" s="49"/>
      <c r="AN223" s="49">
        <v>0</v>
      </c>
      <c r="AO223" s="49"/>
      <c r="AP223" s="49"/>
      <c r="AQ223" s="49"/>
      <c r="AR223" s="49">
        <v>0</v>
      </c>
      <c r="AS223" s="49">
        <v>0</v>
      </c>
      <c r="AT223" s="49"/>
      <c r="AU223" s="49">
        <v>0</v>
      </c>
      <c r="AV223" s="49">
        <v>0</v>
      </c>
      <c r="AW223" s="49"/>
      <c r="AX223" s="49">
        <v>0</v>
      </c>
      <c r="AY223" s="49"/>
      <c r="AZ223" s="49">
        <v>0</v>
      </c>
      <c r="BA223" s="49">
        <v>0</v>
      </c>
      <c r="BB223" s="49">
        <v>0</v>
      </c>
      <c r="BC223" s="49">
        <v>0</v>
      </c>
      <c r="BD223" s="49">
        <v>0</v>
      </c>
      <c r="BE223" s="49">
        <v>0</v>
      </c>
      <c r="BF223" s="49"/>
      <c r="BG223" s="49"/>
      <c r="BH223" s="49">
        <v>39</v>
      </c>
      <c r="BI223" s="49">
        <v>0</v>
      </c>
      <c r="BJ223" s="49">
        <v>0</v>
      </c>
      <c r="BK223" s="49"/>
      <c r="BL223" s="49">
        <v>0</v>
      </c>
      <c r="BM223" s="49"/>
      <c r="BN223" s="49">
        <v>0</v>
      </c>
      <c r="BO223" s="49"/>
      <c r="BP223" s="50">
        <v>0</v>
      </c>
      <c r="BQ223" s="50">
        <v>8</v>
      </c>
      <c r="BR223" s="50">
        <v>28</v>
      </c>
      <c r="BS223" s="50">
        <v>13</v>
      </c>
      <c r="BT223" s="50">
        <v>15</v>
      </c>
      <c r="BU223" s="50">
        <v>0</v>
      </c>
      <c r="BV223" s="50"/>
      <c r="BW223" s="50">
        <v>0</v>
      </c>
      <c r="BX223" s="50"/>
      <c r="BY223" s="50"/>
      <c r="BZ223" s="50">
        <v>29</v>
      </c>
      <c r="CA223" s="50">
        <v>0</v>
      </c>
      <c r="CB223" s="50">
        <v>0</v>
      </c>
      <c r="CC223" s="50">
        <v>0</v>
      </c>
      <c r="CD223" s="50">
        <v>33</v>
      </c>
      <c r="CE223" s="50">
        <v>0</v>
      </c>
      <c r="CF223" s="50">
        <v>0</v>
      </c>
      <c r="CG223" s="50">
        <v>22</v>
      </c>
      <c r="CH223" s="50">
        <v>10</v>
      </c>
      <c r="CI223" s="50">
        <v>0</v>
      </c>
      <c r="CJ223" s="50">
        <v>0</v>
      </c>
      <c r="CK223" s="50">
        <v>0</v>
      </c>
      <c r="CL223" s="50">
        <v>21</v>
      </c>
      <c r="CM223" s="50">
        <v>0</v>
      </c>
      <c r="CN223" s="51">
        <v>31</v>
      </c>
      <c r="CO223" s="51">
        <v>0</v>
      </c>
      <c r="CP223" s="51">
        <v>0</v>
      </c>
      <c r="CQ223" s="51">
        <v>0</v>
      </c>
      <c r="CR223" s="51">
        <v>0</v>
      </c>
      <c r="CS223" s="51">
        <v>0</v>
      </c>
      <c r="CT223" s="51">
        <v>0</v>
      </c>
      <c r="CU223" s="51">
        <v>0</v>
      </c>
      <c r="CV223" s="51">
        <v>0</v>
      </c>
      <c r="CW223" s="51">
        <v>0</v>
      </c>
      <c r="CX223" s="51">
        <v>0</v>
      </c>
      <c r="CY223" s="51">
        <v>0</v>
      </c>
      <c r="CZ223" s="51">
        <v>0</v>
      </c>
      <c r="DA223" s="51">
        <v>0</v>
      </c>
      <c r="DB223" s="51">
        <v>0</v>
      </c>
      <c r="DC223" s="51">
        <v>0</v>
      </c>
      <c r="DD223" s="51">
        <v>0</v>
      </c>
      <c r="DE223" s="51">
        <v>0</v>
      </c>
      <c r="DF223" s="52">
        <v>0</v>
      </c>
      <c r="DG223" s="52">
        <v>0</v>
      </c>
      <c r="DH223" s="52">
        <v>0</v>
      </c>
      <c r="DI223" s="52">
        <v>0</v>
      </c>
      <c r="DJ223" s="52">
        <v>0</v>
      </c>
      <c r="DK223" s="52">
        <v>22</v>
      </c>
      <c r="DL223" s="52">
        <v>0</v>
      </c>
      <c r="DM223" s="52">
        <v>17</v>
      </c>
      <c r="DN223" s="52">
        <v>0</v>
      </c>
      <c r="DO223" s="52">
        <v>26</v>
      </c>
      <c r="DP223" s="52">
        <v>0</v>
      </c>
      <c r="DQ223" s="52">
        <v>0</v>
      </c>
      <c r="DR223" s="52">
        <v>0</v>
      </c>
      <c r="DS223" s="53">
        <v>0</v>
      </c>
      <c r="DT223" s="53">
        <v>0</v>
      </c>
      <c r="DU223" s="53">
        <v>0</v>
      </c>
      <c r="DV223" s="53">
        <v>0</v>
      </c>
      <c r="DW223" s="53">
        <v>0</v>
      </c>
      <c r="DX223" s="2"/>
      <c r="DY223" s="2"/>
      <c r="DZ223" s="46">
        <f t="shared" si="58"/>
        <v>0</v>
      </c>
      <c r="EA223" s="46">
        <f t="shared" si="59"/>
        <v>2420</v>
      </c>
      <c r="EB223" s="46">
        <f t="shared" si="60"/>
        <v>400</v>
      </c>
      <c r="EC223" s="46">
        <f t="shared" si="61"/>
        <v>0</v>
      </c>
      <c r="ED223" s="46">
        <f t="shared" si="62"/>
        <v>39</v>
      </c>
      <c r="EE223" s="46">
        <f t="shared" si="63"/>
        <v>93</v>
      </c>
      <c r="EF223" s="46">
        <f t="shared" si="64"/>
        <v>86</v>
      </c>
      <c r="EG223" s="46">
        <f t="shared" si="65"/>
        <v>31</v>
      </c>
      <c r="EH223" s="46">
        <f t="shared" si="68"/>
        <v>0</v>
      </c>
      <c r="EI223" s="46">
        <f t="shared" si="67"/>
        <v>43</v>
      </c>
    </row>
    <row r="224" spans="3:139" ht="12">
      <c r="C224" s="36" t="s">
        <v>403</v>
      </c>
      <c r="D224" s="36" t="s">
        <v>401</v>
      </c>
      <c r="E224" s="36" t="s">
        <v>401</v>
      </c>
      <c r="F224" s="38">
        <f t="shared" si="66"/>
        <v>2325</v>
      </c>
      <c r="G224" s="37" t="s">
        <v>402</v>
      </c>
      <c r="H224" s="47"/>
      <c r="I224" s="48">
        <v>0</v>
      </c>
      <c r="J224" s="49">
        <v>0</v>
      </c>
      <c r="K224" s="49">
        <v>0</v>
      </c>
      <c r="L224" s="49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8">
        <v>0</v>
      </c>
      <c r="U224" s="48">
        <v>0</v>
      </c>
      <c r="V224" s="49">
        <v>0</v>
      </c>
      <c r="W224" s="49">
        <v>0</v>
      </c>
      <c r="X224" s="49">
        <v>200</v>
      </c>
      <c r="Y224" s="49">
        <v>400</v>
      </c>
      <c r="Z224" s="49">
        <v>340</v>
      </c>
      <c r="AA224" s="49">
        <v>0</v>
      </c>
      <c r="AB224" s="49">
        <v>180</v>
      </c>
      <c r="AC224" s="49">
        <v>480</v>
      </c>
      <c r="AD224" s="49">
        <v>9</v>
      </c>
      <c r="AE224" s="49">
        <v>260</v>
      </c>
      <c r="AF224" s="48">
        <v>200</v>
      </c>
      <c r="AG224" s="48"/>
      <c r="AH224" s="49"/>
      <c r="AI224" s="49">
        <v>17</v>
      </c>
      <c r="AJ224" s="49"/>
      <c r="AK224" s="49"/>
      <c r="AL224" s="49">
        <v>0</v>
      </c>
      <c r="AM224" s="49"/>
      <c r="AN224" s="49">
        <v>0</v>
      </c>
      <c r="AO224" s="49"/>
      <c r="AP224" s="49"/>
      <c r="AQ224" s="49"/>
      <c r="AR224" s="49">
        <v>0</v>
      </c>
      <c r="AS224" s="49">
        <v>0</v>
      </c>
      <c r="AT224" s="49"/>
      <c r="AU224" s="49">
        <v>0</v>
      </c>
      <c r="AV224" s="49">
        <v>0</v>
      </c>
      <c r="AW224" s="49"/>
      <c r="AX224" s="49">
        <v>0</v>
      </c>
      <c r="AY224" s="49"/>
      <c r="AZ224" s="49">
        <v>0</v>
      </c>
      <c r="BA224" s="49">
        <v>0</v>
      </c>
      <c r="BB224" s="49">
        <v>40</v>
      </c>
      <c r="BC224" s="49">
        <v>0</v>
      </c>
      <c r="BD224" s="49">
        <v>0</v>
      </c>
      <c r="BE224" s="49">
        <v>0</v>
      </c>
      <c r="BF224" s="49"/>
      <c r="BG224" s="49"/>
      <c r="BH224" s="49">
        <v>19</v>
      </c>
      <c r="BI224" s="49">
        <v>0</v>
      </c>
      <c r="BJ224" s="49">
        <v>40</v>
      </c>
      <c r="BK224" s="49"/>
      <c r="BL224" s="49">
        <v>0</v>
      </c>
      <c r="BM224" s="49"/>
      <c r="BN224" s="49">
        <v>0</v>
      </c>
      <c r="BO224" s="49"/>
      <c r="BP224" s="50">
        <v>0</v>
      </c>
      <c r="BQ224" s="50">
        <v>0</v>
      </c>
      <c r="BR224" s="50"/>
      <c r="BS224" s="50">
        <v>10</v>
      </c>
      <c r="BT224" s="50">
        <v>24</v>
      </c>
      <c r="BU224" s="50">
        <v>0</v>
      </c>
      <c r="BV224" s="50"/>
      <c r="BW224" s="50">
        <v>0</v>
      </c>
      <c r="BX224" s="50"/>
      <c r="BY224" s="50"/>
      <c r="BZ224" s="50"/>
      <c r="CA224" s="50">
        <v>0</v>
      </c>
      <c r="CB224" s="50">
        <v>0</v>
      </c>
      <c r="CC224" s="50">
        <v>0</v>
      </c>
      <c r="CD224" s="50">
        <v>19</v>
      </c>
      <c r="CE224" s="50">
        <v>0</v>
      </c>
      <c r="CF224" s="50">
        <v>0</v>
      </c>
      <c r="CG224" s="50"/>
      <c r="CH224" s="50">
        <v>0</v>
      </c>
      <c r="CI224" s="50">
        <v>0</v>
      </c>
      <c r="CJ224" s="50">
        <v>40</v>
      </c>
      <c r="CK224" s="50">
        <v>0</v>
      </c>
      <c r="CL224" s="50">
        <v>0</v>
      </c>
      <c r="CM224" s="50">
        <v>0</v>
      </c>
      <c r="CN224" s="51">
        <v>24</v>
      </c>
      <c r="CO224" s="51">
        <v>0</v>
      </c>
      <c r="CP224" s="51">
        <v>0</v>
      </c>
      <c r="CQ224" s="51">
        <v>0</v>
      </c>
      <c r="CR224" s="51">
        <v>0</v>
      </c>
      <c r="CS224" s="51">
        <v>0</v>
      </c>
      <c r="CT224" s="51">
        <v>0</v>
      </c>
      <c r="CU224" s="51">
        <v>0</v>
      </c>
      <c r="CV224" s="51">
        <v>0</v>
      </c>
      <c r="CW224" s="51">
        <v>0</v>
      </c>
      <c r="CX224" s="51">
        <v>0</v>
      </c>
      <c r="CY224" s="51">
        <v>0</v>
      </c>
      <c r="CZ224" s="51">
        <v>0</v>
      </c>
      <c r="DA224" s="51">
        <v>23</v>
      </c>
      <c r="DB224" s="51">
        <v>0</v>
      </c>
      <c r="DC224" s="51">
        <v>0</v>
      </c>
      <c r="DD224" s="51">
        <v>0</v>
      </c>
      <c r="DE224" s="51">
        <v>0</v>
      </c>
      <c r="DF224" s="52">
        <v>0</v>
      </c>
      <c r="DG224" s="52">
        <v>0</v>
      </c>
      <c r="DH224" s="52">
        <v>0</v>
      </c>
      <c r="DI224" s="52">
        <v>0</v>
      </c>
      <c r="DJ224" s="52">
        <v>0</v>
      </c>
      <c r="DK224" s="52">
        <v>0</v>
      </c>
      <c r="DL224" s="52">
        <v>0</v>
      </c>
      <c r="DM224" s="52">
        <v>0</v>
      </c>
      <c r="DN224" s="52">
        <v>0</v>
      </c>
      <c r="DO224" s="52">
        <v>0</v>
      </c>
      <c r="DP224" s="52">
        <v>0</v>
      </c>
      <c r="DQ224" s="52">
        <v>0</v>
      </c>
      <c r="DR224" s="52">
        <v>0</v>
      </c>
      <c r="DS224" s="53">
        <v>0</v>
      </c>
      <c r="DT224" s="53">
        <v>0</v>
      </c>
      <c r="DU224" s="53">
        <v>0</v>
      </c>
      <c r="DV224" s="53">
        <v>0</v>
      </c>
      <c r="DW224" s="53">
        <v>0</v>
      </c>
      <c r="DX224" s="2"/>
      <c r="DY224" s="2"/>
      <c r="DZ224" s="46">
        <f t="shared" si="58"/>
        <v>0</v>
      </c>
      <c r="EA224" s="46">
        <f t="shared" si="59"/>
        <v>1869</v>
      </c>
      <c r="EB224" s="46">
        <f t="shared" si="60"/>
        <v>217</v>
      </c>
      <c r="EC224" s="46">
        <f t="shared" si="61"/>
        <v>40</v>
      </c>
      <c r="ED224" s="46">
        <f t="shared" si="62"/>
        <v>59</v>
      </c>
      <c r="EE224" s="46">
        <f t="shared" si="63"/>
        <v>34</v>
      </c>
      <c r="EF224" s="46">
        <f t="shared" si="64"/>
        <v>59</v>
      </c>
      <c r="EG224" s="46">
        <f t="shared" si="65"/>
        <v>24</v>
      </c>
      <c r="EH224" s="46">
        <f t="shared" si="68"/>
        <v>23</v>
      </c>
      <c r="EI224" s="46">
        <f t="shared" si="67"/>
        <v>0</v>
      </c>
    </row>
    <row r="225" spans="3:139" ht="12">
      <c r="C225" s="36" t="s">
        <v>404</v>
      </c>
      <c r="D225" s="36" t="s">
        <v>401</v>
      </c>
      <c r="E225" s="36" t="s">
        <v>401</v>
      </c>
      <c r="F225" s="38">
        <f t="shared" si="66"/>
        <v>4149</v>
      </c>
      <c r="G225" s="37" t="s">
        <v>402</v>
      </c>
      <c r="H225" s="47"/>
      <c r="I225" s="48">
        <v>0</v>
      </c>
      <c r="J225" s="49">
        <v>0</v>
      </c>
      <c r="K225" s="49">
        <v>0</v>
      </c>
      <c r="L225" s="49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8">
        <v>0</v>
      </c>
      <c r="U225" s="48">
        <v>0</v>
      </c>
      <c r="V225" s="49">
        <v>0</v>
      </c>
      <c r="W225" s="49">
        <v>0</v>
      </c>
      <c r="X225" s="49">
        <v>0</v>
      </c>
      <c r="Y225" s="49">
        <v>680</v>
      </c>
      <c r="Z225" s="49">
        <v>480</v>
      </c>
      <c r="AA225" s="49">
        <v>480</v>
      </c>
      <c r="AB225" s="49">
        <v>513</v>
      </c>
      <c r="AC225" s="49">
        <v>549</v>
      </c>
      <c r="AD225" s="49">
        <v>200</v>
      </c>
      <c r="AE225" s="49">
        <v>80</v>
      </c>
      <c r="AF225" s="48">
        <v>712</v>
      </c>
      <c r="AG225" s="48"/>
      <c r="AH225" s="49"/>
      <c r="AI225" s="49"/>
      <c r="AJ225" s="49"/>
      <c r="AK225" s="49"/>
      <c r="AL225" s="49">
        <v>0</v>
      </c>
      <c r="AM225" s="49"/>
      <c r="AN225" s="49">
        <v>0</v>
      </c>
      <c r="AO225" s="49"/>
      <c r="AP225" s="49"/>
      <c r="AQ225" s="49"/>
      <c r="AR225" s="49">
        <v>0</v>
      </c>
      <c r="AS225" s="49">
        <v>0</v>
      </c>
      <c r="AT225" s="49"/>
      <c r="AU225" s="49">
        <v>0</v>
      </c>
      <c r="AV225" s="49">
        <v>0</v>
      </c>
      <c r="AW225" s="49"/>
      <c r="AX225" s="49">
        <v>0</v>
      </c>
      <c r="AY225" s="49"/>
      <c r="AZ225" s="49">
        <v>47</v>
      </c>
      <c r="BA225" s="49">
        <v>0</v>
      </c>
      <c r="BB225" s="49">
        <v>40</v>
      </c>
      <c r="BC225" s="49">
        <v>0</v>
      </c>
      <c r="BD225" s="49">
        <v>0</v>
      </c>
      <c r="BE225" s="49">
        <v>0</v>
      </c>
      <c r="BF225" s="49"/>
      <c r="BG225" s="49"/>
      <c r="BH225" s="49">
        <v>59</v>
      </c>
      <c r="BI225" s="49">
        <v>0</v>
      </c>
      <c r="BJ225" s="49">
        <v>39</v>
      </c>
      <c r="BK225" s="49"/>
      <c r="BL225" s="49">
        <v>0</v>
      </c>
      <c r="BM225" s="49"/>
      <c r="BN225" s="49">
        <v>9</v>
      </c>
      <c r="BO225" s="49"/>
      <c r="BP225" s="50">
        <v>0</v>
      </c>
      <c r="BQ225" s="50">
        <v>0</v>
      </c>
      <c r="BR225" s="50">
        <v>10</v>
      </c>
      <c r="BS225" s="50">
        <v>5</v>
      </c>
      <c r="BT225" s="50">
        <v>0</v>
      </c>
      <c r="BU225" s="50">
        <v>0</v>
      </c>
      <c r="BV225" s="50"/>
      <c r="BW225" s="50">
        <v>0</v>
      </c>
      <c r="BX225" s="50"/>
      <c r="BY225" s="50">
        <v>27</v>
      </c>
      <c r="BZ225" s="50"/>
      <c r="CA225" s="50">
        <v>35</v>
      </c>
      <c r="CB225" s="50">
        <v>0</v>
      </c>
      <c r="CC225" s="50">
        <v>10</v>
      </c>
      <c r="CD225" s="50">
        <v>10</v>
      </c>
      <c r="CE225" s="50">
        <v>24</v>
      </c>
      <c r="CF225" s="50">
        <v>0</v>
      </c>
      <c r="CG225" s="50"/>
      <c r="CH225" s="50">
        <v>32</v>
      </c>
      <c r="CI225" s="50">
        <v>0</v>
      </c>
      <c r="CJ225" s="50">
        <v>0</v>
      </c>
      <c r="CK225" s="50">
        <v>64</v>
      </c>
      <c r="CL225" s="50">
        <v>0</v>
      </c>
      <c r="CM225" s="50">
        <v>0</v>
      </c>
      <c r="CN225" s="51">
        <v>0</v>
      </c>
      <c r="CO225" s="51">
        <v>0</v>
      </c>
      <c r="CP225" s="51">
        <v>0</v>
      </c>
      <c r="CQ225" s="51">
        <v>0</v>
      </c>
      <c r="CR225" s="51">
        <v>0</v>
      </c>
      <c r="CS225" s="51">
        <v>0</v>
      </c>
      <c r="CT225" s="51">
        <v>0</v>
      </c>
      <c r="CU225" s="51">
        <v>0</v>
      </c>
      <c r="CV225" s="51">
        <v>0</v>
      </c>
      <c r="CW225" s="51">
        <v>0</v>
      </c>
      <c r="CX225" s="51">
        <v>0</v>
      </c>
      <c r="CY225" s="51">
        <v>0</v>
      </c>
      <c r="CZ225" s="51">
        <v>0</v>
      </c>
      <c r="DA225" s="51">
        <v>0</v>
      </c>
      <c r="DB225" s="51">
        <v>0</v>
      </c>
      <c r="DC225" s="51">
        <v>0</v>
      </c>
      <c r="DD225" s="51">
        <v>0</v>
      </c>
      <c r="DE225" s="51">
        <v>0</v>
      </c>
      <c r="DF225" s="52">
        <v>0</v>
      </c>
      <c r="DG225" s="52">
        <v>0</v>
      </c>
      <c r="DH225" s="52">
        <v>0</v>
      </c>
      <c r="DI225" s="52">
        <v>0</v>
      </c>
      <c r="DJ225" s="52">
        <v>0</v>
      </c>
      <c r="DK225" s="52">
        <v>30</v>
      </c>
      <c r="DL225" s="52">
        <v>0</v>
      </c>
      <c r="DM225" s="52">
        <v>0</v>
      </c>
      <c r="DN225" s="52">
        <v>0</v>
      </c>
      <c r="DO225" s="52">
        <v>14</v>
      </c>
      <c r="DP225" s="52">
        <v>0</v>
      </c>
      <c r="DQ225" s="52">
        <v>0</v>
      </c>
      <c r="DR225" s="52">
        <v>0</v>
      </c>
      <c r="DS225" s="53">
        <v>0</v>
      </c>
      <c r="DT225" s="53">
        <v>0</v>
      </c>
      <c r="DU225" s="53">
        <v>0</v>
      </c>
      <c r="DV225" s="53">
        <v>0</v>
      </c>
      <c r="DW225" s="53">
        <v>0</v>
      </c>
      <c r="DX225" s="2"/>
      <c r="DY225" s="2"/>
      <c r="DZ225" s="46">
        <f t="shared" si="58"/>
        <v>0</v>
      </c>
      <c r="EA225" s="46">
        <f t="shared" si="59"/>
        <v>2982</v>
      </c>
      <c r="EB225" s="46">
        <f t="shared" si="60"/>
        <v>712</v>
      </c>
      <c r="EC225" s="46">
        <f t="shared" si="61"/>
        <v>87</v>
      </c>
      <c r="ED225" s="46">
        <f t="shared" si="62"/>
        <v>107</v>
      </c>
      <c r="EE225" s="46">
        <f t="shared" si="63"/>
        <v>77</v>
      </c>
      <c r="EF225" s="46">
        <f t="shared" si="64"/>
        <v>140</v>
      </c>
      <c r="EG225" s="46">
        <f t="shared" si="65"/>
        <v>0</v>
      </c>
      <c r="EH225" s="46">
        <f t="shared" si="68"/>
        <v>0</v>
      </c>
      <c r="EI225" s="46">
        <f t="shared" si="67"/>
        <v>14</v>
      </c>
    </row>
    <row r="226" spans="3:139" ht="12">
      <c r="C226" s="36" t="s">
        <v>405</v>
      </c>
      <c r="D226" s="36" t="s">
        <v>401</v>
      </c>
      <c r="E226" s="36" t="s">
        <v>401</v>
      </c>
      <c r="F226" s="38">
        <f t="shared" si="66"/>
        <v>2644</v>
      </c>
      <c r="G226" s="37" t="s">
        <v>402</v>
      </c>
      <c r="H226" s="47"/>
      <c r="I226" s="48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8"/>
      <c r="U226" s="48"/>
      <c r="V226" s="49"/>
      <c r="W226" s="49">
        <v>0</v>
      </c>
      <c r="X226" s="49">
        <v>0</v>
      </c>
      <c r="Y226" s="49">
        <v>380</v>
      </c>
      <c r="Z226" s="49">
        <v>220</v>
      </c>
      <c r="AA226" s="49">
        <v>500</v>
      </c>
      <c r="AB226" s="49">
        <v>200</v>
      </c>
      <c r="AC226" s="49">
        <v>533</v>
      </c>
      <c r="AD226" s="49">
        <v>200</v>
      </c>
      <c r="AE226" s="49">
        <v>80</v>
      </c>
      <c r="AF226" s="48">
        <v>400</v>
      </c>
      <c r="AG226" s="48"/>
      <c r="AH226" s="49"/>
      <c r="AI226" s="49"/>
      <c r="AJ226" s="49"/>
      <c r="AK226" s="49"/>
      <c r="AL226" s="49">
        <v>0</v>
      </c>
      <c r="AM226" s="49"/>
      <c r="AN226" s="49">
        <v>0</v>
      </c>
      <c r="AO226" s="49"/>
      <c r="AP226" s="49"/>
      <c r="AQ226" s="49"/>
      <c r="AR226" s="49">
        <v>0</v>
      </c>
      <c r="AS226" s="49">
        <v>0</v>
      </c>
      <c r="AT226" s="49"/>
      <c r="AU226" s="49">
        <v>0</v>
      </c>
      <c r="AV226" s="49">
        <v>0</v>
      </c>
      <c r="AW226" s="49"/>
      <c r="AX226" s="49">
        <v>0</v>
      </c>
      <c r="AY226" s="49"/>
      <c r="AZ226" s="49">
        <v>0</v>
      </c>
      <c r="BA226" s="49">
        <v>0</v>
      </c>
      <c r="BB226" s="49">
        <v>0</v>
      </c>
      <c r="BC226" s="49">
        <v>0</v>
      </c>
      <c r="BD226" s="49">
        <v>0</v>
      </c>
      <c r="BE226" s="49">
        <v>0</v>
      </c>
      <c r="BF226" s="49"/>
      <c r="BG226" s="49"/>
      <c r="BH226" s="49"/>
      <c r="BI226" s="49">
        <v>0</v>
      </c>
      <c r="BJ226" s="49"/>
      <c r="BK226" s="49"/>
      <c r="BL226" s="49">
        <v>0</v>
      </c>
      <c r="BM226" s="49"/>
      <c r="BN226" s="49">
        <v>0</v>
      </c>
      <c r="BO226" s="49"/>
      <c r="BP226" s="50">
        <v>0</v>
      </c>
      <c r="BQ226" s="50">
        <v>0</v>
      </c>
      <c r="BR226" s="50">
        <v>15</v>
      </c>
      <c r="BS226" s="50">
        <v>24</v>
      </c>
      <c r="BT226" s="50">
        <v>0</v>
      </c>
      <c r="BU226" s="50">
        <v>0</v>
      </c>
      <c r="BV226" s="50"/>
      <c r="BW226" s="50">
        <v>0</v>
      </c>
      <c r="BX226" s="50"/>
      <c r="BY226" s="50">
        <v>10</v>
      </c>
      <c r="BZ226" s="50"/>
      <c r="CA226" s="50">
        <v>0</v>
      </c>
      <c r="CB226" s="50">
        <v>0</v>
      </c>
      <c r="CC226" s="50">
        <v>0</v>
      </c>
      <c r="CD226" s="50">
        <v>0</v>
      </c>
      <c r="CE226" s="50">
        <v>0</v>
      </c>
      <c r="CF226" s="50">
        <v>0</v>
      </c>
      <c r="CG226" s="50"/>
      <c r="CH226" s="50">
        <v>0</v>
      </c>
      <c r="CI226" s="50">
        <v>0</v>
      </c>
      <c r="CJ226" s="50">
        <v>0</v>
      </c>
      <c r="CK226" s="50">
        <v>13</v>
      </c>
      <c r="CL226" s="50">
        <v>0</v>
      </c>
      <c r="CM226" s="50">
        <v>0</v>
      </c>
      <c r="CN226" s="51">
        <v>8</v>
      </c>
      <c r="CO226" s="51">
        <v>0</v>
      </c>
      <c r="CP226" s="51">
        <v>0</v>
      </c>
      <c r="CQ226" s="51">
        <v>29</v>
      </c>
      <c r="CR226" s="51">
        <v>0</v>
      </c>
      <c r="CS226" s="51">
        <v>0</v>
      </c>
      <c r="CT226" s="51">
        <v>0</v>
      </c>
      <c r="CU226" s="51">
        <v>0</v>
      </c>
      <c r="CV226" s="51">
        <v>0</v>
      </c>
      <c r="CW226" s="51">
        <v>0</v>
      </c>
      <c r="CX226" s="51">
        <v>0</v>
      </c>
      <c r="CY226" s="51">
        <v>0</v>
      </c>
      <c r="CZ226" s="51">
        <v>0</v>
      </c>
      <c r="DA226" s="51">
        <v>22</v>
      </c>
      <c r="DB226" s="51">
        <v>0</v>
      </c>
      <c r="DC226" s="51">
        <v>0</v>
      </c>
      <c r="DD226" s="51">
        <v>0</v>
      </c>
      <c r="DE226" s="51">
        <v>0</v>
      </c>
      <c r="DF226" s="52">
        <v>0</v>
      </c>
      <c r="DG226" s="52">
        <v>0</v>
      </c>
      <c r="DH226" s="52">
        <v>0</v>
      </c>
      <c r="DI226" s="52">
        <v>0</v>
      </c>
      <c r="DJ226" s="52">
        <v>0</v>
      </c>
      <c r="DK226" s="52">
        <v>0</v>
      </c>
      <c r="DL226" s="52">
        <v>0</v>
      </c>
      <c r="DM226" s="52">
        <v>10</v>
      </c>
      <c r="DN226" s="52">
        <v>0</v>
      </c>
      <c r="DO226" s="52">
        <v>0</v>
      </c>
      <c r="DP226" s="52">
        <v>0</v>
      </c>
      <c r="DQ226" s="52">
        <v>0</v>
      </c>
      <c r="DR226" s="52">
        <v>0</v>
      </c>
      <c r="DS226" s="53">
        <v>0</v>
      </c>
      <c r="DT226" s="53">
        <v>0</v>
      </c>
      <c r="DU226" s="53">
        <v>0</v>
      </c>
      <c r="DV226" s="53">
        <v>0</v>
      </c>
      <c r="DW226" s="53">
        <v>0</v>
      </c>
      <c r="DX226" s="2"/>
      <c r="DY226" s="2"/>
      <c r="DZ226" s="46">
        <f t="shared" si="58"/>
        <v>0</v>
      </c>
      <c r="EA226" s="46">
        <f t="shared" si="59"/>
        <v>2113</v>
      </c>
      <c r="EB226" s="46">
        <f t="shared" si="60"/>
        <v>400</v>
      </c>
      <c r="EC226" s="46">
        <f t="shared" si="61"/>
        <v>0</v>
      </c>
      <c r="ED226" s="46">
        <f t="shared" si="62"/>
        <v>0</v>
      </c>
      <c r="EE226" s="46">
        <f t="shared" si="63"/>
        <v>49</v>
      </c>
      <c r="EF226" s="46">
        <f t="shared" si="64"/>
        <v>13</v>
      </c>
      <c r="EG226" s="46">
        <f t="shared" si="65"/>
        <v>37</v>
      </c>
      <c r="EH226" s="46">
        <f t="shared" si="68"/>
        <v>22</v>
      </c>
      <c r="EI226" s="46">
        <f t="shared" si="67"/>
        <v>10</v>
      </c>
    </row>
    <row r="227" spans="3:139" ht="12">
      <c r="C227" s="36" t="s">
        <v>406</v>
      </c>
      <c r="D227" s="36" t="s">
        <v>401</v>
      </c>
      <c r="E227" s="36" t="s">
        <v>401</v>
      </c>
      <c r="F227" s="38">
        <f t="shared" si="66"/>
        <v>632</v>
      </c>
      <c r="G227" s="37" t="s">
        <v>402</v>
      </c>
      <c r="H227" s="47">
        <v>0</v>
      </c>
      <c r="I227" s="48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8"/>
      <c r="U227" s="48"/>
      <c r="V227" s="49"/>
      <c r="W227" s="49">
        <v>0</v>
      </c>
      <c r="X227" s="49">
        <v>180</v>
      </c>
      <c r="Y227" s="49">
        <v>0</v>
      </c>
      <c r="Z227" s="49">
        <v>0</v>
      </c>
      <c r="AA227" s="49">
        <v>0</v>
      </c>
      <c r="AB227" s="49">
        <v>0</v>
      </c>
      <c r="AC227" s="49">
        <v>259</v>
      </c>
      <c r="AD227" s="49">
        <v>0</v>
      </c>
      <c r="AE227" s="49">
        <v>0</v>
      </c>
      <c r="AF227" s="48">
        <v>100</v>
      </c>
      <c r="AG227" s="48"/>
      <c r="AH227" s="49"/>
      <c r="AI227" s="49">
        <v>60</v>
      </c>
      <c r="AJ227" s="49"/>
      <c r="AK227" s="49"/>
      <c r="AL227" s="49">
        <v>0</v>
      </c>
      <c r="AM227" s="49"/>
      <c r="AN227" s="49">
        <v>0</v>
      </c>
      <c r="AO227" s="49"/>
      <c r="AP227" s="49"/>
      <c r="AQ227" s="49"/>
      <c r="AR227" s="49">
        <v>0</v>
      </c>
      <c r="AS227" s="49">
        <v>0</v>
      </c>
      <c r="AT227" s="49"/>
      <c r="AU227" s="49">
        <v>0</v>
      </c>
      <c r="AV227" s="49">
        <v>0</v>
      </c>
      <c r="AW227" s="49"/>
      <c r="AX227" s="49">
        <v>0</v>
      </c>
      <c r="AY227" s="49"/>
      <c r="AZ227" s="49">
        <v>0</v>
      </c>
      <c r="BA227" s="49">
        <v>0</v>
      </c>
      <c r="BB227" s="49">
        <v>0</v>
      </c>
      <c r="BC227" s="49">
        <v>0</v>
      </c>
      <c r="BD227" s="49">
        <v>5</v>
      </c>
      <c r="BE227" s="49">
        <v>0</v>
      </c>
      <c r="BF227" s="49"/>
      <c r="BG227" s="49"/>
      <c r="BH227" s="49"/>
      <c r="BI227" s="49">
        <v>0</v>
      </c>
      <c r="BJ227" s="49"/>
      <c r="BK227" s="49"/>
      <c r="BL227" s="49">
        <v>0</v>
      </c>
      <c r="BM227" s="49"/>
      <c r="BN227" s="49">
        <v>0</v>
      </c>
      <c r="BO227" s="49"/>
      <c r="BP227" s="50">
        <v>0</v>
      </c>
      <c r="BQ227" s="50">
        <v>0</v>
      </c>
      <c r="BR227" s="50"/>
      <c r="BS227" s="50">
        <v>0</v>
      </c>
      <c r="BT227" s="50">
        <v>0</v>
      </c>
      <c r="BU227" s="50">
        <v>0</v>
      </c>
      <c r="BV227" s="50"/>
      <c r="BW227" s="50">
        <v>0</v>
      </c>
      <c r="BX227" s="50"/>
      <c r="BY227" s="50"/>
      <c r="BZ227" s="50"/>
      <c r="CA227" s="50">
        <v>0</v>
      </c>
      <c r="CB227" s="50">
        <v>0</v>
      </c>
      <c r="CC227" s="50">
        <v>0</v>
      </c>
      <c r="CD227" s="50">
        <v>0</v>
      </c>
      <c r="CE227" s="50">
        <v>0</v>
      </c>
      <c r="CF227" s="50">
        <v>0</v>
      </c>
      <c r="CG227" s="50"/>
      <c r="CH227" s="50">
        <v>0</v>
      </c>
      <c r="CI227" s="50">
        <v>5</v>
      </c>
      <c r="CJ227" s="50">
        <v>0</v>
      </c>
      <c r="CK227" s="50">
        <v>0</v>
      </c>
      <c r="CL227" s="50">
        <v>5</v>
      </c>
      <c r="CM227" s="50">
        <v>0</v>
      </c>
      <c r="CN227" s="51">
        <v>0</v>
      </c>
      <c r="CO227" s="51">
        <v>0</v>
      </c>
      <c r="CP227" s="51">
        <v>0</v>
      </c>
      <c r="CQ227" s="51">
        <v>0</v>
      </c>
      <c r="CR227" s="51">
        <v>0</v>
      </c>
      <c r="CS227" s="51">
        <v>0</v>
      </c>
      <c r="CT227" s="51">
        <v>0</v>
      </c>
      <c r="CU227" s="51">
        <v>0</v>
      </c>
      <c r="CV227" s="51">
        <v>0</v>
      </c>
      <c r="CW227" s="51">
        <v>0</v>
      </c>
      <c r="CX227" s="51">
        <v>0</v>
      </c>
      <c r="CY227" s="51">
        <v>0</v>
      </c>
      <c r="CZ227" s="51">
        <v>0</v>
      </c>
      <c r="DA227" s="51">
        <v>0</v>
      </c>
      <c r="DB227" s="51">
        <v>1</v>
      </c>
      <c r="DC227" s="51">
        <v>0</v>
      </c>
      <c r="DD227" s="51">
        <v>0</v>
      </c>
      <c r="DE227" s="51">
        <v>0</v>
      </c>
      <c r="DF227" s="52">
        <v>0</v>
      </c>
      <c r="DG227" s="52">
        <v>0</v>
      </c>
      <c r="DH227" s="52">
        <v>0</v>
      </c>
      <c r="DI227" s="52">
        <v>0</v>
      </c>
      <c r="DJ227" s="52">
        <v>0</v>
      </c>
      <c r="DK227" s="52">
        <v>0</v>
      </c>
      <c r="DL227" s="52">
        <v>0</v>
      </c>
      <c r="DM227" s="52">
        <v>0</v>
      </c>
      <c r="DN227" s="52">
        <v>0</v>
      </c>
      <c r="DO227" s="52">
        <v>17</v>
      </c>
      <c r="DP227" s="52">
        <v>0</v>
      </c>
      <c r="DQ227" s="52">
        <v>0</v>
      </c>
      <c r="DR227" s="52">
        <v>0</v>
      </c>
      <c r="DS227" s="53">
        <v>0</v>
      </c>
      <c r="DT227" s="53">
        <v>0</v>
      </c>
      <c r="DU227" s="53">
        <v>0</v>
      </c>
      <c r="DV227" s="53">
        <v>0</v>
      </c>
      <c r="DW227" s="53">
        <v>0</v>
      </c>
      <c r="DX227" s="2"/>
      <c r="DY227" s="2"/>
      <c r="DZ227" s="46">
        <f t="shared" si="58"/>
        <v>0</v>
      </c>
      <c r="EA227" s="46">
        <f t="shared" si="59"/>
        <v>439</v>
      </c>
      <c r="EB227" s="46">
        <f t="shared" si="60"/>
        <v>160</v>
      </c>
      <c r="EC227" s="46">
        <f t="shared" si="61"/>
        <v>0</v>
      </c>
      <c r="ED227" s="46">
        <f t="shared" si="62"/>
        <v>5</v>
      </c>
      <c r="EE227" s="46">
        <f t="shared" si="63"/>
        <v>0</v>
      </c>
      <c r="EF227" s="46">
        <f t="shared" si="64"/>
        <v>10</v>
      </c>
      <c r="EG227" s="46">
        <f t="shared" si="65"/>
        <v>0</v>
      </c>
      <c r="EH227" s="46">
        <f t="shared" si="68"/>
        <v>1</v>
      </c>
      <c r="EI227" s="46">
        <f t="shared" si="67"/>
        <v>17</v>
      </c>
    </row>
    <row r="228" spans="3:139" ht="12">
      <c r="C228" s="36" t="s">
        <v>407</v>
      </c>
      <c r="D228" s="36" t="s">
        <v>401</v>
      </c>
      <c r="E228" s="36" t="s">
        <v>401</v>
      </c>
      <c r="F228" s="38">
        <f t="shared" si="66"/>
        <v>4941</v>
      </c>
      <c r="G228" s="37" t="s">
        <v>402</v>
      </c>
      <c r="H228" s="47"/>
      <c r="I228" s="48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8"/>
      <c r="U228" s="48"/>
      <c r="V228" s="49"/>
      <c r="W228" s="49">
        <v>0</v>
      </c>
      <c r="X228" s="49">
        <v>0</v>
      </c>
      <c r="Y228" s="49">
        <v>480</v>
      </c>
      <c r="Z228" s="49">
        <v>720</v>
      </c>
      <c r="AA228" s="49">
        <v>480</v>
      </c>
      <c r="AB228" s="49">
        <v>431</v>
      </c>
      <c r="AC228" s="49">
        <v>731</v>
      </c>
      <c r="AD228" s="49">
        <v>1040</v>
      </c>
      <c r="AE228" s="49">
        <v>80</v>
      </c>
      <c r="AF228" s="48">
        <v>500</v>
      </c>
      <c r="AG228" s="48"/>
      <c r="AH228" s="49"/>
      <c r="AI228" s="49"/>
      <c r="AJ228" s="49"/>
      <c r="AK228" s="49"/>
      <c r="AL228" s="49">
        <v>0</v>
      </c>
      <c r="AM228" s="49"/>
      <c r="AN228" s="49">
        <v>0</v>
      </c>
      <c r="AO228" s="49"/>
      <c r="AP228" s="49"/>
      <c r="AQ228" s="49"/>
      <c r="AR228" s="49">
        <v>0</v>
      </c>
      <c r="AS228" s="49">
        <v>0</v>
      </c>
      <c r="AT228" s="49"/>
      <c r="AU228" s="49">
        <v>0</v>
      </c>
      <c r="AV228" s="49">
        <v>0</v>
      </c>
      <c r="AW228" s="49"/>
      <c r="AX228" s="49">
        <v>0</v>
      </c>
      <c r="AY228" s="49"/>
      <c r="AZ228" s="49">
        <v>0</v>
      </c>
      <c r="BA228" s="49">
        <v>0</v>
      </c>
      <c r="BB228" s="49">
        <v>0</v>
      </c>
      <c r="BC228" s="49">
        <v>0</v>
      </c>
      <c r="BD228" s="49">
        <v>20</v>
      </c>
      <c r="BE228" s="49">
        <v>0</v>
      </c>
      <c r="BF228" s="49"/>
      <c r="BG228" s="49"/>
      <c r="BH228" s="49">
        <v>37</v>
      </c>
      <c r="BI228" s="49">
        <v>0</v>
      </c>
      <c r="BJ228" s="49">
        <v>59</v>
      </c>
      <c r="BK228" s="49"/>
      <c r="BL228" s="49">
        <v>0</v>
      </c>
      <c r="BM228" s="49">
        <v>0</v>
      </c>
      <c r="BN228" s="49">
        <v>19</v>
      </c>
      <c r="BO228" s="49"/>
      <c r="BP228" s="50">
        <v>0</v>
      </c>
      <c r="BQ228" s="50">
        <v>8</v>
      </c>
      <c r="BR228" s="50">
        <v>27</v>
      </c>
      <c r="BS228" s="50">
        <v>18</v>
      </c>
      <c r="BT228" s="50">
        <v>0</v>
      </c>
      <c r="BU228" s="50">
        <v>36</v>
      </c>
      <c r="BV228" s="50"/>
      <c r="BW228" s="50">
        <v>0</v>
      </c>
      <c r="BX228" s="50"/>
      <c r="BY228" s="50"/>
      <c r="BZ228" s="50"/>
      <c r="CA228" s="50">
        <v>30</v>
      </c>
      <c r="CB228" s="50">
        <v>0</v>
      </c>
      <c r="CC228" s="50">
        <v>0</v>
      </c>
      <c r="CD228" s="50">
        <v>30</v>
      </c>
      <c r="CE228" s="50">
        <v>39</v>
      </c>
      <c r="CF228" s="50">
        <v>0</v>
      </c>
      <c r="CG228" s="50"/>
      <c r="CH228" s="50">
        <v>0</v>
      </c>
      <c r="CI228" s="50">
        <v>29</v>
      </c>
      <c r="CJ228" s="50">
        <v>0</v>
      </c>
      <c r="CK228" s="50">
        <v>0</v>
      </c>
      <c r="CL228" s="50">
        <v>20</v>
      </c>
      <c r="CM228" s="50">
        <v>0</v>
      </c>
      <c r="CN228" s="51">
        <v>20</v>
      </c>
      <c r="CO228" s="51">
        <v>0</v>
      </c>
      <c r="CP228" s="51">
        <v>0</v>
      </c>
      <c r="CQ228" s="51">
        <v>0</v>
      </c>
      <c r="CR228" s="51">
        <v>0</v>
      </c>
      <c r="CS228" s="51">
        <v>0</v>
      </c>
      <c r="CT228" s="51">
        <v>32</v>
      </c>
      <c r="CU228" s="51">
        <v>0</v>
      </c>
      <c r="CV228" s="51">
        <v>0</v>
      </c>
      <c r="CW228" s="51">
        <v>0</v>
      </c>
      <c r="CX228" s="51">
        <v>0</v>
      </c>
      <c r="CY228" s="51">
        <v>0</v>
      </c>
      <c r="CZ228" s="51">
        <v>0</v>
      </c>
      <c r="DA228" s="51">
        <v>0</v>
      </c>
      <c r="DB228" s="51">
        <v>0</v>
      </c>
      <c r="DC228" s="51">
        <v>0</v>
      </c>
      <c r="DD228" s="51">
        <v>0</v>
      </c>
      <c r="DE228" s="51">
        <v>29</v>
      </c>
      <c r="DF228" s="52">
        <v>0</v>
      </c>
      <c r="DG228" s="52">
        <v>0</v>
      </c>
      <c r="DH228" s="52">
        <v>0</v>
      </c>
      <c r="DI228" s="52">
        <v>0</v>
      </c>
      <c r="DJ228" s="52">
        <v>0</v>
      </c>
      <c r="DK228" s="52">
        <v>10</v>
      </c>
      <c r="DL228" s="52">
        <v>0</v>
      </c>
      <c r="DM228" s="52">
        <v>0</v>
      </c>
      <c r="DN228" s="52">
        <v>0</v>
      </c>
      <c r="DO228" s="52">
        <v>16</v>
      </c>
      <c r="DP228" s="52">
        <v>0</v>
      </c>
      <c r="DQ228" s="52">
        <v>0</v>
      </c>
      <c r="DR228" s="52">
        <v>0</v>
      </c>
      <c r="DS228" s="53">
        <v>0</v>
      </c>
      <c r="DT228" s="53">
        <v>0</v>
      </c>
      <c r="DU228" s="53">
        <v>0</v>
      </c>
      <c r="DV228" s="53">
        <v>0</v>
      </c>
      <c r="DW228" s="53">
        <v>0</v>
      </c>
      <c r="DX228" s="2"/>
      <c r="DY228" s="2"/>
      <c r="DZ228" s="46">
        <f t="shared" si="58"/>
        <v>0</v>
      </c>
      <c r="EA228" s="46">
        <f t="shared" si="59"/>
        <v>3962</v>
      </c>
      <c r="EB228" s="46">
        <f t="shared" si="60"/>
        <v>500</v>
      </c>
      <c r="EC228" s="46">
        <f t="shared" si="61"/>
        <v>0</v>
      </c>
      <c r="ED228" s="46">
        <f t="shared" si="62"/>
        <v>135</v>
      </c>
      <c r="EE228" s="46">
        <f t="shared" si="63"/>
        <v>119</v>
      </c>
      <c r="EF228" s="46">
        <f t="shared" si="64"/>
        <v>118</v>
      </c>
      <c r="EG228" s="46">
        <f t="shared" si="65"/>
        <v>52</v>
      </c>
      <c r="EH228" s="46">
        <f t="shared" si="68"/>
        <v>29</v>
      </c>
      <c r="EI228" s="46">
        <f t="shared" si="67"/>
        <v>16</v>
      </c>
    </row>
    <row r="229" spans="3:139" ht="12">
      <c r="C229" s="36" t="s">
        <v>408</v>
      </c>
      <c r="D229" s="36" t="s">
        <v>401</v>
      </c>
      <c r="E229" s="36" t="s">
        <v>401</v>
      </c>
      <c r="F229" s="38">
        <f t="shared" si="66"/>
        <v>0</v>
      </c>
      <c r="G229" s="37" t="s">
        <v>402</v>
      </c>
      <c r="H229" s="47"/>
      <c r="I229" s="48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8"/>
      <c r="U229" s="48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8"/>
      <c r="AG229" s="48"/>
      <c r="AH229" s="49"/>
      <c r="AI229" s="49"/>
      <c r="AJ229" s="49"/>
      <c r="AK229" s="49"/>
      <c r="AL229" s="49">
        <v>0</v>
      </c>
      <c r="AM229" s="49"/>
      <c r="AN229" s="49">
        <v>0</v>
      </c>
      <c r="AO229" s="49"/>
      <c r="AP229" s="49"/>
      <c r="AQ229" s="49"/>
      <c r="AR229" s="49">
        <v>0</v>
      </c>
      <c r="AS229" s="49">
        <v>0</v>
      </c>
      <c r="AT229" s="49"/>
      <c r="AU229" s="49">
        <v>0</v>
      </c>
      <c r="AV229" s="49">
        <v>0</v>
      </c>
      <c r="AW229" s="49"/>
      <c r="AX229" s="49">
        <v>0</v>
      </c>
      <c r="AY229" s="49"/>
      <c r="AZ229" s="49">
        <v>0</v>
      </c>
      <c r="BA229" s="49">
        <v>0</v>
      </c>
      <c r="BB229" s="49">
        <v>0</v>
      </c>
      <c r="BC229" s="49">
        <v>0</v>
      </c>
      <c r="BD229" s="49">
        <v>0</v>
      </c>
      <c r="BE229" s="49">
        <v>0</v>
      </c>
      <c r="BF229" s="49"/>
      <c r="BG229" s="49"/>
      <c r="BH229" s="49"/>
      <c r="BI229" s="49">
        <v>0</v>
      </c>
      <c r="BJ229" s="49"/>
      <c r="BK229" s="49"/>
      <c r="BL229" s="49">
        <v>0</v>
      </c>
      <c r="BM229" s="49"/>
      <c r="BN229" s="49">
        <v>0</v>
      </c>
      <c r="BO229" s="49"/>
      <c r="BP229" s="50">
        <v>0</v>
      </c>
      <c r="BQ229" s="50">
        <v>0</v>
      </c>
      <c r="BR229" s="50"/>
      <c r="BS229" s="50">
        <v>0</v>
      </c>
      <c r="BT229" s="50">
        <v>0</v>
      </c>
      <c r="BU229" s="50">
        <v>0</v>
      </c>
      <c r="BV229" s="50"/>
      <c r="BW229" s="50">
        <v>0</v>
      </c>
      <c r="BX229" s="50"/>
      <c r="BY229" s="50"/>
      <c r="BZ229" s="50"/>
      <c r="CA229" s="50">
        <v>0</v>
      </c>
      <c r="CB229" s="50">
        <v>0</v>
      </c>
      <c r="CC229" s="50">
        <v>0</v>
      </c>
      <c r="CD229" s="50">
        <v>0</v>
      </c>
      <c r="CE229" s="50">
        <v>0</v>
      </c>
      <c r="CF229" s="50">
        <v>0</v>
      </c>
      <c r="CG229" s="50"/>
      <c r="CH229" s="50">
        <v>0</v>
      </c>
      <c r="CI229" s="50">
        <v>0</v>
      </c>
      <c r="CJ229" s="50">
        <v>0</v>
      </c>
      <c r="CK229" s="50">
        <v>0</v>
      </c>
      <c r="CL229" s="50">
        <v>0</v>
      </c>
      <c r="CM229" s="50">
        <v>0</v>
      </c>
      <c r="CN229" s="51">
        <v>0</v>
      </c>
      <c r="CO229" s="51">
        <v>0</v>
      </c>
      <c r="CP229" s="51">
        <v>0</v>
      </c>
      <c r="CQ229" s="51">
        <v>0</v>
      </c>
      <c r="CR229" s="51">
        <v>0</v>
      </c>
      <c r="CS229" s="51">
        <v>0</v>
      </c>
      <c r="CT229" s="51">
        <v>0</v>
      </c>
      <c r="CU229" s="51">
        <v>0</v>
      </c>
      <c r="CV229" s="51">
        <v>0</v>
      </c>
      <c r="CW229" s="51">
        <v>0</v>
      </c>
      <c r="CX229" s="51">
        <v>0</v>
      </c>
      <c r="CY229" s="51">
        <v>0</v>
      </c>
      <c r="CZ229" s="51">
        <v>0</v>
      </c>
      <c r="DA229" s="51">
        <v>0</v>
      </c>
      <c r="DB229" s="51">
        <v>0</v>
      </c>
      <c r="DC229" s="51">
        <v>0</v>
      </c>
      <c r="DD229" s="51">
        <v>0</v>
      </c>
      <c r="DE229" s="51">
        <v>0</v>
      </c>
      <c r="DF229" s="52">
        <v>0</v>
      </c>
      <c r="DG229" s="52">
        <v>0</v>
      </c>
      <c r="DH229" s="52">
        <v>0</v>
      </c>
      <c r="DI229" s="52">
        <v>0</v>
      </c>
      <c r="DJ229" s="52">
        <v>0</v>
      </c>
      <c r="DK229" s="52">
        <v>0</v>
      </c>
      <c r="DL229" s="52">
        <v>0</v>
      </c>
      <c r="DM229" s="52">
        <v>0</v>
      </c>
      <c r="DN229" s="52">
        <v>0</v>
      </c>
      <c r="DO229" s="52">
        <v>0</v>
      </c>
      <c r="DP229" s="52">
        <v>0</v>
      </c>
      <c r="DQ229" s="52">
        <v>0</v>
      </c>
      <c r="DR229" s="52">
        <v>0</v>
      </c>
      <c r="DS229" s="53">
        <v>0</v>
      </c>
      <c r="DT229" s="53">
        <v>0</v>
      </c>
      <c r="DU229" s="53">
        <v>0</v>
      </c>
      <c r="DV229" s="53">
        <v>0</v>
      </c>
      <c r="DW229" s="53">
        <v>0</v>
      </c>
      <c r="DX229" s="2"/>
      <c r="DY229" s="2"/>
      <c r="DZ229" s="46">
        <f t="shared" si="58"/>
        <v>0</v>
      </c>
      <c r="EA229" s="46">
        <f t="shared" si="59"/>
        <v>0</v>
      </c>
      <c r="EB229" s="46">
        <f t="shared" si="60"/>
        <v>0</v>
      </c>
      <c r="EC229" s="46">
        <f t="shared" si="61"/>
        <v>0</v>
      </c>
      <c r="ED229" s="46">
        <f t="shared" si="62"/>
        <v>0</v>
      </c>
      <c r="EE229" s="46">
        <f t="shared" si="63"/>
        <v>0</v>
      </c>
      <c r="EF229" s="46">
        <f t="shared" si="64"/>
        <v>0</v>
      </c>
      <c r="EG229" s="46">
        <f t="shared" si="65"/>
        <v>0</v>
      </c>
      <c r="EH229" s="46">
        <f t="shared" si="68"/>
        <v>0</v>
      </c>
      <c r="EI229" s="46">
        <f t="shared" si="67"/>
        <v>0</v>
      </c>
    </row>
    <row r="230" spans="3:139" ht="12">
      <c r="C230" s="36" t="s">
        <v>409</v>
      </c>
      <c r="D230" s="36" t="s">
        <v>401</v>
      </c>
      <c r="E230" s="36" t="s">
        <v>401</v>
      </c>
      <c r="F230" s="38">
        <f t="shared" si="66"/>
        <v>0</v>
      </c>
      <c r="G230" s="37" t="s">
        <v>402</v>
      </c>
      <c r="H230" s="47"/>
      <c r="I230" s="48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8"/>
      <c r="U230" s="48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8"/>
      <c r="AG230" s="48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>
        <v>0</v>
      </c>
      <c r="AW230" s="49"/>
      <c r="AX230" s="49">
        <v>0</v>
      </c>
      <c r="AY230" s="49"/>
      <c r="AZ230" s="49">
        <v>0</v>
      </c>
      <c r="BA230" s="49">
        <v>0</v>
      </c>
      <c r="BB230" s="49">
        <v>0</v>
      </c>
      <c r="BC230" s="49">
        <v>0</v>
      </c>
      <c r="BD230" s="49">
        <v>0</v>
      </c>
      <c r="BE230" s="49">
        <v>0</v>
      </c>
      <c r="BF230" s="49"/>
      <c r="BG230" s="49"/>
      <c r="BH230" s="49"/>
      <c r="BI230" s="49">
        <v>0</v>
      </c>
      <c r="BJ230" s="49"/>
      <c r="BK230" s="49"/>
      <c r="BL230" s="49">
        <v>0</v>
      </c>
      <c r="BM230" s="49"/>
      <c r="BN230" s="49">
        <v>0</v>
      </c>
      <c r="BO230" s="49"/>
      <c r="BP230" s="50">
        <v>0</v>
      </c>
      <c r="BQ230" s="50">
        <v>0</v>
      </c>
      <c r="BR230" s="50"/>
      <c r="BS230" s="50">
        <v>0</v>
      </c>
      <c r="BT230" s="50">
        <v>0</v>
      </c>
      <c r="BU230" s="50">
        <v>0</v>
      </c>
      <c r="BV230" s="50"/>
      <c r="BW230" s="50">
        <v>0</v>
      </c>
      <c r="BX230" s="50"/>
      <c r="BY230" s="50"/>
      <c r="BZ230" s="50"/>
      <c r="CA230" s="50">
        <v>0</v>
      </c>
      <c r="CB230" s="50">
        <v>0</v>
      </c>
      <c r="CC230" s="50">
        <v>0</v>
      </c>
      <c r="CD230" s="50">
        <v>0</v>
      </c>
      <c r="CE230" s="50">
        <v>0</v>
      </c>
      <c r="CF230" s="50">
        <v>0</v>
      </c>
      <c r="CG230" s="50"/>
      <c r="CH230" s="50">
        <v>0</v>
      </c>
      <c r="CI230" s="50">
        <v>0</v>
      </c>
      <c r="CJ230" s="50">
        <v>0</v>
      </c>
      <c r="CK230" s="50">
        <v>0</v>
      </c>
      <c r="CL230" s="50">
        <v>0</v>
      </c>
      <c r="CM230" s="50">
        <v>0</v>
      </c>
      <c r="CN230" s="51">
        <v>0</v>
      </c>
      <c r="CO230" s="51">
        <v>0</v>
      </c>
      <c r="CP230" s="51">
        <v>0</v>
      </c>
      <c r="CQ230" s="51">
        <v>0</v>
      </c>
      <c r="CR230" s="51">
        <v>0</v>
      </c>
      <c r="CS230" s="51">
        <v>0</v>
      </c>
      <c r="CT230" s="51">
        <v>0</v>
      </c>
      <c r="CU230" s="51">
        <v>0</v>
      </c>
      <c r="CV230" s="51">
        <v>0</v>
      </c>
      <c r="CW230" s="51">
        <v>0</v>
      </c>
      <c r="CX230" s="51">
        <v>0</v>
      </c>
      <c r="CY230" s="51">
        <v>0</v>
      </c>
      <c r="CZ230" s="51">
        <v>0</v>
      </c>
      <c r="DA230" s="51">
        <v>0</v>
      </c>
      <c r="DB230" s="51">
        <v>0</v>
      </c>
      <c r="DC230" s="51">
        <v>0</v>
      </c>
      <c r="DD230" s="51">
        <v>0</v>
      </c>
      <c r="DE230" s="51">
        <v>0</v>
      </c>
      <c r="DF230" s="52">
        <v>0</v>
      </c>
      <c r="DG230" s="52">
        <v>0</v>
      </c>
      <c r="DH230" s="52">
        <v>0</v>
      </c>
      <c r="DI230" s="52">
        <v>0</v>
      </c>
      <c r="DJ230" s="52">
        <v>0</v>
      </c>
      <c r="DK230" s="52">
        <v>0</v>
      </c>
      <c r="DL230" s="52">
        <v>0</v>
      </c>
      <c r="DM230" s="52">
        <v>0</v>
      </c>
      <c r="DN230" s="52">
        <v>0</v>
      </c>
      <c r="DO230" s="52">
        <v>0</v>
      </c>
      <c r="DP230" s="52">
        <v>0</v>
      </c>
      <c r="DQ230" s="52">
        <v>0</v>
      </c>
      <c r="DR230" s="52">
        <v>0</v>
      </c>
      <c r="DS230" s="53">
        <v>0</v>
      </c>
      <c r="DT230" s="53">
        <v>0</v>
      </c>
      <c r="DU230" s="53">
        <v>0</v>
      </c>
      <c r="DV230" s="53">
        <v>0</v>
      </c>
      <c r="DW230" s="53">
        <v>0</v>
      </c>
      <c r="DX230" s="2"/>
      <c r="DY230" s="2"/>
      <c r="DZ230" s="46">
        <f t="shared" si="58"/>
        <v>0</v>
      </c>
      <c r="EA230" s="46">
        <f t="shared" si="59"/>
        <v>0</v>
      </c>
      <c r="EB230" s="46">
        <f t="shared" si="60"/>
        <v>0</v>
      </c>
      <c r="EC230" s="46">
        <f t="shared" si="61"/>
        <v>0</v>
      </c>
      <c r="ED230" s="46">
        <f t="shared" si="62"/>
        <v>0</v>
      </c>
      <c r="EE230" s="46">
        <f t="shared" si="63"/>
        <v>0</v>
      </c>
      <c r="EF230" s="46">
        <f t="shared" si="64"/>
        <v>0</v>
      </c>
      <c r="EG230" s="46">
        <f t="shared" si="65"/>
        <v>0</v>
      </c>
      <c r="EH230" s="46">
        <f t="shared" si="68"/>
        <v>0</v>
      </c>
      <c r="EI230" s="46">
        <f t="shared" si="67"/>
        <v>0</v>
      </c>
    </row>
    <row r="231" spans="3:139" ht="12">
      <c r="C231" s="36" t="s">
        <v>410</v>
      </c>
      <c r="D231" s="36" t="s">
        <v>401</v>
      </c>
      <c r="E231" s="36" t="s">
        <v>401</v>
      </c>
      <c r="F231" s="38">
        <f t="shared" si="66"/>
        <v>4600</v>
      </c>
      <c r="G231" s="37" t="s">
        <v>402</v>
      </c>
      <c r="H231" s="47"/>
      <c r="I231" s="48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8"/>
      <c r="U231" s="48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8"/>
      <c r="AG231" s="48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>
        <v>1080</v>
      </c>
      <c r="AV231" s="49">
        <v>397</v>
      </c>
      <c r="AW231" s="49">
        <v>1338</v>
      </c>
      <c r="AX231" s="49">
        <v>1500</v>
      </c>
      <c r="AY231" s="49">
        <v>100</v>
      </c>
      <c r="AZ231" s="49">
        <v>0</v>
      </c>
      <c r="BA231" s="49">
        <v>0</v>
      </c>
      <c r="BB231" s="49">
        <v>140</v>
      </c>
      <c r="BC231" s="49">
        <v>0</v>
      </c>
      <c r="BD231" s="49">
        <v>0</v>
      </c>
      <c r="BE231" s="49">
        <v>0</v>
      </c>
      <c r="BF231" s="49"/>
      <c r="BG231" s="49"/>
      <c r="BH231" s="49"/>
      <c r="BI231" s="49">
        <v>0</v>
      </c>
      <c r="BJ231" s="49">
        <v>30</v>
      </c>
      <c r="BK231" s="49"/>
      <c r="BL231" s="49">
        <v>0</v>
      </c>
      <c r="BM231" s="49"/>
      <c r="BN231" s="49">
        <v>0</v>
      </c>
      <c r="BO231" s="49"/>
      <c r="BP231" s="50">
        <v>0</v>
      </c>
      <c r="BQ231" s="50">
        <v>0</v>
      </c>
      <c r="BR231" s="50"/>
      <c r="BS231" s="50">
        <v>15</v>
      </c>
      <c r="BT231" s="50">
        <v>0</v>
      </c>
      <c r="BU231" s="50">
        <v>0</v>
      </c>
      <c r="BV231" s="50"/>
      <c r="BW231" s="50">
        <v>0</v>
      </c>
      <c r="BX231" s="50"/>
      <c r="BY231" s="50"/>
      <c r="BZ231" s="50"/>
      <c r="CA231" s="50">
        <v>0</v>
      </c>
      <c r="CB231" s="50">
        <v>0</v>
      </c>
      <c r="CC231" s="50">
        <v>0</v>
      </c>
      <c r="CD231" s="50">
        <v>0</v>
      </c>
      <c r="CE231" s="50">
        <v>0</v>
      </c>
      <c r="CF231" s="50">
        <v>0</v>
      </c>
      <c r="CG231" s="50"/>
      <c r="CH231" s="50">
        <v>0</v>
      </c>
      <c r="CI231" s="50">
        <v>0</v>
      </c>
      <c r="CJ231" s="50">
        <v>0</v>
      </c>
      <c r="CK231" s="50">
        <v>0</v>
      </c>
      <c r="CL231" s="50">
        <v>0</v>
      </c>
      <c r="CM231" s="50">
        <v>0</v>
      </c>
      <c r="CN231" s="51">
        <v>0</v>
      </c>
      <c r="CO231" s="51">
        <v>0</v>
      </c>
      <c r="CP231" s="51">
        <v>0</v>
      </c>
      <c r="CQ231" s="51">
        <v>0</v>
      </c>
      <c r="CR231" s="51">
        <v>0</v>
      </c>
      <c r="CS231" s="51">
        <v>0</v>
      </c>
      <c r="CT231" s="51">
        <v>0</v>
      </c>
      <c r="CU231" s="51">
        <v>0</v>
      </c>
      <c r="CV231" s="51">
        <v>0</v>
      </c>
      <c r="CW231" s="51">
        <v>0</v>
      </c>
      <c r="CX231" s="51">
        <v>0</v>
      </c>
      <c r="CY231" s="51">
        <v>0</v>
      </c>
      <c r="CZ231" s="51">
        <v>0</v>
      </c>
      <c r="DA231" s="51">
        <v>0</v>
      </c>
      <c r="DB231" s="51">
        <v>0</v>
      </c>
      <c r="DC231" s="51">
        <v>0</v>
      </c>
      <c r="DD231" s="51">
        <v>0</v>
      </c>
      <c r="DE231" s="51">
        <v>0</v>
      </c>
      <c r="DF231" s="52">
        <v>0</v>
      </c>
      <c r="DG231" s="52">
        <v>0</v>
      </c>
      <c r="DH231" s="52">
        <v>0</v>
      </c>
      <c r="DI231" s="52">
        <v>0</v>
      </c>
      <c r="DJ231" s="52">
        <v>0</v>
      </c>
      <c r="DK231" s="52">
        <v>0</v>
      </c>
      <c r="DL231" s="52">
        <v>0</v>
      </c>
      <c r="DM231" s="52">
        <v>0</v>
      </c>
      <c r="DN231" s="52">
        <v>0</v>
      </c>
      <c r="DO231" s="52">
        <v>0</v>
      </c>
      <c r="DP231" s="52">
        <v>0</v>
      </c>
      <c r="DQ231" s="52">
        <v>0</v>
      </c>
      <c r="DR231" s="52">
        <v>0</v>
      </c>
      <c r="DS231" s="53">
        <v>0</v>
      </c>
      <c r="DT231" s="53">
        <v>0</v>
      </c>
      <c r="DU231" s="53">
        <v>0</v>
      </c>
      <c r="DV231" s="53">
        <v>0</v>
      </c>
      <c r="DW231" s="53">
        <v>0</v>
      </c>
      <c r="DX231" s="2"/>
      <c r="DY231" s="2"/>
      <c r="DZ231" s="46">
        <f t="shared" si="58"/>
        <v>0</v>
      </c>
      <c r="EA231" s="46">
        <f t="shared" si="59"/>
        <v>0</v>
      </c>
      <c r="EB231" s="46">
        <f t="shared" si="60"/>
        <v>0</v>
      </c>
      <c r="EC231" s="46">
        <f t="shared" si="61"/>
        <v>4555</v>
      </c>
      <c r="ED231" s="46">
        <f t="shared" si="62"/>
        <v>30</v>
      </c>
      <c r="EE231" s="46">
        <f t="shared" si="63"/>
        <v>15</v>
      </c>
      <c r="EF231" s="46">
        <f t="shared" si="64"/>
        <v>0</v>
      </c>
      <c r="EG231" s="46">
        <f t="shared" si="65"/>
        <v>0</v>
      </c>
      <c r="EH231" s="46">
        <f t="shared" si="68"/>
        <v>0</v>
      </c>
      <c r="EI231" s="46">
        <f t="shared" si="67"/>
        <v>0</v>
      </c>
    </row>
    <row r="232" spans="3:139" ht="12">
      <c r="C232" s="36" t="s">
        <v>411</v>
      </c>
      <c r="D232" s="36" t="s">
        <v>412</v>
      </c>
      <c r="E232" s="36" t="s">
        <v>413</v>
      </c>
      <c r="F232" s="38">
        <f t="shared" si="66"/>
        <v>2325</v>
      </c>
      <c r="G232" s="37" t="s">
        <v>414</v>
      </c>
      <c r="H232" s="47"/>
      <c r="I232" s="48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8"/>
      <c r="U232" s="48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8"/>
      <c r="AG232" s="48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>
        <v>60</v>
      </c>
      <c r="AZ232" s="49">
        <v>0</v>
      </c>
      <c r="BA232" s="49">
        <v>320</v>
      </c>
      <c r="BB232" s="49">
        <v>100</v>
      </c>
      <c r="BC232" s="49">
        <v>100</v>
      </c>
      <c r="BD232" s="49">
        <v>200</v>
      </c>
      <c r="BE232" s="49">
        <v>200</v>
      </c>
      <c r="BF232" s="49"/>
      <c r="BG232" s="49">
        <v>180</v>
      </c>
      <c r="BH232" s="49">
        <v>300</v>
      </c>
      <c r="BI232" s="49">
        <v>0</v>
      </c>
      <c r="BJ232" s="49">
        <v>280</v>
      </c>
      <c r="BK232" s="49"/>
      <c r="BL232" s="49">
        <v>0</v>
      </c>
      <c r="BM232" s="49">
        <v>585</v>
      </c>
      <c r="BN232" s="49">
        <v>0</v>
      </c>
      <c r="BO232" s="49"/>
      <c r="BP232" s="50">
        <v>0</v>
      </c>
      <c r="BQ232" s="50">
        <v>0</v>
      </c>
      <c r="BR232" s="50"/>
      <c r="BS232" s="50">
        <v>0</v>
      </c>
      <c r="BT232" s="50">
        <v>0</v>
      </c>
      <c r="BU232" s="50">
        <v>0</v>
      </c>
      <c r="BV232" s="50"/>
      <c r="BW232" s="50">
        <v>0</v>
      </c>
      <c r="BX232" s="50"/>
      <c r="BY232" s="50"/>
      <c r="BZ232" s="50"/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/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1">
        <v>0</v>
      </c>
      <c r="CO232" s="51">
        <v>0</v>
      </c>
      <c r="CP232" s="51">
        <v>0</v>
      </c>
      <c r="CQ232" s="51">
        <v>0</v>
      </c>
      <c r="CR232" s="51">
        <v>0</v>
      </c>
      <c r="CS232" s="51">
        <v>0</v>
      </c>
      <c r="CT232" s="51">
        <v>0</v>
      </c>
      <c r="CU232" s="51">
        <v>0</v>
      </c>
      <c r="CV232" s="51">
        <v>0</v>
      </c>
      <c r="CW232" s="51">
        <v>0</v>
      </c>
      <c r="CX232" s="51">
        <v>0</v>
      </c>
      <c r="CY232" s="51">
        <v>0</v>
      </c>
      <c r="CZ232" s="51">
        <v>0</v>
      </c>
      <c r="DA232" s="51">
        <v>0</v>
      </c>
      <c r="DB232" s="51">
        <v>0</v>
      </c>
      <c r="DC232" s="51">
        <v>0</v>
      </c>
      <c r="DD232" s="51">
        <v>0</v>
      </c>
      <c r="DE232" s="51">
        <v>0</v>
      </c>
      <c r="DF232" s="52">
        <v>0</v>
      </c>
      <c r="DG232" s="52">
        <v>0</v>
      </c>
      <c r="DH232" s="52">
        <v>0</v>
      </c>
      <c r="DI232" s="52">
        <v>0</v>
      </c>
      <c r="DJ232" s="52">
        <v>0</v>
      </c>
      <c r="DK232" s="52">
        <v>0</v>
      </c>
      <c r="DL232" s="52">
        <v>0</v>
      </c>
      <c r="DM232" s="52">
        <v>0</v>
      </c>
      <c r="DN232" s="52">
        <v>0</v>
      </c>
      <c r="DO232" s="52">
        <v>0</v>
      </c>
      <c r="DP232" s="52">
        <v>0</v>
      </c>
      <c r="DQ232" s="52">
        <v>0</v>
      </c>
      <c r="DR232" s="52">
        <v>0</v>
      </c>
      <c r="DS232" s="53">
        <v>0</v>
      </c>
      <c r="DT232" s="53">
        <v>0</v>
      </c>
      <c r="DU232" s="53">
        <v>0</v>
      </c>
      <c r="DV232" s="53">
        <v>0</v>
      </c>
      <c r="DW232" s="53">
        <v>0</v>
      </c>
      <c r="DX232" s="2"/>
      <c r="DY232" s="2"/>
      <c r="DZ232" s="46">
        <f t="shared" si="58"/>
        <v>0</v>
      </c>
      <c r="EA232" s="46">
        <f t="shared" si="59"/>
        <v>0</v>
      </c>
      <c r="EB232" s="46">
        <f t="shared" si="60"/>
        <v>0</v>
      </c>
      <c r="EC232" s="46">
        <f t="shared" si="61"/>
        <v>580</v>
      </c>
      <c r="ED232" s="46">
        <f t="shared" si="62"/>
        <v>1745</v>
      </c>
      <c r="EE232" s="46">
        <f t="shared" si="63"/>
        <v>0</v>
      </c>
      <c r="EF232" s="46">
        <f t="shared" si="64"/>
        <v>0</v>
      </c>
      <c r="EG232" s="46">
        <f t="shared" si="65"/>
        <v>0</v>
      </c>
      <c r="EH232" s="46">
        <f t="shared" si="68"/>
        <v>0</v>
      </c>
      <c r="EI232" s="46">
        <f t="shared" si="67"/>
        <v>0</v>
      </c>
    </row>
    <row r="233" spans="3:139" ht="12">
      <c r="C233" s="36" t="s">
        <v>415</v>
      </c>
      <c r="D233" s="36" t="s">
        <v>212</v>
      </c>
      <c r="E233" s="36"/>
      <c r="F233" s="38">
        <f t="shared" si="66"/>
        <v>0</v>
      </c>
      <c r="G233" s="37" t="s">
        <v>414</v>
      </c>
      <c r="H233" s="47"/>
      <c r="I233" s="48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8"/>
      <c r="U233" s="48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8"/>
      <c r="AG233" s="48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>
        <v>0</v>
      </c>
      <c r="BA233" s="49">
        <v>0</v>
      </c>
      <c r="BB233" s="49">
        <v>0</v>
      </c>
      <c r="BC233" s="49">
        <v>0</v>
      </c>
      <c r="BD233" s="49">
        <v>0</v>
      </c>
      <c r="BE233" s="49">
        <v>0</v>
      </c>
      <c r="BF233" s="49"/>
      <c r="BG233" s="49"/>
      <c r="BH233" s="49"/>
      <c r="BI233" s="49">
        <v>0</v>
      </c>
      <c r="BJ233" s="49"/>
      <c r="BK233" s="49"/>
      <c r="BL233" s="49">
        <v>0</v>
      </c>
      <c r="BM233" s="49"/>
      <c r="BN233" s="49">
        <v>0</v>
      </c>
      <c r="BO233" s="49"/>
      <c r="BP233" s="50">
        <v>0</v>
      </c>
      <c r="BQ233" s="50">
        <v>0</v>
      </c>
      <c r="BR233" s="50"/>
      <c r="BS233" s="50">
        <v>0</v>
      </c>
      <c r="BT233" s="50">
        <v>0</v>
      </c>
      <c r="BU233" s="50">
        <v>0</v>
      </c>
      <c r="BV233" s="50"/>
      <c r="BW233" s="50">
        <v>0</v>
      </c>
      <c r="BX233" s="50"/>
      <c r="BY233" s="50"/>
      <c r="BZ233" s="50"/>
      <c r="CA233" s="50">
        <v>0</v>
      </c>
      <c r="CB233" s="50">
        <v>0</v>
      </c>
      <c r="CC233" s="50">
        <v>0</v>
      </c>
      <c r="CD233" s="50">
        <v>0</v>
      </c>
      <c r="CE233" s="50">
        <v>0</v>
      </c>
      <c r="CF233" s="50">
        <v>0</v>
      </c>
      <c r="CG233" s="50"/>
      <c r="CH233" s="50">
        <v>0</v>
      </c>
      <c r="CI233" s="50">
        <v>0</v>
      </c>
      <c r="CJ233" s="50">
        <v>0</v>
      </c>
      <c r="CK233" s="50">
        <v>0</v>
      </c>
      <c r="CL233" s="50">
        <v>0</v>
      </c>
      <c r="CM233" s="50">
        <v>0</v>
      </c>
      <c r="CN233" s="51">
        <v>0</v>
      </c>
      <c r="CO233" s="51">
        <v>0</v>
      </c>
      <c r="CP233" s="51">
        <v>0</v>
      </c>
      <c r="CQ233" s="51"/>
      <c r="CR233" s="51">
        <v>0</v>
      </c>
      <c r="CS233" s="51">
        <v>0</v>
      </c>
      <c r="CT233" s="51"/>
      <c r="CU233" s="51">
        <v>0</v>
      </c>
      <c r="CV233" s="51"/>
      <c r="CW233" s="51">
        <v>0</v>
      </c>
      <c r="CX233" s="51">
        <v>0</v>
      </c>
      <c r="CY233" s="51">
        <v>0</v>
      </c>
      <c r="CZ233" s="51">
        <v>0</v>
      </c>
      <c r="DA233" s="51">
        <v>0</v>
      </c>
      <c r="DB233" s="51"/>
      <c r="DC233" s="51">
        <v>0</v>
      </c>
      <c r="DD233" s="51">
        <v>0</v>
      </c>
      <c r="DE233" s="51">
        <v>0</v>
      </c>
      <c r="DF233" s="52">
        <v>0</v>
      </c>
      <c r="DG233" s="52">
        <v>0</v>
      </c>
      <c r="DH233" s="52">
        <v>0</v>
      </c>
      <c r="DI233" s="52">
        <v>0</v>
      </c>
      <c r="DJ233" s="52">
        <v>0</v>
      </c>
      <c r="DK233" s="52">
        <v>0</v>
      </c>
      <c r="DL233" s="52">
        <v>0</v>
      </c>
      <c r="DM233" s="52">
        <v>0</v>
      </c>
      <c r="DN233" s="52">
        <v>0</v>
      </c>
      <c r="DO233" s="52">
        <v>0</v>
      </c>
      <c r="DP233" s="52">
        <v>0</v>
      </c>
      <c r="DQ233" s="52">
        <v>0</v>
      </c>
      <c r="DR233" s="52">
        <v>0</v>
      </c>
      <c r="DS233" s="53">
        <v>0</v>
      </c>
      <c r="DT233" s="53">
        <v>0</v>
      </c>
      <c r="DU233" s="53">
        <v>0</v>
      </c>
      <c r="DV233" s="53">
        <v>0</v>
      </c>
      <c r="DW233" s="53">
        <v>0</v>
      </c>
      <c r="DX233" s="2"/>
      <c r="DY233" s="2"/>
      <c r="DZ233" s="46">
        <f t="shared" si="58"/>
        <v>0</v>
      </c>
      <c r="EA233" s="46">
        <f t="shared" si="59"/>
        <v>0</v>
      </c>
      <c r="EB233" s="46">
        <f t="shared" si="60"/>
        <v>0</v>
      </c>
      <c r="EC233" s="46">
        <f t="shared" si="61"/>
        <v>0</v>
      </c>
      <c r="ED233" s="46">
        <f t="shared" si="62"/>
        <v>0</v>
      </c>
      <c r="EE233" s="46">
        <f t="shared" si="63"/>
        <v>0</v>
      </c>
      <c r="EF233" s="46">
        <f t="shared" si="64"/>
        <v>0</v>
      </c>
      <c r="EG233" s="46">
        <f t="shared" si="65"/>
        <v>0</v>
      </c>
      <c r="EH233" s="46">
        <f t="shared" si="68"/>
        <v>0</v>
      </c>
      <c r="EI233" s="46">
        <f t="shared" si="67"/>
        <v>0</v>
      </c>
    </row>
    <row r="234" spans="3:139" ht="12">
      <c r="C234" s="36" t="s">
        <v>416</v>
      </c>
      <c r="D234" s="36" t="s">
        <v>212</v>
      </c>
      <c r="E234" s="36"/>
      <c r="F234" s="38">
        <f t="shared" si="66"/>
        <v>0</v>
      </c>
      <c r="G234" s="37" t="s">
        <v>414</v>
      </c>
      <c r="H234" s="47"/>
      <c r="I234" s="48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8"/>
      <c r="U234" s="48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8"/>
      <c r="AG234" s="48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>
        <v>0</v>
      </c>
      <c r="BA234" s="49">
        <v>0</v>
      </c>
      <c r="BB234" s="49">
        <v>0</v>
      </c>
      <c r="BC234" s="49">
        <v>0</v>
      </c>
      <c r="BD234" s="49">
        <v>0</v>
      </c>
      <c r="BE234" s="49">
        <v>0</v>
      </c>
      <c r="BF234" s="49"/>
      <c r="BG234" s="49"/>
      <c r="BH234" s="49"/>
      <c r="BI234" s="49">
        <v>0</v>
      </c>
      <c r="BJ234" s="49"/>
      <c r="BK234" s="49"/>
      <c r="BL234" s="49">
        <v>0</v>
      </c>
      <c r="BM234" s="49"/>
      <c r="BN234" s="49">
        <v>0</v>
      </c>
      <c r="BO234" s="49"/>
      <c r="BP234" s="50">
        <v>0</v>
      </c>
      <c r="BQ234" s="50">
        <v>0</v>
      </c>
      <c r="BR234" s="50"/>
      <c r="BS234" s="50">
        <v>0</v>
      </c>
      <c r="BT234" s="50">
        <v>0</v>
      </c>
      <c r="BU234" s="50">
        <v>0</v>
      </c>
      <c r="BV234" s="50"/>
      <c r="BW234" s="50">
        <v>0</v>
      </c>
      <c r="BX234" s="50"/>
      <c r="BY234" s="50"/>
      <c r="BZ234" s="50"/>
      <c r="CA234" s="50">
        <v>0</v>
      </c>
      <c r="CB234" s="50">
        <v>0</v>
      </c>
      <c r="CC234" s="50">
        <v>0</v>
      </c>
      <c r="CD234" s="50">
        <v>0</v>
      </c>
      <c r="CE234" s="50">
        <v>0</v>
      </c>
      <c r="CF234" s="50">
        <v>0</v>
      </c>
      <c r="CG234" s="50"/>
      <c r="CH234" s="50">
        <v>0</v>
      </c>
      <c r="CI234" s="50">
        <v>0</v>
      </c>
      <c r="CJ234" s="50">
        <v>0</v>
      </c>
      <c r="CK234" s="50">
        <v>0</v>
      </c>
      <c r="CL234" s="50">
        <v>0</v>
      </c>
      <c r="CM234" s="50">
        <v>0</v>
      </c>
      <c r="CN234" s="51">
        <v>0</v>
      </c>
      <c r="CO234" s="51">
        <v>0</v>
      </c>
      <c r="CP234" s="51">
        <v>0</v>
      </c>
      <c r="CQ234" s="51"/>
      <c r="CR234" s="51">
        <v>0</v>
      </c>
      <c r="CS234" s="51">
        <v>0</v>
      </c>
      <c r="CT234" s="51"/>
      <c r="CU234" s="51">
        <v>0</v>
      </c>
      <c r="CV234" s="51"/>
      <c r="CW234" s="51">
        <v>0</v>
      </c>
      <c r="CX234" s="51">
        <v>0</v>
      </c>
      <c r="CY234" s="51">
        <v>0</v>
      </c>
      <c r="CZ234" s="51">
        <v>0</v>
      </c>
      <c r="DA234" s="51">
        <v>0</v>
      </c>
      <c r="DB234" s="51"/>
      <c r="DC234" s="51">
        <v>0</v>
      </c>
      <c r="DD234" s="51">
        <v>0</v>
      </c>
      <c r="DE234" s="51">
        <v>0</v>
      </c>
      <c r="DF234" s="52">
        <v>0</v>
      </c>
      <c r="DG234" s="52">
        <v>0</v>
      </c>
      <c r="DH234" s="52">
        <v>0</v>
      </c>
      <c r="DI234" s="52">
        <v>0</v>
      </c>
      <c r="DJ234" s="52">
        <v>0</v>
      </c>
      <c r="DK234" s="52">
        <v>0</v>
      </c>
      <c r="DL234" s="52">
        <v>0</v>
      </c>
      <c r="DM234" s="52">
        <v>0</v>
      </c>
      <c r="DN234" s="52">
        <v>0</v>
      </c>
      <c r="DO234" s="52">
        <v>0</v>
      </c>
      <c r="DP234" s="52">
        <v>0</v>
      </c>
      <c r="DQ234" s="52">
        <v>0</v>
      </c>
      <c r="DR234" s="52">
        <v>0</v>
      </c>
      <c r="DS234" s="53">
        <v>0</v>
      </c>
      <c r="DT234" s="53">
        <v>0</v>
      </c>
      <c r="DU234" s="53">
        <v>0</v>
      </c>
      <c r="DV234" s="53">
        <v>0</v>
      </c>
      <c r="DW234" s="53">
        <v>0</v>
      </c>
      <c r="DX234" s="2"/>
      <c r="DY234" s="2"/>
      <c r="DZ234" s="46">
        <f t="shared" si="58"/>
        <v>0</v>
      </c>
      <c r="EA234" s="46">
        <f t="shared" si="59"/>
        <v>0</v>
      </c>
      <c r="EB234" s="46">
        <f t="shared" si="60"/>
        <v>0</v>
      </c>
      <c r="EC234" s="46">
        <f t="shared" si="61"/>
        <v>0</v>
      </c>
      <c r="ED234" s="46">
        <f t="shared" si="62"/>
        <v>0</v>
      </c>
      <c r="EE234" s="46">
        <f t="shared" si="63"/>
        <v>0</v>
      </c>
      <c r="EF234" s="46">
        <f t="shared" si="64"/>
        <v>0</v>
      </c>
      <c r="EG234" s="46">
        <f t="shared" si="65"/>
        <v>0</v>
      </c>
      <c r="EH234" s="46">
        <f t="shared" si="68"/>
        <v>0</v>
      </c>
      <c r="EI234" s="46">
        <f t="shared" si="67"/>
        <v>0</v>
      </c>
    </row>
    <row r="235" spans="3:139" ht="12">
      <c r="C235" s="36" t="s">
        <v>417</v>
      </c>
      <c r="D235" s="36" t="s">
        <v>212</v>
      </c>
      <c r="E235" s="36"/>
      <c r="F235" s="38">
        <f t="shared" si="66"/>
        <v>0</v>
      </c>
      <c r="G235" s="37" t="s">
        <v>414</v>
      </c>
      <c r="H235" s="47"/>
      <c r="I235" s="48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8"/>
      <c r="U235" s="48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8"/>
      <c r="AG235" s="48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>
        <v>0</v>
      </c>
      <c r="BA235" s="49">
        <v>0</v>
      </c>
      <c r="BB235" s="49">
        <v>0</v>
      </c>
      <c r="BC235" s="49">
        <v>0</v>
      </c>
      <c r="BD235" s="49">
        <v>0</v>
      </c>
      <c r="BE235" s="49">
        <v>0</v>
      </c>
      <c r="BF235" s="49"/>
      <c r="BG235" s="49"/>
      <c r="BH235" s="49"/>
      <c r="BI235" s="49">
        <v>0</v>
      </c>
      <c r="BJ235" s="49"/>
      <c r="BK235" s="49"/>
      <c r="BL235" s="49">
        <v>0</v>
      </c>
      <c r="BM235" s="49"/>
      <c r="BN235" s="49">
        <v>0</v>
      </c>
      <c r="BO235" s="49"/>
      <c r="BP235" s="50">
        <v>0</v>
      </c>
      <c r="BQ235" s="50">
        <v>0</v>
      </c>
      <c r="BR235" s="50"/>
      <c r="BS235" s="50">
        <v>0</v>
      </c>
      <c r="BT235" s="50">
        <v>0</v>
      </c>
      <c r="BU235" s="50">
        <v>0</v>
      </c>
      <c r="BV235" s="50"/>
      <c r="BW235" s="50">
        <v>0</v>
      </c>
      <c r="BX235" s="50"/>
      <c r="BY235" s="50"/>
      <c r="BZ235" s="50"/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/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1">
        <v>0</v>
      </c>
      <c r="CO235" s="51">
        <v>0</v>
      </c>
      <c r="CP235" s="51">
        <v>0</v>
      </c>
      <c r="CQ235" s="51"/>
      <c r="CR235" s="51">
        <v>0</v>
      </c>
      <c r="CS235" s="51">
        <v>0</v>
      </c>
      <c r="CT235" s="51"/>
      <c r="CU235" s="51">
        <v>0</v>
      </c>
      <c r="CV235" s="51"/>
      <c r="CW235" s="51">
        <v>0</v>
      </c>
      <c r="CX235" s="51">
        <v>0</v>
      </c>
      <c r="CY235" s="51">
        <v>0</v>
      </c>
      <c r="CZ235" s="51">
        <v>0</v>
      </c>
      <c r="DA235" s="51">
        <v>0</v>
      </c>
      <c r="DB235" s="51"/>
      <c r="DC235" s="51">
        <v>0</v>
      </c>
      <c r="DD235" s="51">
        <v>0</v>
      </c>
      <c r="DE235" s="51">
        <v>0</v>
      </c>
      <c r="DF235" s="52">
        <v>0</v>
      </c>
      <c r="DG235" s="52">
        <v>0</v>
      </c>
      <c r="DH235" s="52">
        <v>0</v>
      </c>
      <c r="DI235" s="52">
        <v>0</v>
      </c>
      <c r="DJ235" s="52">
        <v>0</v>
      </c>
      <c r="DK235" s="52">
        <v>0</v>
      </c>
      <c r="DL235" s="52">
        <v>0</v>
      </c>
      <c r="DM235" s="52">
        <v>0</v>
      </c>
      <c r="DN235" s="52">
        <v>0</v>
      </c>
      <c r="DO235" s="52">
        <v>0</v>
      </c>
      <c r="DP235" s="52">
        <v>0</v>
      </c>
      <c r="DQ235" s="52">
        <v>0</v>
      </c>
      <c r="DR235" s="52">
        <v>0</v>
      </c>
      <c r="DS235" s="53">
        <v>0</v>
      </c>
      <c r="DT235" s="53">
        <v>0</v>
      </c>
      <c r="DU235" s="53">
        <v>0</v>
      </c>
      <c r="DV235" s="53">
        <v>0</v>
      </c>
      <c r="DW235" s="53">
        <v>0</v>
      </c>
      <c r="DX235" s="2"/>
      <c r="DY235" s="2"/>
      <c r="DZ235" s="46">
        <f t="shared" si="58"/>
        <v>0</v>
      </c>
      <c r="EA235" s="46">
        <f t="shared" si="59"/>
        <v>0</v>
      </c>
      <c r="EB235" s="46">
        <f t="shared" si="60"/>
        <v>0</v>
      </c>
      <c r="EC235" s="46">
        <f t="shared" si="61"/>
        <v>0</v>
      </c>
      <c r="ED235" s="46">
        <f t="shared" si="62"/>
        <v>0</v>
      </c>
      <c r="EE235" s="46">
        <f t="shared" si="63"/>
        <v>0</v>
      </c>
      <c r="EF235" s="46">
        <f t="shared" si="64"/>
        <v>0</v>
      </c>
      <c r="EG235" s="46">
        <f t="shared" si="65"/>
        <v>0</v>
      </c>
      <c r="EH235" s="46">
        <f t="shared" si="68"/>
        <v>0</v>
      </c>
      <c r="EI235" s="46">
        <f t="shared" si="67"/>
        <v>0</v>
      </c>
    </row>
    <row r="236" spans="3:139" ht="12">
      <c r="C236" s="36" t="s">
        <v>418</v>
      </c>
      <c r="D236" s="36" t="s">
        <v>212</v>
      </c>
      <c r="E236" s="36"/>
      <c r="F236" s="38">
        <f t="shared" si="66"/>
        <v>0</v>
      </c>
      <c r="G236" s="37" t="s">
        <v>414</v>
      </c>
      <c r="H236" s="47"/>
      <c r="I236" s="48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8"/>
      <c r="U236" s="48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8"/>
      <c r="AG236" s="48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>
        <v>0</v>
      </c>
      <c r="BA236" s="49">
        <v>0</v>
      </c>
      <c r="BB236" s="49">
        <v>0</v>
      </c>
      <c r="BC236" s="49">
        <v>0</v>
      </c>
      <c r="BD236" s="49">
        <v>0</v>
      </c>
      <c r="BE236" s="49">
        <v>0</v>
      </c>
      <c r="BF236" s="49"/>
      <c r="BG236" s="49"/>
      <c r="BH236" s="49"/>
      <c r="BI236" s="49">
        <v>0</v>
      </c>
      <c r="BJ236" s="49"/>
      <c r="BK236" s="49"/>
      <c r="BL236" s="49">
        <v>0</v>
      </c>
      <c r="BM236" s="49"/>
      <c r="BN236" s="49">
        <v>0</v>
      </c>
      <c r="BO236" s="49"/>
      <c r="BP236" s="50">
        <v>0</v>
      </c>
      <c r="BQ236" s="50">
        <v>0</v>
      </c>
      <c r="BR236" s="50"/>
      <c r="BS236" s="50">
        <v>0</v>
      </c>
      <c r="BT236" s="50">
        <v>0</v>
      </c>
      <c r="BU236" s="50">
        <v>0</v>
      </c>
      <c r="BV236" s="50"/>
      <c r="BW236" s="50">
        <v>0</v>
      </c>
      <c r="BX236" s="50"/>
      <c r="BY236" s="50"/>
      <c r="BZ236" s="50"/>
      <c r="CA236" s="50">
        <v>0</v>
      </c>
      <c r="CB236" s="50">
        <v>0</v>
      </c>
      <c r="CC236" s="50">
        <v>0</v>
      </c>
      <c r="CD236" s="50">
        <v>0</v>
      </c>
      <c r="CE236" s="50">
        <v>0</v>
      </c>
      <c r="CF236" s="50">
        <v>0</v>
      </c>
      <c r="CG236" s="50"/>
      <c r="CH236" s="50">
        <v>0</v>
      </c>
      <c r="CI236" s="50">
        <v>0</v>
      </c>
      <c r="CJ236" s="50">
        <v>0</v>
      </c>
      <c r="CK236" s="50">
        <v>0</v>
      </c>
      <c r="CL236" s="50">
        <v>0</v>
      </c>
      <c r="CM236" s="50">
        <v>0</v>
      </c>
      <c r="CN236" s="51">
        <v>0</v>
      </c>
      <c r="CO236" s="51">
        <v>0</v>
      </c>
      <c r="CP236" s="51">
        <v>0</v>
      </c>
      <c r="CQ236" s="51"/>
      <c r="CR236" s="51">
        <v>0</v>
      </c>
      <c r="CS236" s="51">
        <v>0</v>
      </c>
      <c r="CT236" s="51"/>
      <c r="CU236" s="51">
        <v>0</v>
      </c>
      <c r="CV236" s="51"/>
      <c r="CW236" s="51">
        <v>0</v>
      </c>
      <c r="CX236" s="51">
        <v>0</v>
      </c>
      <c r="CY236" s="51">
        <v>0</v>
      </c>
      <c r="CZ236" s="51">
        <v>0</v>
      </c>
      <c r="DA236" s="51">
        <v>0</v>
      </c>
      <c r="DB236" s="51"/>
      <c r="DC236" s="51">
        <v>0</v>
      </c>
      <c r="DD236" s="51">
        <v>0</v>
      </c>
      <c r="DE236" s="51">
        <v>0</v>
      </c>
      <c r="DF236" s="52">
        <v>0</v>
      </c>
      <c r="DG236" s="52">
        <v>0</v>
      </c>
      <c r="DH236" s="52">
        <v>0</v>
      </c>
      <c r="DI236" s="52">
        <v>0</v>
      </c>
      <c r="DJ236" s="52">
        <v>0</v>
      </c>
      <c r="DK236" s="52">
        <v>0</v>
      </c>
      <c r="DL236" s="52">
        <v>0</v>
      </c>
      <c r="DM236" s="52">
        <v>0</v>
      </c>
      <c r="DN236" s="52">
        <v>0</v>
      </c>
      <c r="DO236" s="52">
        <v>0</v>
      </c>
      <c r="DP236" s="52">
        <v>0</v>
      </c>
      <c r="DQ236" s="52">
        <v>0</v>
      </c>
      <c r="DR236" s="52">
        <v>0</v>
      </c>
      <c r="DS236" s="53">
        <v>0</v>
      </c>
      <c r="DT236" s="53">
        <v>0</v>
      </c>
      <c r="DU236" s="53">
        <v>0</v>
      </c>
      <c r="DV236" s="53">
        <v>0</v>
      </c>
      <c r="DW236" s="53">
        <v>0</v>
      </c>
      <c r="DX236" s="2"/>
      <c r="DY236" s="2"/>
      <c r="DZ236" s="46">
        <f t="shared" si="58"/>
        <v>0</v>
      </c>
      <c r="EA236" s="46">
        <f t="shared" si="59"/>
        <v>0</v>
      </c>
      <c r="EB236" s="46">
        <f t="shared" si="60"/>
        <v>0</v>
      </c>
      <c r="EC236" s="46">
        <f t="shared" si="61"/>
        <v>0</v>
      </c>
      <c r="ED236" s="46">
        <f t="shared" si="62"/>
        <v>0</v>
      </c>
      <c r="EE236" s="46">
        <f t="shared" si="63"/>
        <v>0</v>
      </c>
      <c r="EF236" s="46">
        <f t="shared" si="64"/>
        <v>0</v>
      </c>
      <c r="EG236" s="46">
        <f t="shared" si="65"/>
        <v>0</v>
      </c>
      <c r="EH236" s="46">
        <f t="shared" si="68"/>
        <v>0</v>
      </c>
      <c r="EI236" s="46">
        <f t="shared" si="67"/>
        <v>0</v>
      </c>
    </row>
    <row r="237" spans="3:139" ht="12">
      <c r="C237" s="36" t="s">
        <v>419</v>
      </c>
      <c r="D237" s="36" t="s">
        <v>212</v>
      </c>
      <c r="E237" s="36"/>
      <c r="F237" s="38">
        <f t="shared" si="66"/>
        <v>0</v>
      </c>
      <c r="G237" s="37" t="s">
        <v>414</v>
      </c>
      <c r="H237" s="47"/>
      <c r="I237" s="48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8"/>
      <c r="U237" s="48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8"/>
      <c r="AG237" s="48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>
        <v>0</v>
      </c>
      <c r="BA237" s="49">
        <v>0</v>
      </c>
      <c r="BB237" s="49">
        <v>0</v>
      </c>
      <c r="BC237" s="49">
        <v>0</v>
      </c>
      <c r="BD237" s="49">
        <v>0</v>
      </c>
      <c r="BE237" s="49">
        <v>0</v>
      </c>
      <c r="BF237" s="49"/>
      <c r="BG237" s="49"/>
      <c r="BH237" s="49"/>
      <c r="BI237" s="49">
        <v>0</v>
      </c>
      <c r="BJ237" s="49"/>
      <c r="BK237" s="49"/>
      <c r="BL237" s="49">
        <v>0</v>
      </c>
      <c r="BM237" s="49"/>
      <c r="BN237" s="49">
        <v>0</v>
      </c>
      <c r="BO237" s="49"/>
      <c r="BP237" s="50">
        <v>0</v>
      </c>
      <c r="BQ237" s="50">
        <v>0</v>
      </c>
      <c r="BR237" s="50"/>
      <c r="BS237" s="50">
        <v>0</v>
      </c>
      <c r="BT237" s="50">
        <v>0</v>
      </c>
      <c r="BU237" s="50">
        <v>0</v>
      </c>
      <c r="BV237" s="50"/>
      <c r="BW237" s="50">
        <v>0</v>
      </c>
      <c r="BX237" s="50"/>
      <c r="BY237" s="50"/>
      <c r="BZ237" s="50"/>
      <c r="CA237" s="50">
        <v>0</v>
      </c>
      <c r="CB237" s="50">
        <v>0</v>
      </c>
      <c r="CC237" s="50">
        <v>0</v>
      </c>
      <c r="CD237" s="50">
        <v>0</v>
      </c>
      <c r="CE237" s="50">
        <v>0</v>
      </c>
      <c r="CF237" s="50">
        <v>0</v>
      </c>
      <c r="CG237" s="50"/>
      <c r="CH237" s="50">
        <v>0</v>
      </c>
      <c r="CI237" s="50">
        <v>0</v>
      </c>
      <c r="CJ237" s="50">
        <v>0</v>
      </c>
      <c r="CK237" s="50">
        <v>0</v>
      </c>
      <c r="CL237" s="50">
        <v>0</v>
      </c>
      <c r="CM237" s="50">
        <v>0</v>
      </c>
      <c r="CN237" s="51">
        <v>0</v>
      </c>
      <c r="CO237" s="51">
        <v>0</v>
      </c>
      <c r="CP237" s="51">
        <v>0</v>
      </c>
      <c r="CQ237" s="51"/>
      <c r="CR237" s="51">
        <v>0</v>
      </c>
      <c r="CS237" s="51">
        <v>0</v>
      </c>
      <c r="CT237" s="51"/>
      <c r="CU237" s="51">
        <v>0</v>
      </c>
      <c r="CV237" s="51"/>
      <c r="CW237" s="51">
        <v>0</v>
      </c>
      <c r="CX237" s="51">
        <v>0</v>
      </c>
      <c r="CY237" s="51">
        <v>0</v>
      </c>
      <c r="CZ237" s="51">
        <v>0</v>
      </c>
      <c r="DA237" s="51">
        <v>0</v>
      </c>
      <c r="DB237" s="51"/>
      <c r="DC237" s="51">
        <v>0</v>
      </c>
      <c r="DD237" s="51">
        <v>0</v>
      </c>
      <c r="DE237" s="51">
        <v>0</v>
      </c>
      <c r="DF237" s="52">
        <v>0</v>
      </c>
      <c r="DG237" s="52">
        <v>0</v>
      </c>
      <c r="DH237" s="52">
        <v>0</v>
      </c>
      <c r="DI237" s="52">
        <v>0</v>
      </c>
      <c r="DJ237" s="52">
        <v>0</v>
      </c>
      <c r="DK237" s="52">
        <v>0</v>
      </c>
      <c r="DL237" s="52">
        <v>0</v>
      </c>
      <c r="DM237" s="52">
        <v>0</v>
      </c>
      <c r="DN237" s="52">
        <v>0</v>
      </c>
      <c r="DO237" s="52">
        <v>0</v>
      </c>
      <c r="DP237" s="52">
        <v>0</v>
      </c>
      <c r="DQ237" s="52">
        <v>0</v>
      </c>
      <c r="DR237" s="52">
        <v>0</v>
      </c>
      <c r="DS237" s="53">
        <v>0</v>
      </c>
      <c r="DT237" s="53">
        <v>0</v>
      </c>
      <c r="DU237" s="53">
        <v>0</v>
      </c>
      <c r="DV237" s="53">
        <v>0</v>
      </c>
      <c r="DW237" s="53">
        <v>0</v>
      </c>
      <c r="DX237" s="2"/>
      <c r="DY237" s="2"/>
      <c r="DZ237" s="46">
        <f t="shared" si="58"/>
        <v>0</v>
      </c>
      <c r="EA237" s="46">
        <f t="shared" si="59"/>
        <v>0</v>
      </c>
      <c r="EB237" s="46">
        <f t="shared" si="60"/>
        <v>0</v>
      </c>
      <c r="EC237" s="46">
        <f t="shared" si="61"/>
        <v>0</v>
      </c>
      <c r="ED237" s="46">
        <f t="shared" si="62"/>
        <v>0</v>
      </c>
      <c r="EE237" s="46">
        <f t="shared" si="63"/>
        <v>0</v>
      </c>
      <c r="EF237" s="46">
        <f t="shared" si="64"/>
        <v>0</v>
      </c>
      <c r="EG237" s="46">
        <f t="shared" si="65"/>
        <v>0</v>
      </c>
      <c r="EH237" s="46">
        <f t="shared" si="68"/>
        <v>0</v>
      </c>
      <c r="EI237" s="46">
        <f t="shared" si="67"/>
        <v>0</v>
      </c>
    </row>
    <row r="238" spans="3:139" ht="12">
      <c r="C238" s="36" t="s">
        <v>420</v>
      </c>
      <c r="D238" s="36" t="s">
        <v>212</v>
      </c>
      <c r="E238" s="36"/>
      <c r="F238" s="38">
        <f t="shared" si="66"/>
        <v>0</v>
      </c>
      <c r="G238" s="37" t="s">
        <v>414</v>
      </c>
      <c r="H238" s="47"/>
      <c r="I238" s="48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8"/>
      <c r="U238" s="48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8"/>
      <c r="AG238" s="48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>
        <v>0</v>
      </c>
      <c r="BA238" s="49">
        <v>0</v>
      </c>
      <c r="BB238" s="49">
        <v>0</v>
      </c>
      <c r="BC238" s="49">
        <v>0</v>
      </c>
      <c r="BD238" s="49">
        <v>0</v>
      </c>
      <c r="BE238" s="49">
        <v>0</v>
      </c>
      <c r="BF238" s="49"/>
      <c r="BG238" s="49"/>
      <c r="BH238" s="49"/>
      <c r="BI238" s="49">
        <v>0</v>
      </c>
      <c r="BJ238" s="49"/>
      <c r="BK238" s="49"/>
      <c r="BL238" s="49">
        <v>0</v>
      </c>
      <c r="BM238" s="49"/>
      <c r="BN238" s="49">
        <v>0</v>
      </c>
      <c r="BO238" s="49"/>
      <c r="BP238" s="50">
        <v>0</v>
      </c>
      <c r="BQ238" s="50">
        <v>0</v>
      </c>
      <c r="BR238" s="50"/>
      <c r="BS238" s="50">
        <v>0</v>
      </c>
      <c r="BT238" s="50">
        <v>0</v>
      </c>
      <c r="BU238" s="50">
        <v>0</v>
      </c>
      <c r="BV238" s="50"/>
      <c r="BW238" s="50">
        <v>0</v>
      </c>
      <c r="BX238" s="50"/>
      <c r="BY238" s="50"/>
      <c r="BZ238" s="50"/>
      <c r="CA238" s="50">
        <v>0</v>
      </c>
      <c r="CB238" s="50">
        <v>0</v>
      </c>
      <c r="CC238" s="50">
        <v>0</v>
      </c>
      <c r="CD238" s="50">
        <v>0</v>
      </c>
      <c r="CE238" s="50">
        <v>0</v>
      </c>
      <c r="CF238" s="50">
        <v>0</v>
      </c>
      <c r="CG238" s="50"/>
      <c r="CH238" s="50">
        <v>0</v>
      </c>
      <c r="CI238" s="50">
        <v>0</v>
      </c>
      <c r="CJ238" s="50">
        <v>0</v>
      </c>
      <c r="CK238" s="50">
        <v>0</v>
      </c>
      <c r="CL238" s="50">
        <v>0</v>
      </c>
      <c r="CM238" s="50">
        <v>0</v>
      </c>
      <c r="CN238" s="51">
        <v>0</v>
      </c>
      <c r="CO238" s="51">
        <v>0</v>
      </c>
      <c r="CP238" s="51">
        <v>0</v>
      </c>
      <c r="CQ238" s="51"/>
      <c r="CR238" s="51">
        <v>0</v>
      </c>
      <c r="CS238" s="51">
        <v>0</v>
      </c>
      <c r="CT238" s="51"/>
      <c r="CU238" s="51">
        <v>0</v>
      </c>
      <c r="CV238" s="51"/>
      <c r="CW238" s="51">
        <v>0</v>
      </c>
      <c r="CX238" s="51">
        <v>0</v>
      </c>
      <c r="CY238" s="51">
        <v>0</v>
      </c>
      <c r="CZ238" s="51">
        <v>0</v>
      </c>
      <c r="DA238" s="51">
        <v>0</v>
      </c>
      <c r="DB238" s="51"/>
      <c r="DC238" s="51">
        <v>0</v>
      </c>
      <c r="DD238" s="51">
        <v>0</v>
      </c>
      <c r="DE238" s="51">
        <v>0</v>
      </c>
      <c r="DF238" s="52">
        <v>0</v>
      </c>
      <c r="DG238" s="52">
        <v>0</v>
      </c>
      <c r="DH238" s="52">
        <v>0</v>
      </c>
      <c r="DI238" s="52">
        <v>0</v>
      </c>
      <c r="DJ238" s="52">
        <v>0</v>
      </c>
      <c r="DK238" s="52">
        <v>0</v>
      </c>
      <c r="DL238" s="52">
        <v>0</v>
      </c>
      <c r="DM238" s="52">
        <v>0</v>
      </c>
      <c r="DN238" s="52">
        <v>0</v>
      </c>
      <c r="DO238" s="52">
        <v>0</v>
      </c>
      <c r="DP238" s="52">
        <v>0</v>
      </c>
      <c r="DQ238" s="52">
        <v>0</v>
      </c>
      <c r="DR238" s="52">
        <v>0</v>
      </c>
      <c r="DS238" s="53">
        <v>0</v>
      </c>
      <c r="DT238" s="53">
        <v>0</v>
      </c>
      <c r="DU238" s="53">
        <v>0</v>
      </c>
      <c r="DV238" s="53">
        <v>0</v>
      </c>
      <c r="DW238" s="53">
        <v>0</v>
      </c>
      <c r="DX238" s="2"/>
      <c r="DY238" s="2"/>
      <c r="DZ238" s="46">
        <f t="shared" si="58"/>
        <v>0</v>
      </c>
      <c r="EA238" s="46">
        <f t="shared" si="59"/>
        <v>0</v>
      </c>
      <c r="EB238" s="46">
        <f t="shared" si="60"/>
        <v>0</v>
      </c>
      <c r="EC238" s="46">
        <f t="shared" si="61"/>
        <v>0</v>
      </c>
      <c r="ED238" s="46">
        <f t="shared" si="62"/>
        <v>0</v>
      </c>
      <c r="EE238" s="46">
        <f t="shared" si="63"/>
        <v>0</v>
      </c>
      <c r="EF238" s="46">
        <f t="shared" si="64"/>
        <v>0</v>
      </c>
      <c r="EG238" s="46">
        <f t="shared" si="65"/>
        <v>0</v>
      </c>
      <c r="EH238" s="46">
        <f t="shared" si="68"/>
        <v>0</v>
      </c>
      <c r="EI238" s="46">
        <f t="shared" si="67"/>
        <v>0</v>
      </c>
    </row>
    <row r="239" spans="3:139" ht="12">
      <c r="C239" s="36" t="s">
        <v>421</v>
      </c>
      <c r="D239" s="36" t="s">
        <v>212</v>
      </c>
      <c r="E239" s="36"/>
      <c r="F239" s="38">
        <f t="shared" si="66"/>
        <v>0</v>
      </c>
      <c r="G239" s="37" t="s">
        <v>414</v>
      </c>
      <c r="H239" s="47"/>
      <c r="I239" s="48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8"/>
      <c r="U239" s="48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8"/>
      <c r="AG239" s="48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>
        <v>0</v>
      </c>
      <c r="BA239" s="49">
        <v>0</v>
      </c>
      <c r="BB239" s="49">
        <v>0</v>
      </c>
      <c r="BC239" s="49">
        <v>0</v>
      </c>
      <c r="BD239" s="49">
        <v>0</v>
      </c>
      <c r="BE239" s="49">
        <v>0</v>
      </c>
      <c r="BF239" s="49"/>
      <c r="BG239" s="49"/>
      <c r="BH239" s="49"/>
      <c r="BI239" s="49">
        <v>0</v>
      </c>
      <c r="BJ239" s="49"/>
      <c r="BK239" s="49"/>
      <c r="BL239" s="49">
        <v>0</v>
      </c>
      <c r="BM239" s="49"/>
      <c r="BN239" s="49">
        <v>0</v>
      </c>
      <c r="BO239" s="49"/>
      <c r="BP239" s="50">
        <v>0</v>
      </c>
      <c r="BQ239" s="50">
        <v>0</v>
      </c>
      <c r="BR239" s="50"/>
      <c r="BS239" s="50">
        <v>0</v>
      </c>
      <c r="BT239" s="50">
        <v>0</v>
      </c>
      <c r="BU239" s="50">
        <v>0</v>
      </c>
      <c r="BV239" s="50"/>
      <c r="BW239" s="50">
        <v>0</v>
      </c>
      <c r="BX239" s="50"/>
      <c r="BY239" s="50"/>
      <c r="BZ239" s="50"/>
      <c r="CA239" s="50">
        <v>0</v>
      </c>
      <c r="CB239" s="50">
        <v>0</v>
      </c>
      <c r="CC239" s="50">
        <v>0</v>
      </c>
      <c r="CD239" s="50">
        <v>0</v>
      </c>
      <c r="CE239" s="50">
        <v>0</v>
      </c>
      <c r="CF239" s="50">
        <v>0</v>
      </c>
      <c r="CG239" s="50"/>
      <c r="CH239" s="50">
        <v>0</v>
      </c>
      <c r="CI239" s="50">
        <v>0</v>
      </c>
      <c r="CJ239" s="50">
        <v>0</v>
      </c>
      <c r="CK239" s="50">
        <v>0</v>
      </c>
      <c r="CL239" s="50">
        <v>0</v>
      </c>
      <c r="CM239" s="50">
        <v>0</v>
      </c>
      <c r="CN239" s="51">
        <v>0</v>
      </c>
      <c r="CO239" s="51">
        <v>0</v>
      </c>
      <c r="CP239" s="51">
        <v>0</v>
      </c>
      <c r="CQ239" s="51"/>
      <c r="CR239" s="51">
        <v>0</v>
      </c>
      <c r="CS239" s="51">
        <v>0</v>
      </c>
      <c r="CT239" s="51"/>
      <c r="CU239" s="51">
        <v>0</v>
      </c>
      <c r="CV239" s="51"/>
      <c r="CW239" s="51">
        <v>0</v>
      </c>
      <c r="CX239" s="51">
        <v>0</v>
      </c>
      <c r="CY239" s="51">
        <v>0</v>
      </c>
      <c r="CZ239" s="51">
        <v>0</v>
      </c>
      <c r="DA239" s="51">
        <v>0</v>
      </c>
      <c r="DB239" s="51"/>
      <c r="DC239" s="51">
        <v>0</v>
      </c>
      <c r="DD239" s="51">
        <v>0</v>
      </c>
      <c r="DE239" s="51">
        <v>0</v>
      </c>
      <c r="DF239" s="52">
        <v>0</v>
      </c>
      <c r="DG239" s="52">
        <v>0</v>
      </c>
      <c r="DH239" s="52">
        <v>0</v>
      </c>
      <c r="DI239" s="52">
        <v>0</v>
      </c>
      <c r="DJ239" s="52">
        <v>0</v>
      </c>
      <c r="DK239" s="52">
        <v>0</v>
      </c>
      <c r="DL239" s="52">
        <v>0</v>
      </c>
      <c r="DM239" s="52">
        <v>0</v>
      </c>
      <c r="DN239" s="52">
        <v>0</v>
      </c>
      <c r="DO239" s="52">
        <v>0</v>
      </c>
      <c r="DP239" s="52">
        <v>0</v>
      </c>
      <c r="DQ239" s="52">
        <v>0</v>
      </c>
      <c r="DR239" s="52">
        <v>0</v>
      </c>
      <c r="DS239" s="53">
        <v>0</v>
      </c>
      <c r="DT239" s="53">
        <v>0</v>
      </c>
      <c r="DU239" s="53">
        <v>0</v>
      </c>
      <c r="DV239" s="53">
        <v>0</v>
      </c>
      <c r="DW239" s="53">
        <v>0</v>
      </c>
      <c r="DX239" s="2"/>
      <c r="DY239" s="2"/>
      <c r="DZ239" s="46">
        <f t="shared" si="58"/>
        <v>0</v>
      </c>
      <c r="EA239" s="46">
        <f t="shared" si="59"/>
        <v>0</v>
      </c>
      <c r="EB239" s="46">
        <f t="shared" si="60"/>
        <v>0</v>
      </c>
      <c r="EC239" s="46">
        <f t="shared" si="61"/>
        <v>0</v>
      </c>
      <c r="ED239" s="46">
        <f t="shared" si="62"/>
        <v>0</v>
      </c>
      <c r="EE239" s="46">
        <f t="shared" si="63"/>
        <v>0</v>
      </c>
      <c r="EF239" s="46">
        <f t="shared" si="64"/>
        <v>0</v>
      </c>
      <c r="EG239" s="46">
        <f t="shared" si="65"/>
        <v>0</v>
      </c>
      <c r="EH239" s="46">
        <f t="shared" si="68"/>
        <v>0</v>
      </c>
      <c r="EI239" s="46">
        <f t="shared" si="67"/>
        <v>0</v>
      </c>
    </row>
    <row r="240" spans="3:139" ht="12">
      <c r="C240" s="36" t="s">
        <v>422</v>
      </c>
      <c r="D240" s="36" t="s">
        <v>212</v>
      </c>
      <c r="E240" s="36"/>
      <c r="F240" s="38">
        <f t="shared" si="66"/>
        <v>10</v>
      </c>
      <c r="G240" s="37" t="s">
        <v>414</v>
      </c>
      <c r="H240" s="47"/>
      <c r="I240" s="48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8"/>
      <c r="U240" s="48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8"/>
      <c r="AG240" s="48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>
        <v>10</v>
      </c>
      <c r="AZ240" s="49">
        <v>0</v>
      </c>
      <c r="BA240" s="49">
        <v>0</v>
      </c>
      <c r="BB240" s="49">
        <v>0</v>
      </c>
      <c r="BC240" s="49">
        <v>0</v>
      </c>
      <c r="BD240" s="49">
        <v>0</v>
      </c>
      <c r="BE240" s="49">
        <v>0</v>
      </c>
      <c r="BF240" s="49"/>
      <c r="BG240" s="49"/>
      <c r="BH240" s="49"/>
      <c r="BI240" s="49">
        <v>0</v>
      </c>
      <c r="BJ240" s="49"/>
      <c r="BK240" s="49"/>
      <c r="BL240" s="49">
        <v>0</v>
      </c>
      <c r="BM240" s="49"/>
      <c r="BN240" s="49">
        <v>0</v>
      </c>
      <c r="BO240" s="49"/>
      <c r="BP240" s="50">
        <v>0</v>
      </c>
      <c r="BQ240" s="50">
        <v>0</v>
      </c>
      <c r="BR240" s="50"/>
      <c r="BS240" s="50">
        <v>0</v>
      </c>
      <c r="BT240" s="50">
        <v>0</v>
      </c>
      <c r="BU240" s="50">
        <v>0</v>
      </c>
      <c r="BV240" s="50"/>
      <c r="BW240" s="50">
        <v>0</v>
      </c>
      <c r="BX240" s="50"/>
      <c r="BY240" s="50"/>
      <c r="BZ240" s="50"/>
      <c r="CA240" s="50">
        <v>0</v>
      </c>
      <c r="CB240" s="50">
        <v>0</v>
      </c>
      <c r="CC240" s="50">
        <v>0</v>
      </c>
      <c r="CD240" s="50">
        <v>0</v>
      </c>
      <c r="CE240" s="50">
        <v>0</v>
      </c>
      <c r="CF240" s="50">
        <v>0</v>
      </c>
      <c r="CG240" s="50"/>
      <c r="CH240" s="50">
        <v>0</v>
      </c>
      <c r="CI240" s="50">
        <v>0</v>
      </c>
      <c r="CJ240" s="50">
        <v>0</v>
      </c>
      <c r="CK240" s="50">
        <v>0</v>
      </c>
      <c r="CL240" s="50">
        <v>0</v>
      </c>
      <c r="CM240" s="50">
        <v>0</v>
      </c>
      <c r="CN240" s="51">
        <v>0</v>
      </c>
      <c r="CO240" s="51">
        <v>0</v>
      </c>
      <c r="CP240" s="51">
        <v>0</v>
      </c>
      <c r="CQ240" s="51"/>
      <c r="CR240" s="51">
        <v>0</v>
      </c>
      <c r="CS240" s="51">
        <v>0</v>
      </c>
      <c r="CT240" s="51"/>
      <c r="CU240" s="51">
        <v>0</v>
      </c>
      <c r="CV240" s="51"/>
      <c r="CW240" s="51">
        <v>0</v>
      </c>
      <c r="CX240" s="51">
        <v>0</v>
      </c>
      <c r="CY240" s="51">
        <v>0</v>
      </c>
      <c r="CZ240" s="51">
        <v>0</v>
      </c>
      <c r="DA240" s="51">
        <v>0</v>
      </c>
      <c r="DB240" s="51"/>
      <c r="DC240" s="51">
        <v>0</v>
      </c>
      <c r="DD240" s="51">
        <v>0</v>
      </c>
      <c r="DE240" s="51">
        <v>0</v>
      </c>
      <c r="DF240" s="52">
        <v>0</v>
      </c>
      <c r="DG240" s="52">
        <v>0</v>
      </c>
      <c r="DH240" s="52">
        <v>0</v>
      </c>
      <c r="DI240" s="52">
        <v>0</v>
      </c>
      <c r="DJ240" s="52">
        <v>0</v>
      </c>
      <c r="DK240" s="52">
        <v>0</v>
      </c>
      <c r="DL240" s="52">
        <v>0</v>
      </c>
      <c r="DM240" s="52">
        <v>0</v>
      </c>
      <c r="DN240" s="52">
        <v>0</v>
      </c>
      <c r="DO240" s="52">
        <v>0</v>
      </c>
      <c r="DP240" s="52">
        <v>0</v>
      </c>
      <c r="DQ240" s="52">
        <v>0</v>
      </c>
      <c r="DR240" s="52">
        <v>0</v>
      </c>
      <c r="DS240" s="53">
        <v>0</v>
      </c>
      <c r="DT240" s="53">
        <v>0</v>
      </c>
      <c r="DU240" s="53">
        <v>0</v>
      </c>
      <c r="DV240" s="53">
        <v>0</v>
      </c>
      <c r="DW240" s="53">
        <v>0</v>
      </c>
      <c r="DX240" s="2"/>
      <c r="DY240" s="2"/>
      <c r="DZ240" s="46">
        <f t="shared" si="58"/>
        <v>0</v>
      </c>
      <c r="EA240" s="46">
        <f t="shared" si="59"/>
        <v>0</v>
      </c>
      <c r="EB240" s="46">
        <f t="shared" si="60"/>
        <v>0</v>
      </c>
      <c r="EC240" s="46">
        <f t="shared" si="61"/>
        <v>10</v>
      </c>
      <c r="ED240" s="46">
        <f t="shared" si="62"/>
        <v>0</v>
      </c>
      <c r="EE240" s="46">
        <f t="shared" si="63"/>
        <v>0</v>
      </c>
      <c r="EF240" s="46">
        <f t="shared" si="64"/>
        <v>0</v>
      </c>
      <c r="EG240" s="46">
        <f t="shared" si="65"/>
        <v>0</v>
      </c>
      <c r="EH240" s="46">
        <f t="shared" si="68"/>
        <v>0</v>
      </c>
      <c r="EI240" s="46">
        <f t="shared" si="67"/>
        <v>0</v>
      </c>
    </row>
    <row r="241" spans="3:139" ht="12">
      <c r="C241" s="36" t="s">
        <v>423</v>
      </c>
      <c r="D241" s="36" t="s">
        <v>212</v>
      </c>
      <c r="E241" s="36"/>
      <c r="F241" s="38">
        <f t="shared" si="66"/>
        <v>0</v>
      </c>
      <c r="G241" s="37" t="s">
        <v>414</v>
      </c>
      <c r="H241" s="47"/>
      <c r="I241" s="48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8"/>
      <c r="U241" s="48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8"/>
      <c r="AG241" s="48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>
        <v>0</v>
      </c>
      <c r="BA241" s="49">
        <v>0</v>
      </c>
      <c r="BB241" s="49">
        <v>0</v>
      </c>
      <c r="BC241" s="49">
        <v>0</v>
      </c>
      <c r="BD241" s="49">
        <v>0</v>
      </c>
      <c r="BE241" s="49">
        <v>0</v>
      </c>
      <c r="BF241" s="49"/>
      <c r="BG241" s="49"/>
      <c r="BH241" s="49"/>
      <c r="BI241" s="49">
        <v>0</v>
      </c>
      <c r="BJ241" s="49"/>
      <c r="BK241" s="49"/>
      <c r="BL241" s="49">
        <v>0</v>
      </c>
      <c r="BM241" s="49"/>
      <c r="BN241" s="49">
        <v>0</v>
      </c>
      <c r="BO241" s="49"/>
      <c r="BP241" s="50">
        <v>0</v>
      </c>
      <c r="BQ241" s="50">
        <v>0</v>
      </c>
      <c r="BR241" s="50"/>
      <c r="BS241" s="50">
        <v>0</v>
      </c>
      <c r="BT241" s="50">
        <v>0</v>
      </c>
      <c r="BU241" s="50">
        <v>0</v>
      </c>
      <c r="BV241" s="50"/>
      <c r="BW241" s="50">
        <v>0</v>
      </c>
      <c r="BX241" s="50"/>
      <c r="BY241" s="50"/>
      <c r="BZ241" s="50"/>
      <c r="CA241" s="50">
        <v>0</v>
      </c>
      <c r="CB241" s="50">
        <v>0</v>
      </c>
      <c r="CC241" s="50">
        <v>0</v>
      </c>
      <c r="CD241" s="50">
        <v>0</v>
      </c>
      <c r="CE241" s="50">
        <v>0</v>
      </c>
      <c r="CF241" s="50">
        <v>0</v>
      </c>
      <c r="CG241" s="50"/>
      <c r="CH241" s="50">
        <v>0</v>
      </c>
      <c r="CI241" s="50">
        <v>0</v>
      </c>
      <c r="CJ241" s="50">
        <v>0</v>
      </c>
      <c r="CK241" s="50">
        <v>0</v>
      </c>
      <c r="CL241" s="50">
        <v>0</v>
      </c>
      <c r="CM241" s="50">
        <v>0</v>
      </c>
      <c r="CN241" s="51">
        <v>0</v>
      </c>
      <c r="CO241" s="51">
        <v>0</v>
      </c>
      <c r="CP241" s="51">
        <v>0</v>
      </c>
      <c r="CQ241" s="51"/>
      <c r="CR241" s="51">
        <v>0</v>
      </c>
      <c r="CS241" s="51">
        <v>0</v>
      </c>
      <c r="CT241" s="51"/>
      <c r="CU241" s="51">
        <v>0</v>
      </c>
      <c r="CV241" s="51"/>
      <c r="CW241" s="51">
        <v>0</v>
      </c>
      <c r="CX241" s="51">
        <v>0</v>
      </c>
      <c r="CY241" s="51">
        <v>0</v>
      </c>
      <c r="CZ241" s="51">
        <v>0</v>
      </c>
      <c r="DA241" s="51">
        <v>0</v>
      </c>
      <c r="DB241" s="51"/>
      <c r="DC241" s="51">
        <v>0</v>
      </c>
      <c r="DD241" s="51">
        <v>0</v>
      </c>
      <c r="DE241" s="51">
        <v>0</v>
      </c>
      <c r="DF241" s="52">
        <v>0</v>
      </c>
      <c r="DG241" s="52">
        <v>0</v>
      </c>
      <c r="DH241" s="52">
        <v>0</v>
      </c>
      <c r="DI241" s="52">
        <v>0</v>
      </c>
      <c r="DJ241" s="52">
        <v>0</v>
      </c>
      <c r="DK241" s="52">
        <v>0</v>
      </c>
      <c r="DL241" s="52">
        <v>0</v>
      </c>
      <c r="DM241" s="52">
        <v>0</v>
      </c>
      <c r="DN241" s="52">
        <v>0</v>
      </c>
      <c r="DO241" s="52">
        <v>0</v>
      </c>
      <c r="DP241" s="52">
        <v>0</v>
      </c>
      <c r="DQ241" s="52">
        <v>0</v>
      </c>
      <c r="DR241" s="52">
        <v>0</v>
      </c>
      <c r="DS241" s="53">
        <v>0</v>
      </c>
      <c r="DT241" s="53">
        <v>0</v>
      </c>
      <c r="DU241" s="53">
        <v>0</v>
      </c>
      <c r="DV241" s="53">
        <v>0</v>
      </c>
      <c r="DW241" s="53">
        <v>0</v>
      </c>
      <c r="DX241" s="2"/>
      <c r="DY241" s="2"/>
      <c r="DZ241" s="46">
        <f t="shared" si="58"/>
        <v>0</v>
      </c>
      <c r="EA241" s="46">
        <f t="shared" si="59"/>
        <v>0</v>
      </c>
      <c r="EB241" s="46">
        <f t="shared" si="60"/>
        <v>0</v>
      </c>
      <c r="EC241" s="46">
        <f t="shared" si="61"/>
        <v>0</v>
      </c>
      <c r="ED241" s="46">
        <f t="shared" si="62"/>
        <v>0</v>
      </c>
      <c r="EE241" s="46">
        <f t="shared" si="63"/>
        <v>0</v>
      </c>
      <c r="EF241" s="46">
        <f t="shared" si="64"/>
        <v>0</v>
      </c>
      <c r="EG241" s="46">
        <f t="shared" si="65"/>
        <v>0</v>
      </c>
      <c r="EH241" s="46">
        <f t="shared" si="68"/>
        <v>0</v>
      </c>
      <c r="EI241" s="46">
        <f t="shared" si="67"/>
        <v>0</v>
      </c>
    </row>
    <row r="242" spans="3:139" ht="12">
      <c r="C242" s="36" t="s">
        <v>424</v>
      </c>
      <c r="D242" s="36" t="s">
        <v>425</v>
      </c>
      <c r="E242" s="36" t="s">
        <v>426</v>
      </c>
      <c r="F242" s="38">
        <f t="shared" si="66"/>
        <v>10</v>
      </c>
      <c r="G242" s="37" t="s">
        <v>414</v>
      </c>
      <c r="H242" s="47"/>
      <c r="I242" s="48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8"/>
      <c r="U242" s="48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8"/>
      <c r="AG242" s="48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>
        <v>10</v>
      </c>
      <c r="AY242" s="49"/>
      <c r="AZ242" s="49">
        <v>0</v>
      </c>
      <c r="BA242" s="49">
        <v>0</v>
      </c>
      <c r="BB242" s="49">
        <v>0</v>
      </c>
      <c r="BC242" s="49">
        <v>0</v>
      </c>
      <c r="BD242" s="49">
        <v>0</v>
      </c>
      <c r="BE242" s="49">
        <v>0</v>
      </c>
      <c r="BF242" s="49"/>
      <c r="BG242" s="49"/>
      <c r="BH242" s="49"/>
      <c r="BI242" s="49">
        <v>0</v>
      </c>
      <c r="BJ242" s="49"/>
      <c r="BK242" s="49"/>
      <c r="BL242" s="49">
        <v>0</v>
      </c>
      <c r="BM242" s="49"/>
      <c r="BN242" s="49">
        <v>0</v>
      </c>
      <c r="BO242" s="49"/>
      <c r="BP242" s="50">
        <v>0</v>
      </c>
      <c r="BQ242" s="50">
        <v>0</v>
      </c>
      <c r="BR242" s="50"/>
      <c r="BS242" s="50">
        <v>0</v>
      </c>
      <c r="BT242" s="50">
        <v>0</v>
      </c>
      <c r="BU242" s="50">
        <v>0</v>
      </c>
      <c r="BV242" s="50"/>
      <c r="BW242" s="50">
        <v>0</v>
      </c>
      <c r="BX242" s="50"/>
      <c r="BY242" s="50"/>
      <c r="BZ242" s="50"/>
      <c r="CA242" s="50">
        <v>0</v>
      </c>
      <c r="CB242" s="50">
        <v>0</v>
      </c>
      <c r="CC242" s="50">
        <v>0</v>
      </c>
      <c r="CD242" s="50">
        <v>0</v>
      </c>
      <c r="CE242" s="50">
        <v>0</v>
      </c>
      <c r="CF242" s="50">
        <v>0</v>
      </c>
      <c r="CG242" s="50"/>
      <c r="CH242" s="50">
        <v>0</v>
      </c>
      <c r="CI242" s="50">
        <v>0</v>
      </c>
      <c r="CJ242" s="50">
        <v>0</v>
      </c>
      <c r="CK242" s="50">
        <v>0</v>
      </c>
      <c r="CL242" s="50">
        <v>0</v>
      </c>
      <c r="CM242" s="50">
        <v>0</v>
      </c>
      <c r="CN242" s="51">
        <v>0</v>
      </c>
      <c r="CO242" s="51">
        <v>0</v>
      </c>
      <c r="CP242" s="51">
        <v>0</v>
      </c>
      <c r="CQ242" s="51">
        <v>0</v>
      </c>
      <c r="CR242" s="51">
        <v>0</v>
      </c>
      <c r="CS242" s="51">
        <v>0</v>
      </c>
      <c r="CT242" s="51">
        <v>0</v>
      </c>
      <c r="CU242" s="51">
        <v>0</v>
      </c>
      <c r="CV242" s="51">
        <v>0</v>
      </c>
      <c r="CW242" s="51">
        <v>0</v>
      </c>
      <c r="CX242" s="51">
        <v>0</v>
      </c>
      <c r="CY242" s="51">
        <v>0</v>
      </c>
      <c r="CZ242" s="51">
        <v>0</v>
      </c>
      <c r="DA242" s="51">
        <v>0</v>
      </c>
      <c r="DB242" s="51">
        <v>0</v>
      </c>
      <c r="DC242" s="51">
        <v>0</v>
      </c>
      <c r="DD242" s="51">
        <v>0</v>
      </c>
      <c r="DE242" s="51">
        <v>0</v>
      </c>
      <c r="DF242" s="52">
        <v>0</v>
      </c>
      <c r="DG242" s="52">
        <v>0</v>
      </c>
      <c r="DH242" s="52">
        <v>0</v>
      </c>
      <c r="DI242" s="52">
        <v>0</v>
      </c>
      <c r="DJ242" s="52">
        <v>0</v>
      </c>
      <c r="DK242" s="52">
        <v>0</v>
      </c>
      <c r="DL242" s="52">
        <v>0</v>
      </c>
      <c r="DM242" s="52">
        <v>0</v>
      </c>
      <c r="DN242" s="52">
        <v>0</v>
      </c>
      <c r="DO242" s="52">
        <v>0</v>
      </c>
      <c r="DP242" s="52">
        <v>0</v>
      </c>
      <c r="DQ242" s="52">
        <v>0</v>
      </c>
      <c r="DR242" s="52">
        <v>0</v>
      </c>
      <c r="DS242" s="53">
        <v>0</v>
      </c>
      <c r="DT242" s="53">
        <v>0</v>
      </c>
      <c r="DU242" s="53">
        <v>0</v>
      </c>
      <c r="DV242" s="53">
        <v>0</v>
      </c>
      <c r="DW242" s="53">
        <v>0</v>
      </c>
      <c r="DX242" s="2"/>
      <c r="DY242" s="2"/>
      <c r="DZ242" s="46">
        <f t="shared" si="58"/>
        <v>0</v>
      </c>
      <c r="EA242" s="46">
        <f t="shared" si="59"/>
        <v>0</v>
      </c>
      <c r="EB242" s="46">
        <f t="shared" si="60"/>
        <v>0</v>
      </c>
      <c r="EC242" s="46">
        <f t="shared" si="61"/>
        <v>10</v>
      </c>
      <c r="ED242" s="46">
        <f t="shared" si="62"/>
        <v>0</v>
      </c>
      <c r="EE242" s="46">
        <f t="shared" si="63"/>
        <v>0</v>
      </c>
      <c r="EF242" s="46">
        <f t="shared" si="64"/>
        <v>0</v>
      </c>
      <c r="EG242" s="46">
        <f t="shared" si="65"/>
        <v>0</v>
      </c>
      <c r="EH242" s="46">
        <f t="shared" si="68"/>
        <v>0</v>
      </c>
      <c r="EI242" s="46">
        <f t="shared" si="67"/>
        <v>0</v>
      </c>
    </row>
    <row r="243" spans="3:139" ht="12">
      <c r="C243" s="36" t="s">
        <v>427</v>
      </c>
      <c r="D243" s="36" t="s">
        <v>212</v>
      </c>
      <c r="E243" s="36"/>
      <c r="F243" s="38">
        <f t="shared" si="66"/>
        <v>0</v>
      </c>
      <c r="G243" s="37" t="s">
        <v>414</v>
      </c>
      <c r="H243" s="47"/>
      <c r="I243" s="48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8"/>
      <c r="U243" s="48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8"/>
      <c r="AG243" s="48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>
        <v>0</v>
      </c>
      <c r="BA243" s="49">
        <v>0</v>
      </c>
      <c r="BB243" s="49">
        <v>0</v>
      </c>
      <c r="BC243" s="49">
        <v>0</v>
      </c>
      <c r="BD243" s="49">
        <v>0</v>
      </c>
      <c r="BE243" s="49">
        <v>0</v>
      </c>
      <c r="BF243" s="49"/>
      <c r="BG243" s="49"/>
      <c r="BH243" s="49"/>
      <c r="BI243" s="49">
        <v>0</v>
      </c>
      <c r="BJ243" s="49"/>
      <c r="BK243" s="49"/>
      <c r="BL243" s="49">
        <v>0</v>
      </c>
      <c r="BM243" s="49"/>
      <c r="BN243" s="49">
        <v>0</v>
      </c>
      <c r="BO243" s="49"/>
      <c r="BP243" s="50">
        <v>0</v>
      </c>
      <c r="BQ243" s="50">
        <v>0</v>
      </c>
      <c r="BR243" s="50"/>
      <c r="BS243" s="50">
        <v>0</v>
      </c>
      <c r="BT243" s="50">
        <v>0</v>
      </c>
      <c r="BU243" s="50">
        <v>0</v>
      </c>
      <c r="BV243" s="50"/>
      <c r="BW243" s="50">
        <v>0</v>
      </c>
      <c r="BX243" s="50"/>
      <c r="BY243" s="50"/>
      <c r="BZ243" s="50"/>
      <c r="CA243" s="50">
        <v>0</v>
      </c>
      <c r="CB243" s="50">
        <v>0</v>
      </c>
      <c r="CC243" s="50">
        <v>0</v>
      </c>
      <c r="CD243" s="50">
        <v>0</v>
      </c>
      <c r="CE243" s="50">
        <v>0</v>
      </c>
      <c r="CF243" s="50">
        <v>0</v>
      </c>
      <c r="CG243" s="50"/>
      <c r="CH243" s="50">
        <v>0</v>
      </c>
      <c r="CI243" s="50">
        <v>0</v>
      </c>
      <c r="CJ243" s="50">
        <v>0</v>
      </c>
      <c r="CK243" s="50">
        <v>0</v>
      </c>
      <c r="CL243" s="50">
        <v>0</v>
      </c>
      <c r="CM243" s="50">
        <v>0</v>
      </c>
      <c r="CN243" s="51">
        <v>0</v>
      </c>
      <c r="CO243" s="51">
        <v>0</v>
      </c>
      <c r="CP243" s="51">
        <v>0</v>
      </c>
      <c r="CQ243" s="51"/>
      <c r="CR243" s="51">
        <v>0</v>
      </c>
      <c r="CS243" s="51">
        <v>0</v>
      </c>
      <c r="CT243" s="51"/>
      <c r="CU243" s="51">
        <v>0</v>
      </c>
      <c r="CV243" s="51"/>
      <c r="CW243" s="51">
        <v>0</v>
      </c>
      <c r="CX243" s="51">
        <v>0</v>
      </c>
      <c r="CY243" s="51">
        <v>0</v>
      </c>
      <c r="CZ243" s="51">
        <v>0</v>
      </c>
      <c r="DA243" s="51">
        <v>0</v>
      </c>
      <c r="DB243" s="51"/>
      <c r="DC243" s="51">
        <v>0</v>
      </c>
      <c r="DD243" s="51">
        <v>0</v>
      </c>
      <c r="DE243" s="51">
        <v>0</v>
      </c>
      <c r="DF243" s="52">
        <v>0</v>
      </c>
      <c r="DG243" s="52">
        <v>0</v>
      </c>
      <c r="DH243" s="52">
        <v>0</v>
      </c>
      <c r="DI243" s="52">
        <v>0</v>
      </c>
      <c r="DJ243" s="52">
        <v>0</v>
      </c>
      <c r="DK243" s="52">
        <v>0</v>
      </c>
      <c r="DL243" s="52">
        <v>0</v>
      </c>
      <c r="DM243" s="52">
        <v>0</v>
      </c>
      <c r="DN243" s="52">
        <v>0</v>
      </c>
      <c r="DO243" s="52">
        <v>0</v>
      </c>
      <c r="DP243" s="52">
        <v>0</v>
      </c>
      <c r="DQ243" s="52">
        <v>0</v>
      </c>
      <c r="DR243" s="52">
        <v>0</v>
      </c>
      <c r="DS243" s="53">
        <v>0</v>
      </c>
      <c r="DT243" s="53">
        <v>0</v>
      </c>
      <c r="DU243" s="53">
        <v>0</v>
      </c>
      <c r="DV243" s="53">
        <v>0</v>
      </c>
      <c r="DW243" s="53">
        <v>0</v>
      </c>
      <c r="DX243" s="2"/>
      <c r="DY243" s="2"/>
      <c r="DZ243" s="46">
        <f t="shared" si="58"/>
        <v>0</v>
      </c>
      <c r="EA243" s="46">
        <f t="shared" si="59"/>
        <v>0</v>
      </c>
      <c r="EB243" s="46">
        <f t="shared" si="60"/>
        <v>0</v>
      </c>
      <c r="EC243" s="46">
        <f t="shared" si="61"/>
        <v>0</v>
      </c>
      <c r="ED243" s="46">
        <f t="shared" si="62"/>
        <v>0</v>
      </c>
      <c r="EE243" s="46">
        <f t="shared" si="63"/>
        <v>0</v>
      </c>
      <c r="EF243" s="46">
        <f t="shared" si="64"/>
        <v>0</v>
      </c>
      <c r="EG243" s="46">
        <f t="shared" si="65"/>
        <v>0</v>
      </c>
      <c r="EH243" s="46">
        <f t="shared" si="68"/>
        <v>0</v>
      </c>
      <c r="EI243" s="46">
        <f t="shared" si="67"/>
        <v>0</v>
      </c>
    </row>
    <row r="244" spans="3:139" ht="12">
      <c r="C244" s="36" t="s">
        <v>428</v>
      </c>
      <c r="D244" s="36" t="s">
        <v>425</v>
      </c>
      <c r="E244" s="36" t="s">
        <v>426</v>
      </c>
      <c r="F244" s="38">
        <f t="shared" si="66"/>
        <v>58558</v>
      </c>
      <c r="G244" s="37" t="s">
        <v>414</v>
      </c>
      <c r="H244" s="47"/>
      <c r="I244" s="48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8"/>
      <c r="U244" s="48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8"/>
      <c r="AG244" s="48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>
        <v>10</v>
      </c>
      <c r="AY244" s="49">
        <v>10577</v>
      </c>
      <c r="AZ244" s="49">
        <v>7300</v>
      </c>
      <c r="BA244" s="49">
        <v>8417</v>
      </c>
      <c r="BB244" s="49">
        <v>7821</v>
      </c>
      <c r="BC244" s="49">
        <v>6039</v>
      </c>
      <c r="BD244" s="49">
        <v>9040</v>
      </c>
      <c r="BE244" s="49">
        <v>5880</v>
      </c>
      <c r="BF244" s="49">
        <v>2500</v>
      </c>
      <c r="BG244" s="49"/>
      <c r="BH244" s="49"/>
      <c r="BI244" s="49">
        <v>100</v>
      </c>
      <c r="BJ244" s="49">
        <v>98</v>
      </c>
      <c r="BK244" s="49"/>
      <c r="BL244" s="49">
        <v>0</v>
      </c>
      <c r="BM244" s="49"/>
      <c r="BN244" s="49">
        <v>149</v>
      </c>
      <c r="BO244" s="49"/>
      <c r="BP244" s="50">
        <v>0</v>
      </c>
      <c r="BQ244" s="50">
        <v>0</v>
      </c>
      <c r="BR244" s="50"/>
      <c r="BS244" s="50">
        <v>27</v>
      </c>
      <c r="BT244" s="50">
        <v>103</v>
      </c>
      <c r="BU244" s="50">
        <v>0</v>
      </c>
      <c r="BV244" s="50"/>
      <c r="BW244" s="50">
        <v>0</v>
      </c>
      <c r="BX244" s="50"/>
      <c r="BY244" s="50"/>
      <c r="BZ244" s="50"/>
      <c r="CA244" s="50">
        <v>0</v>
      </c>
      <c r="CB244" s="50">
        <v>0</v>
      </c>
      <c r="CC244" s="50">
        <v>49</v>
      </c>
      <c r="CD244" s="50">
        <v>18</v>
      </c>
      <c r="CE244" s="50">
        <v>58</v>
      </c>
      <c r="CF244" s="50">
        <v>5</v>
      </c>
      <c r="CG244" s="50"/>
      <c r="CH244" s="50">
        <v>0</v>
      </c>
      <c r="CI244" s="50">
        <v>0</v>
      </c>
      <c r="CJ244" s="50">
        <v>0</v>
      </c>
      <c r="CK244" s="50">
        <v>0</v>
      </c>
      <c r="CL244" s="50">
        <v>0</v>
      </c>
      <c r="CM244" s="50">
        <v>20</v>
      </c>
      <c r="CN244" s="51">
        <v>0</v>
      </c>
      <c r="CO244" s="51">
        <v>0</v>
      </c>
      <c r="CP244" s="51">
        <v>77</v>
      </c>
      <c r="CQ244" s="51">
        <v>0</v>
      </c>
      <c r="CR244" s="51">
        <v>36</v>
      </c>
      <c r="CS244" s="51">
        <v>0</v>
      </c>
      <c r="CT244" s="51">
        <v>0</v>
      </c>
      <c r="CU244" s="51">
        <v>0</v>
      </c>
      <c r="CV244" s="51">
        <v>0</v>
      </c>
      <c r="CW244" s="51">
        <v>0</v>
      </c>
      <c r="CX244" s="51">
        <v>25</v>
      </c>
      <c r="CY244" s="51">
        <v>0</v>
      </c>
      <c r="CZ244" s="51">
        <v>0</v>
      </c>
      <c r="DA244" s="51">
        <v>40</v>
      </c>
      <c r="DB244" s="51">
        <v>0</v>
      </c>
      <c r="DC244" s="51">
        <v>0</v>
      </c>
      <c r="DD244" s="51">
        <v>0</v>
      </c>
      <c r="DE244" s="51">
        <v>92</v>
      </c>
      <c r="DF244" s="52">
        <v>0</v>
      </c>
      <c r="DG244" s="52">
        <v>0</v>
      </c>
      <c r="DH244" s="52">
        <v>0</v>
      </c>
      <c r="DI244" s="52">
        <v>0</v>
      </c>
      <c r="DJ244" s="52">
        <v>0</v>
      </c>
      <c r="DK244" s="52">
        <v>0</v>
      </c>
      <c r="DL244" s="52">
        <v>0</v>
      </c>
      <c r="DM244" s="52">
        <v>34</v>
      </c>
      <c r="DN244" s="52">
        <v>24</v>
      </c>
      <c r="DO244" s="52">
        <v>19</v>
      </c>
      <c r="DP244" s="52">
        <v>0</v>
      </c>
      <c r="DQ244" s="52">
        <v>0</v>
      </c>
      <c r="DR244" s="52">
        <v>0</v>
      </c>
      <c r="DS244" s="53">
        <v>0</v>
      </c>
      <c r="DT244" s="53">
        <v>0</v>
      </c>
      <c r="DU244" s="53">
        <v>0</v>
      </c>
      <c r="DV244" s="53">
        <v>0</v>
      </c>
      <c r="DW244" s="53">
        <v>0</v>
      </c>
      <c r="DX244" s="2"/>
      <c r="DY244" s="2"/>
      <c r="DZ244" s="46">
        <f t="shared" si="58"/>
        <v>0</v>
      </c>
      <c r="EA244" s="46">
        <f t="shared" si="59"/>
        <v>0</v>
      </c>
      <c r="EB244" s="46">
        <f t="shared" si="60"/>
        <v>0</v>
      </c>
      <c r="EC244" s="46">
        <f t="shared" si="61"/>
        <v>40164</v>
      </c>
      <c r="ED244" s="46">
        <f t="shared" si="62"/>
        <v>17767</v>
      </c>
      <c r="EE244" s="46">
        <f t="shared" si="63"/>
        <v>130</v>
      </c>
      <c r="EF244" s="46">
        <f t="shared" si="64"/>
        <v>150</v>
      </c>
      <c r="EG244" s="46">
        <f t="shared" si="65"/>
        <v>138</v>
      </c>
      <c r="EH244" s="46">
        <f t="shared" si="68"/>
        <v>132</v>
      </c>
      <c r="EI244" s="46">
        <f t="shared" si="67"/>
        <v>77</v>
      </c>
    </row>
    <row r="245" spans="3:139" ht="12">
      <c r="C245" s="36" t="s">
        <v>429</v>
      </c>
      <c r="D245" s="36" t="s">
        <v>212</v>
      </c>
      <c r="E245" s="36"/>
      <c r="F245" s="38">
        <f t="shared" si="66"/>
        <v>0</v>
      </c>
      <c r="G245" s="37" t="s">
        <v>414</v>
      </c>
      <c r="H245" s="47"/>
      <c r="I245" s="48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8"/>
      <c r="U245" s="48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8"/>
      <c r="AG245" s="48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>
        <v>0</v>
      </c>
      <c r="BA245" s="49">
        <v>0</v>
      </c>
      <c r="BB245" s="49">
        <v>0</v>
      </c>
      <c r="BC245" s="49">
        <v>0</v>
      </c>
      <c r="BD245" s="49">
        <v>0</v>
      </c>
      <c r="BE245" s="49">
        <v>0</v>
      </c>
      <c r="BF245" s="49"/>
      <c r="BG245" s="49"/>
      <c r="BH245" s="49"/>
      <c r="BI245" s="49">
        <v>0</v>
      </c>
      <c r="BJ245" s="49"/>
      <c r="BK245" s="49"/>
      <c r="BL245" s="49">
        <v>0</v>
      </c>
      <c r="BM245" s="49"/>
      <c r="BN245" s="49">
        <v>0</v>
      </c>
      <c r="BO245" s="49"/>
      <c r="BP245" s="50">
        <v>0</v>
      </c>
      <c r="BQ245" s="50">
        <v>0</v>
      </c>
      <c r="BR245" s="50"/>
      <c r="BS245" s="50">
        <v>0</v>
      </c>
      <c r="BT245" s="50">
        <v>0</v>
      </c>
      <c r="BU245" s="50">
        <v>0</v>
      </c>
      <c r="BV245" s="50"/>
      <c r="BW245" s="50">
        <v>0</v>
      </c>
      <c r="BX245" s="50"/>
      <c r="BY245" s="50"/>
      <c r="BZ245" s="50"/>
      <c r="CA245" s="50">
        <v>0</v>
      </c>
      <c r="CB245" s="50">
        <v>0</v>
      </c>
      <c r="CC245" s="50">
        <v>0</v>
      </c>
      <c r="CD245" s="50">
        <v>0</v>
      </c>
      <c r="CE245" s="50">
        <v>0</v>
      </c>
      <c r="CF245" s="50">
        <v>0</v>
      </c>
      <c r="CG245" s="50"/>
      <c r="CH245" s="50">
        <v>0</v>
      </c>
      <c r="CI245" s="50">
        <v>0</v>
      </c>
      <c r="CJ245" s="50">
        <v>0</v>
      </c>
      <c r="CK245" s="50">
        <v>0</v>
      </c>
      <c r="CL245" s="50">
        <v>0</v>
      </c>
      <c r="CM245" s="50">
        <v>0</v>
      </c>
      <c r="CN245" s="51">
        <v>0</v>
      </c>
      <c r="CO245" s="51">
        <v>0</v>
      </c>
      <c r="CP245" s="51">
        <v>0</v>
      </c>
      <c r="CQ245" s="51"/>
      <c r="CR245" s="51">
        <v>0</v>
      </c>
      <c r="CS245" s="51">
        <v>0</v>
      </c>
      <c r="CT245" s="51"/>
      <c r="CU245" s="51">
        <v>0</v>
      </c>
      <c r="CV245" s="51"/>
      <c r="CW245" s="51">
        <v>0</v>
      </c>
      <c r="CX245" s="51">
        <v>0</v>
      </c>
      <c r="CY245" s="51">
        <v>0</v>
      </c>
      <c r="CZ245" s="51">
        <v>0</v>
      </c>
      <c r="DA245" s="51">
        <v>0</v>
      </c>
      <c r="DB245" s="51"/>
      <c r="DC245" s="51">
        <v>0</v>
      </c>
      <c r="DD245" s="51">
        <v>0</v>
      </c>
      <c r="DE245" s="51">
        <v>0</v>
      </c>
      <c r="DF245" s="52">
        <v>0</v>
      </c>
      <c r="DG245" s="52">
        <v>0</v>
      </c>
      <c r="DH245" s="52">
        <v>0</v>
      </c>
      <c r="DI245" s="52">
        <v>0</v>
      </c>
      <c r="DJ245" s="52">
        <v>0</v>
      </c>
      <c r="DK245" s="52">
        <v>0</v>
      </c>
      <c r="DL245" s="52">
        <v>0</v>
      </c>
      <c r="DM245" s="52">
        <v>0</v>
      </c>
      <c r="DN245" s="52">
        <v>0</v>
      </c>
      <c r="DO245" s="52">
        <v>0</v>
      </c>
      <c r="DP245" s="52">
        <v>0</v>
      </c>
      <c r="DQ245" s="52">
        <v>0</v>
      </c>
      <c r="DR245" s="52">
        <v>0</v>
      </c>
      <c r="DS245" s="53">
        <v>0</v>
      </c>
      <c r="DT245" s="53">
        <v>0</v>
      </c>
      <c r="DU245" s="53">
        <v>0</v>
      </c>
      <c r="DV245" s="53">
        <v>0</v>
      </c>
      <c r="DW245" s="53">
        <v>0</v>
      </c>
      <c r="DX245" s="2"/>
      <c r="DY245" s="2"/>
      <c r="DZ245" s="46">
        <f t="shared" si="58"/>
        <v>0</v>
      </c>
      <c r="EA245" s="46">
        <f t="shared" si="59"/>
        <v>0</v>
      </c>
      <c r="EB245" s="46">
        <f t="shared" si="60"/>
        <v>0</v>
      </c>
      <c r="EC245" s="46">
        <f t="shared" si="61"/>
        <v>0</v>
      </c>
      <c r="ED245" s="46">
        <f t="shared" si="62"/>
        <v>0</v>
      </c>
      <c r="EE245" s="46">
        <f t="shared" si="63"/>
        <v>0</v>
      </c>
      <c r="EF245" s="46">
        <f t="shared" si="64"/>
        <v>0</v>
      </c>
      <c r="EG245" s="46">
        <f t="shared" si="65"/>
        <v>0</v>
      </c>
      <c r="EH245" s="46">
        <f t="shared" si="68"/>
        <v>0</v>
      </c>
      <c r="EI245" s="46">
        <f t="shared" si="67"/>
        <v>0</v>
      </c>
    </row>
    <row r="246" spans="3:139" ht="12">
      <c r="C246" s="36" t="s">
        <v>430</v>
      </c>
      <c r="D246" s="36" t="s">
        <v>212</v>
      </c>
      <c r="E246" s="36"/>
      <c r="F246" s="38">
        <f t="shared" si="66"/>
        <v>0</v>
      </c>
      <c r="G246" s="37" t="s">
        <v>414</v>
      </c>
      <c r="H246" s="47"/>
      <c r="I246" s="48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8"/>
      <c r="U246" s="48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8"/>
      <c r="AG246" s="48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>
        <v>0</v>
      </c>
      <c r="BA246" s="49">
        <v>0</v>
      </c>
      <c r="BB246" s="49">
        <v>0</v>
      </c>
      <c r="BC246" s="49">
        <v>0</v>
      </c>
      <c r="BD246" s="49">
        <v>0</v>
      </c>
      <c r="BE246" s="49">
        <v>0</v>
      </c>
      <c r="BF246" s="49"/>
      <c r="BG246" s="49"/>
      <c r="BH246" s="49"/>
      <c r="BI246" s="49">
        <v>0</v>
      </c>
      <c r="BJ246" s="49"/>
      <c r="BK246" s="49"/>
      <c r="BL246" s="49">
        <v>0</v>
      </c>
      <c r="BM246" s="49"/>
      <c r="BN246" s="49">
        <v>0</v>
      </c>
      <c r="BO246" s="49"/>
      <c r="BP246" s="50">
        <v>0</v>
      </c>
      <c r="BQ246" s="50">
        <v>0</v>
      </c>
      <c r="BR246" s="50"/>
      <c r="BS246" s="50">
        <v>0</v>
      </c>
      <c r="BT246" s="50">
        <v>0</v>
      </c>
      <c r="BU246" s="50">
        <v>0</v>
      </c>
      <c r="BV246" s="50"/>
      <c r="BW246" s="50">
        <v>0</v>
      </c>
      <c r="BX246" s="50"/>
      <c r="BY246" s="50"/>
      <c r="BZ246" s="50"/>
      <c r="CA246" s="50">
        <v>0</v>
      </c>
      <c r="CB246" s="50">
        <v>0</v>
      </c>
      <c r="CC246" s="50">
        <v>0</v>
      </c>
      <c r="CD246" s="50">
        <v>0</v>
      </c>
      <c r="CE246" s="50">
        <v>0</v>
      </c>
      <c r="CF246" s="50">
        <v>0</v>
      </c>
      <c r="CG246" s="50"/>
      <c r="CH246" s="50">
        <v>0</v>
      </c>
      <c r="CI246" s="50">
        <v>0</v>
      </c>
      <c r="CJ246" s="50">
        <v>0</v>
      </c>
      <c r="CK246" s="50">
        <v>0</v>
      </c>
      <c r="CL246" s="50">
        <v>0</v>
      </c>
      <c r="CM246" s="50">
        <v>0</v>
      </c>
      <c r="CN246" s="51">
        <v>0</v>
      </c>
      <c r="CO246" s="51">
        <v>0</v>
      </c>
      <c r="CP246" s="51">
        <v>0</v>
      </c>
      <c r="CQ246" s="51"/>
      <c r="CR246" s="51">
        <v>0</v>
      </c>
      <c r="CS246" s="51">
        <v>0</v>
      </c>
      <c r="CT246" s="51"/>
      <c r="CU246" s="51">
        <v>0</v>
      </c>
      <c r="CV246" s="51"/>
      <c r="CW246" s="51">
        <v>0</v>
      </c>
      <c r="CX246" s="51">
        <v>0</v>
      </c>
      <c r="CY246" s="51">
        <v>0</v>
      </c>
      <c r="CZ246" s="51">
        <v>0</v>
      </c>
      <c r="DA246" s="51">
        <v>0</v>
      </c>
      <c r="DB246" s="51"/>
      <c r="DC246" s="51">
        <v>0</v>
      </c>
      <c r="DD246" s="51">
        <v>0</v>
      </c>
      <c r="DE246" s="51">
        <v>0</v>
      </c>
      <c r="DF246" s="52">
        <v>0</v>
      </c>
      <c r="DG246" s="52">
        <v>0</v>
      </c>
      <c r="DH246" s="52">
        <v>0</v>
      </c>
      <c r="DI246" s="52">
        <v>0</v>
      </c>
      <c r="DJ246" s="52">
        <v>0</v>
      </c>
      <c r="DK246" s="52">
        <v>0</v>
      </c>
      <c r="DL246" s="52">
        <v>0</v>
      </c>
      <c r="DM246" s="52">
        <v>0</v>
      </c>
      <c r="DN246" s="52">
        <v>0</v>
      </c>
      <c r="DO246" s="52">
        <v>0</v>
      </c>
      <c r="DP246" s="52">
        <v>0</v>
      </c>
      <c r="DQ246" s="52">
        <v>0</v>
      </c>
      <c r="DR246" s="52">
        <v>0</v>
      </c>
      <c r="DS246" s="53">
        <v>0</v>
      </c>
      <c r="DT246" s="53">
        <v>0</v>
      </c>
      <c r="DU246" s="53">
        <v>0</v>
      </c>
      <c r="DV246" s="53">
        <v>0</v>
      </c>
      <c r="DW246" s="53">
        <v>0</v>
      </c>
      <c r="DX246" s="2"/>
      <c r="DY246" s="2"/>
      <c r="DZ246" s="46">
        <f t="shared" si="58"/>
        <v>0</v>
      </c>
      <c r="EA246" s="46">
        <f t="shared" si="59"/>
        <v>0</v>
      </c>
      <c r="EB246" s="46">
        <f t="shared" si="60"/>
        <v>0</v>
      </c>
      <c r="EC246" s="46">
        <f t="shared" si="61"/>
        <v>0</v>
      </c>
      <c r="ED246" s="46">
        <f t="shared" si="62"/>
        <v>0</v>
      </c>
      <c r="EE246" s="46">
        <f t="shared" si="63"/>
        <v>0</v>
      </c>
      <c r="EF246" s="46">
        <f t="shared" si="64"/>
        <v>0</v>
      </c>
      <c r="EG246" s="46">
        <f t="shared" si="65"/>
        <v>0</v>
      </c>
      <c r="EH246" s="46">
        <f t="shared" si="68"/>
        <v>0</v>
      </c>
      <c r="EI246" s="46">
        <f t="shared" si="67"/>
        <v>0</v>
      </c>
    </row>
    <row r="247" spans="3:139" ht="12">
      <c r="C247" s="36" t="s">
        <v>431</v>
      </c>
      <c r="D247" s="36" t="s">
        <v>212</v>
      </c>
      <c r="E247" s="36"/>
      <c r="F247" s="38">
        <f t="shared" si="66"/>
        <v>0</v>
      </c>
      <c r="G247" s="37" t="s">
        <v>414</v>
      </c>
      <c r="H247" s="47"/>
      <c r="I247" s="48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8"/>
      <c r="U247" s="48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8"/>
      <c r="AG247" s="48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>
        <v>0</v>
      </c>
      <c r="BA247" s="49">
        <v>0</v>
      </c>
      <c r="BB247" s="49">
        <v>0</v>
      </c>
      <c r="BC247" s="49">
        <v>0</v>
      </c>
      <c r="BD247" s="49">
        <v>0</v>
      </c>
      <c r="BE247" s="49">
        <v>0</v>
      </c>
      <c r="BF247" s="49"/>
      <c r="BG247" s="49"/>
      <c r="BH247" s="49"/>
      <c r="BI247" s="49">
        <v>0</v>
      </c>
      <c r="BJ247" s="49"/>
      <c r="BK247" s="49"/>
      <c r="BL247" s="49">
        <v>0</v>
      </c>
      <c r="BM247" s="49"/>
      <c r="BN247" s="49">
        <v>0</v>
      </c>
      <c r="BO247" s="49"/>
      <c r="BP247" s="50">
        <v>0</v>
      </c>
      <c r="BQ247" s="50">
        <v>0</v>
      </c>
      <c r="BR247" s="50"/>
      <c r="BS247" s="50">
        <v>0</v>
      </c>
      <c r="BT247" s="50">
        <v>0</v>
      </c>
      <c r="BU247" s="50">
        <v>0</v>
      </c>
      <c r="BV247" s="50"/>
      <c r="BW247" s="50">
        <v>0</v>
      </c>
      <c r="BX247" s="50"/>
      <c r="BY247" s="50"/>
      <c r="BZ247" s="50"/>
      <c r="CA247" s="50">
        <v>0</v>
      </c>
      <c r="CB247" s="50">
        <v>0</v>
      </c>
      <c r="CC247" s="50">
        <v>0</v>
      </c>
      <c r="CD247" s="50">
        <v>0</v>
      </c>
      <c r="CE247" s="50">
        <v>0</v>
      </c>
      <c r="CF247" s="50">
        <v>0</v>
      </c>
      <c r="CG247" s="50"/>
      <c r="CH247" s="50">
        <v>0</v>
      </c>
      <c r="CI247" s="50">
        <v>0</v>
      </c>
      <c r="CJ247" s="50">
        <v>0</v>
      </c>
      <c r="CK247" s="50">
        <v>0</v>
      </c>
      <c r="CL247" s="50">
        <v>0</v>
      </c>
      <c r="CM247" s="50">
        <v>0</v>
      </c>
      <c r="CN247" s="51">
        <v>0</v>
      </c>
      <c r="CO247" s="51">
        <v>0</v>
      </c>
      <c r="CP247" s="51">
        <v>0</v>
      </c>
      <c r="CQ247" s="51"/>
      <c r="CR247" s="51">
        <v>0</v>
      </c>
      <c r="CS247" s="51">
        <v>0</v>
      </c>
      <c r="CT247" s="51"/>
      <c r="CU247" s="51">
        <v>0</v>
      </c>
      <c r="CV247" s="51"/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/>
      <c r="DC247" s="51">
        <v>0</v>
      </c>
      <c r="DD247" s="51">
        <v>0</v>
      </c>
      <c r="DE247" s="51">
        <v>0</v>
      </c>
      <c r="DF247" s="52">
        <v>0</v>
      </c>
      <c r="DG247" s="52">
        <v>0</v>
      </c>
      <c r="DH247" s="52">
        <v>0</v>
      </c>
      <c r="DI247" s="52">
        <v>0</v>
      </c>
      <c r="DJ247" s="52">
        <v>0</v>
      </c>
      <c r="DK247" s="52">
        <v>0</v>
      </c>
      <c r="DL247" s="52">
        <v>0</v>
      </c>
      <c r="DM247" s="52">
        <v>0</v>
      </c>
      <c r="DN247" s="52">
        <v>0</v>
      </c>
      <c r="DO247" s="52">
        <v>0</v>
      </c>
      <c r="DP247" s="52">
        <v>0</v>
      </c>
      <c r="DQ247" s="52">
        <v>0</v>
      </c>
      <c r="DR247" s="52">
        <v>0</v>
      </c>
      <c r="DS247" s="53">
        <v>0</v>
      </c>
      <c r="DT247" s="53">
        <v>0</v>
      </c>
      <c r="DU247" s="53">
        <v>0</v>
      </c>
      <c r="DV247" s="53">
        <v>0</v>
      </c>
      <c r="DW247" s="53">
        <v>0</v>
      </c>
      <c r="DX247" s="2"/>
      <c r="DY247" s="2"/>
      <c r="DZ247" s="46">
        <f t="shared" si="58"/>
        <v>0</v>
      </c>
      <c r="EA247" s="46">
        <f t="shared" si="59"/>
        <v>0</v>
      </c>
      <c r="EB247" s="46">
        <f t="shared" si="60"/>
        <v>0</v>
      </c>
      <c r="EC247" s="46">
        <f t="shared" si="61"/>
        <v>0</v>
      </c>
      <c r="ED247" s="46">
        <f t="shared" si="62"/>
        <v>0</v>
      </c>
      <c r="EE247" s="46">
        <f t="shared" si="63"/>
        <v>0</v>
      </c>
      <c r="EF247" s="46">
        <f t="shared" si="64"/>
        <v>0</v>
      </c>
      <c r="EG247" s="46">
        <f t="shared" si="65"/>
        <v>0</v>
      </c>
      <c r="EH247" s="46">
        <f t="shared" si="68"/>
        <v>0</v>
      </c>
      <c r="EI247" s="46">
        <f t="shared" si="67"/>
        <v>0</v>
      </c>
    </row>
    <row r="248" spans="3:139" ht="12">
      <c r="C248" s="36" t="s">
        <v>432</v>
      </c>
      <c r="D248" s="36" t="s">
        <v>212</v>
      </c>
      <c r="E248" s="36"/>
      <c r="F248" s="38">
        <f t="shared" si="66"/>
        <v>0</v>
      </c>
      <c r="G248" s="37" t="s">
        <v>414</v>
      </c>
      <c r="H248" s="47"/>
      <c r="I248" s="48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8"/>
      <c r="U248" s="48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8"/>
      <c r="AG248" s="48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>
        <v>0</v>
      </c>
      <c r="BA248" s="49">
        <v>0</v>
      </c>
      <c r="BB248" s="49">
        <v>0</v>
      </c>
      <c r="BC248" s="49">
        <v>0</v>
      </c>
      <c r="BD248" s="49">
        <v>0</v>
      </c>
      <c r="BE248" s="49">
        <v>0</v>
      </c>
      <c r="BF248" s="49"/>
      <c r="BG248" s="49"/>
      <c r="BH248" s="49"/>
      <c r="BI248" s="49">
        <v>0</v>
      </c>
      <c r="BJ248" s="49"/>
      <c r="BK248" s="49"/>
      <c r="BL248" s="49">
        <v>0</v>
      </c>
      <c r="BM248" s="49"/>
      <c r="BN248" s="49">
        <v>0</v>
      </c>
      <c r="BO248" s="49"/>
      <c r="BP248" s="50">
        <v>0</v>
      </c>
      <c r="BQ248" s="50">
        <v>0</v>
      </c>
      <c r="BR248" s="50"/>
      <c r="BS248" s="50">
        <v>0</v>
      </c>
      <c r="BT248" s="50">
        <v>0</v>
      </c>
      <c r="BU248" s="50">
        <v>0</v>
      </c>
      <c r="BV248" s="50"/>
      <c r="BW248" s="50">
        <v>0</v>
      </c>
      <c r="BX248" s="50"/>
      <c r="BY248" s="50"/>
      <c r="BZ248" s="50"/>
      <c r="CA248" s="50">
        <v>0</v>
      </c>
      <c r="CB248" s="50">
        <v>0</v>
      </c>
      <c r="CC248" s="50">
        <v>0</v>
      </c>
      <c r="CD248" s="50">
        <v>0</v>
      </c>
      <c r="CE248" s="50">
        <v>0</v>
      </c>
      <c r="CF248" s="50">
        <v>0</v>
      </c>
      <c r="CG248" s="50"/>
      <c r="CH248" s="50">
        <v>0</v>
      </c>
      <c r="CI248" s="50">
        <v>0</v>
      </c>
      <c r="CJ248" s="50">
        <v>0</v>
      </c>
      <c r="CK248" s="50">
        <v>0</v>
      </c>
      <c r="CL248" s="50">
        <v>0</v>
      </c>
      <c r="CM248" s="50">
        <v>0</v>
      </c>
      <c r="CN248" s="51">
        <v>0</v>
      </c>
      <c r="CO248" s="51">
        <v>0</v>
      </c>
      <c r="CP248" s="51">
        <v>0</v>
      </c>
      <c r="CQ248" s="51"/>
      <c r="CR248" s="51">
        <v>0</v>
      </c>
      <c r="CS248" s="51">
        <v>0</v>
      </c>
      <c r="CT248" s="51"/>
      <c r="CU248" s="51">
        <v>0</v>
      </c>
      <c r="CV248" s="51"/>
      <c r="CW248" s="51">
        <v>0</v>
      </c>
      <c r="CX248" s="51">
        <v>0</v>
      </c>
      <c r="CY248" s="51">
        <v>0</v>
      </c>
      <c r="CZ248" s="51">
        <v>0</v>
      </c>
      <c r="DA248" s="51">
        <v>0</v>
      </c>
      <c r="DB248" s="51"/>
      <c r="DC248" s="51">
        <v>0</v>
      </c>
      <c r="DD248" s="51">
        <v>0</v>
      </c>
      <c r="DE248" s="51">
        <v>0</v>
      </c>
      <c r="DF248" s="52">
        <v>0</v>
      </c>
      <c r="DG248" s="52">
        <v>0</v>
      </c>
      <c r="DH248" s="52">
        <v>0</v>
      </c>
      <c r="DI248" s="52">
        <v>0</v>
      </c>
      <c r="DJ248" s="52">
        <v>0</v>
      </c>
      <c r="DK248" s="52">
        <v>0</v>
      </c>
      <c r="DL248" s="52">
        <v>0</v>
      </c>
      <c r="DM248" s="52">
        <v>0</v>
      </c>
      <c r="DN248" s="52">
        <v>0</v>
      </c>
      <c r="DO248" s="52">
        <v>0</v>
      </c>
      <c r="DP248" s="52">
        <v>0</v>
      </c>
      <c r="DQ248" s="52">
        <v>0</v>
      </c>
      <c r="DR248" s="52">
        <v>0</v>
      </c>
      <c r="DS248" s="53">
        <v>0</v>
      </c>
      <c r="DT248" s="53">
        <v>0</v>
      </c>
      <c r="DU248" s="53">
        <v>0</v>
      </c>
      <c r="DV248" s="53">
        <v>0</v>
      </c>
      <c r="DW248" s="53">
        <v>0</v>
      </c>
      <c r="DX248" s="2"/>
      <c r="DY248" s="2"/>
      <c r="DZ248" s="46">
        <f t="shared" si="58"/>
        <v>0</v>
      </c>
      <c r="EA248" s="46">
        <f t="shared" si="59"/>
        <v>0</v>
      </c>
      <c r="EB248" s="46">
        <f t="shared" si="60"/>
        <v>0</v>
      </c>
      <c r="EC248" s="46">
        <f t="shared" si="61"/>
        <v>0</v>
      </c>
      <c r="ED248" s="46">
        <f t="shared" si="62"/>
        <v>0</v>
      </c>
      <c r="EE248" s="46">
        <f t="shared" si="63"/>
        <v>0</v>
      </c>
      <c r="EF248" s="46">
        <f t="shared" si="64"/>
        <v>0</v>
      </c>
      <c r="EG248" s="46">
        <f t="shared" si="65"/>
        <v>0</v>
      </c>
      <c r="EH248" s="46">
        <f t="shared" si="68"/>
        <v>0</v>
      </c>
      <c r="EI248" s="46">
        <f t="shared" si="67"/>
        <v>0</v>
      </c>
    </row>
    <row r="249" spans="3:139" ht="12">
      <c r="C249" s="36" t="s">
        <v>433</v>
      </c>
      <c r="D249" s="36" t="s">
        <v>212</v>
      </c>
      <c r="E249" s="36"/>
      <c r="F249" s="38">
        <f t="shared" si="66"/>
        <v>0</v>
      </c>
      <c r="G249" s="37" t="s">
        <v>414</v>
      </c>
      <c r="H249" s="47"/>
      <c r="I249" s="48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8"/>
      <c r="U249" s="48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8"/>
      <c r="AG249" s="48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>
        <v>0</v>
      </c>
      <c r="BA249" s="49">
        <v>0</v>
      </c>
      <c r="BB249" s="49">
        <v>0</v>
      </c>
      <c r="BC249" s="49">
        <v>0</v>
      </c>
      <c r="BD249" s="49">
        <v>0</v>
      </c>
      <c r="BE249" s="49">
        <v>0</v>
      </c>
      <c r="BF249" s="49"/>
      <c r="BG249" s="49"/>
      <c r="BH249" s="49"/>
      <c r="BI249" s="49">
        <v>0</v>
      </c>
      <c r="BJ249" s="49"/>
      <c r="BK249" s="49"/>
      <c r="BL249" s="49">
        <v>0</v>
      </c>
      <c r="BM249" s="49"/>
      <c r="BN249" s="49">
        <v>0</v>
      </c>
      <c r="BO249" s="49"/>
      <c r="BP249" s="50">
        <v>0</v>
      </c>
      <c r="BQ249" s="50">
        <v>0</v>
      </c>
      <c r="BR249" s="50"/>
      <c r="BS249" s="50">
        <v>0</v>
      </c>
      <c r="BT249" s="50">
        <v>0</v>
      </c>
      <c r="BU249" s="50">
        <v>0</v>
      </c>
      <c r="BV249" s="50"/>
      <c r="BW249" s="50">
        <v>0</v>
      </c>
      <c r="BX249" s="50"/>
      <c r="BY249" s="50"/>
      <c r="BZ249" s="50"/>
      <c r="CA249" s="50">
        <v>0</v>
      </c>
      <c r="CB249" s="50">
        <v>0</v>
      </c>
      <c r="CC249" s="50">
        <v>0</v>
      </c>
      <c r="CD249" s="50">
        <v>0</v>
      </c>
      <c r="CE249" s="50">
        <v>0</v>
      </c>
      <c r="CF249" s="50">
        <v>0</v>
      </c>
      <c r="CG249" s="50"/>
      <c r="CH249" s="50">
        <v>0</v>
      </c>
      <c r="CI249" s="50">
        <v>0</v>
      </c>
      <c r="CJ249" s="50">
        <v>0</v>
      </c>
      <c r="CK249" s="50">
        <v>0</v>
      </c>
      <c r="CL249" s="50">
        <v>0</v>
      </c>
      <c r="CM249" s="50">
        <v>0</v>
      </c>
      <c r="CN249" s="51">
        <v>0</v>
      </c>
      <c r="CO249" s="51">
        <v>0</v>
      </c>
      <c r="CP249" s="51">
        <v>0</v>
      </c>
      <c r="CQ249" s="51"/>
      <c r="CR249" s="51">
        <v>0</v>
      </c>
      <c r="CS249" s="51">
        <v>0</v>
      </c>
      <c r="CT249" s="51"/>
      <c r="CU249" s="51">
        <v>0</v>
      </c>
      <c r="CV249" s="51"/>
      <c r="CW249" s="51">
        <v>0</v>
      </c>
      <c r="CX249" s="51">
        <v>0</v>
      </c>
      <c r="CY249" s="51">
        <v>0</v>
      </c>
      <c r="CZ249" s="51">
        <v>0</v>
      </c>
      <c r="DA249" s="51">
        <v>0</v>
      </c>
      <c r="DB249" s="51"/>
      <c r="DC249" s="51">
        <v>0</v>
      </c>
      <c r="DD249" s="51">
        <v>0</v>
      </c>
      <c r="DE249" s="51">
        <v>0</v>
      </c>
      <c r="DF249" s="52">
        <v>0</v>
      </c>
      <c r="DG249" s="52">
        <v>0</v>
      </c>
      <c r="DH249" s="52">
        <v>0</v>
      </c>
      <c r="DI249" s="52">
        <v>0</v>
      </c>
      <c r="DJ249" s="52">
        <v>0</v>
      </c>
      <c r="DK249" s="52">
        <v>0</v>
      </c>
      <c r="DL249" s="52">
        <v>0</v>
      </c>
      <c r="DM249" s="52">
        <v>0</v>
      </c>
      <c r="DN249" s="52">
        <v>0</v>
      </c>
      <c r="DO249" s="52">
        <v>0</v>
      </c>
      <c r="DP249" s="52">
        <v>0</v>
      </c>
      <c r="DQ249" s="52">
        <v>0</v>
      </c>
      <c r="DR249" s="52">
        <v>0</v>
      </c>
      <c r="DS249" s="53">
        <v>0</v>
      </c>
      <c r="DT249" s="53">
        <v>0</v>
      </c>
      <c r="DU249" s="53">
        <v>0</v>
      </c>
      <c r="DV249" s="53">
        <v>0</v>
      </c>
      <c r="DW249" s="53">
        <v>0</v>
      </c>
      <c r="DX249" s="2"/>
      <c r="DY249" s="2"/>
      <c r="DZ249" s="46">
        <f t="shared" si="58"/>
        <v>0</v>
      </c>
      <c r="EA249" s="46">
        <f t="shared" si="59"/>
        <v>0</v>
      </c>
      <c r="EB249" s="46">
        <f t="shared" si="60"/>
        <v>0</v>
      </c>
      <c r="EC249" s="46">
        <f t="shared" si="61"/>
        <v>0</v>
      </c>
      <c r="ED249" s="46">
        <f t="shared" si="62"/>
        <v>0</v>
      </c>
      <c r="EE249" s="46">
        <f t="shared" si="63"/>
        <v>0</v>
      </c>
      <c r="EF249" s="46">
        <f t="shared" si="64"/>
        <v>0</v>
      </c>
      <c r="EG249" s="46">
        <f t="shared" si="65"/>
        <v>0</v>
      </c>
      <c r="EH249" s="46">
        <f t="shared" si="68"/>
        <v>0</v>
      </c>
      <c r="EI249" s="46">
        <f t="shared" si="67"/>
        <v>0</v>
      </c>
    </row>
    <row r="250" spans="3:139" ht="12">
      <c r="C250" s="36" t="s">
        <v>434</v>
      </c>
      <c r="D250" s="36" t="s">
        <v>212</v>
      </c>
      <c r="E250" s="36"/>
      <c r="F250" s="38">
        <f t="shared" si="66"/>
        <v>0</v>
      </c>
      <c r="G250" s="37" t="s">
        <v>414</v>
      </c>
      <c r="H250" s="47"/>
      <c r="I250" s="48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8"/>
      <c r="U250" s="48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8"/>
      <c r="AG250" s="48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>
        <v>0</v>
      </c>
      <c r="BA250" s="49">
        <v>0</v>
      </c>
      <c r="BB250" s="49">
        <v>0</v>
      </c>
      <c r="BC250" s="49">
        <v>0</v>
      </c>
      <c r="BD250" s="49">
        <v>0</v>
      </c>
      <c r="BE250" s="49">
        <v>0</v>
      </c>
      <c r="BF250" s="49"/>
      <c r="BG250" s="49"/>
      <c r="BH250" s="49"/>
      <c r="BI250" s="49">
        <v>0</v>
      </c>
      <c r="BJ250" s="49"/>
      <c r="BK250" s="49"/>
      <c r="BL250" s="49">
        <v>0</v>
      </c>
      <c r="BM250" s="49"/>
      <c r="BN250" s="49">
        <v>0</v>
      </c>
      <c r="BO250" s="49"/>
      <c r="BP250" s="50">
        <v>0</v>
      </c>
      <c r="BQ250" s="50">
        <v>0</v>
      </c>
      <c r="BR250" s="50"/>
      <c r="BS250" s="50">
        <v>0</v>
      </c>
      <c r="BT250" s="50">
        <v>0</v>
      </c>
      <c r="BU250" s="50">
        <v>0</v>
      </c>
      <c r="BV250" s="50"/>
      <c r="BW250" s="50">
        <v>0</v>
      </c>
      <c r="BX250" s="50"/>
      <c r="BY250" s="50"/>
      <c r="BZ250" s="50"/>
      <c r="CA250" s="50">
        <v>0</v>
      </c>
      <c r="CB250" s="50">
        <v>0</v>
      </c>
      <c r="CC250" s="50">
        <v>0</v>
      </c>
      <c r="CD250" s="50">
        <v>0</v>
      </c>
      <c r="CE250" s="50">
        <v>0</v>
      </c>
      <c r="CF250" s="50">
        <v>0</v>
      </c>
      <c r="CG250" s="50"/>
      <c r="CH250" s="50">
        <v>0</v>
      </c>
      <c r="CI250" s="50">
        <v>0</v>
      </c>
      <c r="CJ250" s="50">
        <v>0</v>
      </c>
      <c r="CK250" s="50">
        <v>0</v>
      </c>
      <c r="CL250" s="50">
        <v>0</v>
      </c>
      <c r="CM250" s="50">
        <v>0</v>
      </c>
      <c r="CN250" s="51">
        <v>0</v>
      </c>
      <c r="CO250" s="51">
        <v>0</v>
      </c>
      <c r="CP250" s="51">
        <v>0</v>
      </c>
      <c r="CQ250" s="51"/>
      <c r="CR250" s="51">
        <v>0</v>
      </c>
      <c r="CS250" s="51">
        <v>0</v>
      </c>
      <c r="CT250" s="51"/>
      <c r="CU250" s="51">
        <v>0</v>
      </c>
      <c r="CV250" s="51"/>
      <c r="CW250" s="51">
        <v>0</v>
      </c>
      <c r="CX250" s="51">
        <v>0</v>
      </c>
      <c r="CY250" s="51">
        <v>0</v>
      </c>
      <c r="CZ250" s="51">
        <v>0</v>
      </c>
      <c r="DA250" s="51">
        <v>0</v>
      </c>
      <c r="DB250" s="51"/>
      <c r="DC250" s="51">
        <v>0</v>
      </c>
      <c r="DD250" s="51">
        <v>0</v>
      </c>
      <c r="DE250" s="51">
        <v>0</v>
      </c>
      <c r="DF250" s="52">
        <v>0</v>
      </c>
      <c r="DG250" s="52">
        <v>0</v>
      </c>
      <c r="DH250" s="52">
        <v>0</v>
      </c>
      <c r="DI250" s="52">
        <v>0</v>
      </c>
      <c r="DJ250" s="52">
        <v>0</v>
      </c>
      <c r="DK250" s="52">
        <v>0</v>
      </c>
      <c r="DL250" s="52">
        <v>0</v>
      </c>
      <c r="DM250" s="52">
        <v>0</v>
      </c>
      <c r="DN250" s="52">
        <v>0</v>
      </c>
      <c r="DO250" s="52">
        <v>0</v>
      </c>
      <c r="DP250" s="52">
        <v>0</v>
      </c>
      <c r="DQ250" s="52">
        <v>0</v>
      </c>
      <c r="DR250" s="52">
        <v>0</v>
      </c>
      <c r="DS250" s="53">
        <v>0</v>
      </c>
      <c r="DT250" s="53">
        <v>0</v>
      </c>
      <c r="DU250" s="53">
        <v>0</v>
      </c>
      <c r="DV250" s="53">
        <v>0</v>
      </c>
      <c r="DW250" s="53">
        <v>0</v>
      </c>
      <c r="DX250" s="2"/>
      <c r="DY250" s="2"/>
      <c r="DZ250" s="46">
        <f t="shared" si="58"/>
        <v>0</v>
      </c>
      <c r="EA250" s="46">
        <f t="shared" si="59"/>
        <v>0</v>
      </c>
      <c r="EB250" s="46">
        <f t="shared" si="60"/>
        <v>0</v>
      </c>
      <c r="EC250" s="46">
        <f t="shared" si="61"/>
        <v>0</v>
      </c>
      <c r="ED250" s="46">
        <f t="shared" si="62"/>
        <v>0</v>
      </c>
      <c r="EE250" s="46">
        <f t="shared" si="63"/>
        <v>0</v>
      </c>
      <c r="EF250" s="46">
        <f t="shared" si="64"/>
        <v>0</v>
      </c>
      <c r="EG250" s="46">
        <f t="shared" si="65"/>
        <v>0</v>
      </c>
      <c r="EH250" s="46">
        <f t="shared" si="68"/>
        <v>0</v>
      </c>
      <c r="EI250" s="46">
        <f t="shared" si="67"/>
        <v>0</v>
      </c>
    </row>
    <row r="251" spans="3:139" ht="12">
      <c r="C251" s="36" t="s">
        <v>435</v>
      </c>
      <c r="D251" s="36" t="s">
        <v>212</v>
      </c>
      <c r="E251" s="36"/>
      <c r="F251" s="38">
        <f t="shared" si="66"/>
        <v>0</v>
      </c>
      <c r="G251" s="37" t="s">
        <v>414</v>
      </c>
      <c r="H251" s="47"/>
      <c r="I251" s="48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8"/>
      <c r="U251" s="48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8"/>
      <c r="AG251" s="48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>
        <v>0</v>
      </c>
      <c r="BA251" s="49">
        <v>0</v>
      </c>
      <c r="BB251" s="49">
        <v>0</v>
      </c>
      <c r="BC251" s="49">
        <v>0</v>
      </c>
      <c r="BD251" s="49">
        <v>0</v>
      </c>
      <c r="BE251" s="49">
        <v>0</v>
      </c>
      <c r="BF251" s="49"/>
      <c r="BG251" s="49"/>
      <c r="BH251" s="49"/>
      <c r="BI251" s="49">
        <v>0</v>
      </c>
      <c r="BJ251" s="49"/>
      <c r="BK251" s="49"/>
      <c r="BL251" s="49">
        <v>0</v>
      </c>
      <c r="BM251" s="49"/>
      <c r="BN251" s="49">
        <v>0</v>
      </c>
      <c r="BO251" s="49"/>
      <c r="BP251" s="50">
        <v>0</v>
      </c>
      <c r="BQ251" s="50">
        <v>0</v>
      </c>
      <c r="BR251" s="50"/>
      <c r="BS251" s="50">
        <v>0</v>
      </c>
      <c r="BT251" s="50">
        <v>0</v>
      </c>
      <c r="BU251" s="50">
        <v>0</v>
      </c>
      <c r="BV251" s="50"/>
      <c r="BW251" s="50">
        <v>0</v>
      </c>
      <c r="BX251" s="50"/>
      <c r="BY251" s="50"/>
      <c r="BZ251" s="50"/>
      <c r="CA251" s="50">
        <v>0</v>
      </c>
      <c r="CB251" s="50">
        <v>0</v>
      </c>
      <c r="CC251" s="50">
        <v>0</v>
      </c>
      <c r="CD251" s="50">
        <v>0</v>
      </c>
      <c r="CE251" s="50">
        <v>0</v>
      </c>
      <c r="CF251" s="50">
        <v>0</v>
      </c>
      <c r="CG251" s="50"/>
      <c r="CH251" s="50">
        <v>0</v>
      </c>
      <c r="CI251" s="50">
        <v>0</v>
      </c>
      <c r="CJ251" s="50">
        <v>0</v>
      </c>
      <c r="CK251" s="50">
        <v>0</v>
      </c>
      <c r="CL251" s="50">
        <v>0</v>
      </c>
      <c r="CM251" s="50">
        <v>0</v>
      </c>
      <c r="CN251" s="51">
        <v>0</v>
      </c>
      <c r="CO251" s="51">
        <v>0</v>
      </c>
      <c r="CP251" s="51">
        <v>0</v>
      </c>
      <c r="CQ251" s="51"/>
      <c r="CR251" s="51">
        <v>0</v>
      </c>
      <c r="CS251" s="51">
        <v>0</v>
      </c>
      <c r="CT251" s="51"/>
      <c r="CU251" s="51">
        <v>0</v>
      </c>
      <c r="CV251" s="51"/>
      <c r="CW251" s="51">
        <v>0</v>
      </c>
      <c r="CX251" s="51">
        <v>0</v>
      </c>
      <c r="CY251" s="51">
        <v>0</v>
      </c>
      <c r="CZ251" s="51">
        <v>0</v>
      </c>
      <c r="DA251" s="51">
        <v>0</v>
      </c>
      <c r="DB251" s="51"/>
      <c r="DC251" s="51">
        <v>0</v>
      </c>
      <c r="DD251" s="51">
        <v>0</v>
      </c>
      <c r="DE251" s="51">
        <v>0</v>
      </c>
      <c r="DF251" s="52">
        <v>0</v>
      </c>
      <c r="DG251" s="52">
        <v>0</v>
      </c>
      <c r="DH251" s="52">
        <v>0</v>
      </c>
      <c r="DI251" s="52">
        <v>0</v>
      </c>
      <c r="DJ251" s="52">
        <v>0</v>
      </c>
      <c r="DK251" s="52">
        <v>0</v>
      </c>
      <c r="DL251" s="52">
        <v>0</v>
      </c>
      <c r="DM251" s="52">
        <v>0</v>
      </c>
      <c r="DN251" s="52">
        <v>0</v>
      </c>
      <c r="DO251" s="52">
        <v>0</v>
      </c>
      <c r="DP251" s="52">
        <v>0</v>
      </c>
      <c r="DQ251" s="52">
        <v>0</v>
      </c>
      <c r="DR251" s="52">
        <v>0</v>
      </c>
      <c r="DS251" s="53">
        <v>0</v>
      </c>
      <c r="DT251" s="53">
        <v>0</v>
      </c>
      <c r="DU251" s="53">
        <v>0</v>
      </c>
      <c r="DV251" s="53">
        <v>0</v>
      </c>
      <c r="DW251" s="53">
        <v>0</v>
      </c>
      <c r="DX251" s="2"/>
      <c r="DY251" s="2"/>
      <c r="DZ251" s="46">
        <f t="shared" si="58"/>
        <v>0</v>
      </c>
      <c r="EA251" s="46">
        <f t="shared" si="59"/>
        <v>0</v>
      </c>
      <c r="EB251" s="46">
        <f t="shared" si="60"/>
        <v>0</v>
      </c>
      <c r="EC251" s="46">
        <f t="shared" si="61"/>
        <v>0</v>
      </c>
      <c r="ED251" s="46">
        <f t="shared" si="62"/>
        <v>0</v>
      </c>
      <c r="EE251" s="46">
        <f t="shared" si="63"/>
        <v>0</v>
      </c>
      <c r="EF251" s="46">
        <f t="shared" si="64"/>
        <v>0</v>
      </c>
      <c r="EG251" s="46">
        <f t="shared" si="65"/>
        <v>0</v>
      </c>
      <c r="EH251" s="46">
        <f t="shared" si="68"/>
        <v>0</v>
      </c>
      <c r="EI251" s="46">
        <f t="shared" si="67"/>
        <v>0</v>
      </c>
    </row>
    <row r="252" spans="3:139" ht="12">
      <c r="C252" s="36" t="s">
        <v>436</v>
      </c>
      <c r="D252" s="36" t="s">
        <v>437</v>
      </c>
      <c r="E252" s="36" t="s">
        <v>437</v>
      </c>
      <c r="F252" s="38">
        <f t="shared" si="66"/>
        <v>1288</v>
      </c>
      <c r="G252" s="37" t="s">
        <v>438</v>
      </c>
      <c r="H252" s="47"/>
      <c r="I252" s="48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8"/>
      <c r="U252" s="48"/>
      <c r="V252" s="49"/>
      <c r="W252" s="49"/>
      <c r="X252" s="49"/>
      <c r="Y252" s="49"/>
      <c r="Z252" s="49"/>
      <c r="AA252" s="49"/>
      <c r="AB252" s="49"/>
      <c r="AC252" s="49"/>
      <c r="AD252" s="49">
        <v>0</v>
      </c>
      <c r="AE252" s="49">
        <v>0</v>
      </c>
      <c r="AF252" s="48">
        <v>300</v>
      </c>
      <c r="AG252" s="48">
        <v>500</v>
      </c>
      <c r="AH252" s="49">
        <v>225</v>
      </c>
      <c r="AI252" s="49">
        <v>220</v>
      </c>
      <c r="AJ252" s="49"/>
      <c r="AK252" s="49"/>
      <c r="AL252" s="49">
        <v>0</v>
      </c>
      <c r="AM252" s="49"/>
      <c r="AN252" s="49">
        <v>0</v>
      </c>
      <c r="AO252" s="49"/>
      <c r="AP252" s="49"/>
      <c r="AQ252" s="49"/>
      <c r="AR252" s="49">
        <v>0</v>
      </c>
      <c r="AS252" s="49">
        <v>0</v>
      </c>
      <c r="AT252" s="49"/>
      <c r="AU252" s="49">
        <v>0</v>
      </c>
      <c r="AV252" s="49">
        <v>0</v>
      </c>
      <c r="AW252" s="49"/>
      <c r="AX252" s="49">
        <v>0</v>
      </c>
      <c r="AY252" s="49"/>
      <c r="AZ252" s="49">
        <v>0</v>
      </c>
      <c r="BA252" s="49">
        <v>0</v>
      </c>
      <c r="BB252" s="49">
        <v>0</v>
      </c>
      <c r="BC252" s="49">
        <v>0</v>
      </c>
      <c r="BD252" s="49">
        <v>0</v>
      </c>
      <c r="BE252" s="49">
        <v>0</v>
      </c>
      <c r="BF252" s="49"/>
      <c r="BG252" s="49"/>
      <c r="BH252" s="49"/>
      <c r="BI252" s="49">
        <v>0</v>
      </c>
      <c r="BJ252" s="49"/>
      <c r="BK252" s="49"/>
      <c r="BL252" s="49">
        <v>0</v>
      </c>
      <c r="BM252" s="49"/>
      <c r="BN252" s="49">
        <v>0</v>
      </c>
      <c r="BO252" s="49"/>
      <c r="BP252" s="50">
        <v>0</v>
      </c>
      <c r="BQ252" s="50">
        <v>19</v>
      </c>
      <c r="BR252" s="50"/>
      <c r="BS252" s="50">
        <v>0</v>
      </c>
      <c r="BT252" s="50">
        <v>0</v>
      </c>
      <c r="BU252" s="50">
        <v>0</v>
      </c>
      <c r="BV252" s="50"/>
      <c r="BW252" s="50">
        <v>0</v>
      </c>
      <c r="BX252" s="50"/>
      <c r="BY252" s="50"/>
      <c r="BZ252" s="50"/>
      <c r="CA252" s="50">
        <v>0</v>
      </c>
      <c r="CB252" s="50">
        <v>0</v>
      </c>
      <c r="CC252" s="50">
        <v>0</v>
      </c>
      <c r="CD252" s="50">
        <v>0</v>
      </c>
      <c r="CE252" s="50">
        <v>0</v>
      </c>
      <c r="CF252" s="50">
        <v>0</v>
      </c>
      <c r="CG252" s="50"/>
      <c r="CH252" s="50">
        <v>0</v>
      </c>
      <c r="CI252" s="50">
        <v>5</v>
      </c>
      <c r="CJ252" s="50">
        <v>0</v>
      </c>
      <c r="CK252" s="50">
        <v>0</v>
      </c>
      <c r="CL252" s="50">
        <v>0</v>
      </c>
      <c r="CM252" s="50">
        <v>0</v>
      </c>
      <c r="CN252" s="51">
        <v>0</v>
      </c>
      <c r="CO252" s="51">
        <v>0</v>
      </c>
      <c r="CP252" s="51">
        <v>19</v>
      </c>
      <c r="CQ252" s="51">
        <v>0</v>
      </c>
      <c r="CR252" s="51">
        <v>0</v>
      </c>
      <c r="CS252" s="51">
        <v>0</v>
      </c>
      <c r="CT252" s="51">
        <v>0</v>
      </c>
      <c r="CU252" s="51">
        <v>0</v>
      </c>
      <c r="CV252" s="51">
        <v>0</v>
      </c>
      <c r="CW252" s="51">
        <v>0</v>
      </c>
      <c r="CX252" s="51">
        <v>0</v>
      </c>
      <c r="CY252" s="51">
        <v>0</v>
      </c>
      <c r="CZ252" s="51">
        <v>0</v>
      </c>
      <c r="DA252" s="51">
        <v>0</v>
      </c>
      <c r="DB252" s="51">
        <v>0</v>
      </c>
      <c r="DC252" s="51">
        <v>0</v>
      </c>
      <c r="DD252" s="51">
        <v>0</v>
      </c>
      <c r="DE252" s="51">
        <v>0</v>
      </c>
      <c r="DF252" s="52">
        <v>0</v>
      </c>
      <c r="DG252" s="52">
        <v>0</v>
      </c>
      <c r="DH252" s="52">
        <v>0</v>
      </c>
      <c r="DI252" s="52">
        <v>0</v>
      </c>
      <c r="DJ252" s="52">
        <v>0</v>
      </c>
      <c r="DK252" s="52">
        <v>0</v>
      </c>
      <c r="DL252" s="52">
        <v>0</v>
      </c>
      <c r="DM252" s="52">
        <v>0</v>
      </c>
      <c r="DN252" s="52">
        <v>0</v>
      </c>
      <c r="DO252" s="52">
        <v>0</v>
      </c>
      <c r="DP252" s="52">
        <v>0</v>
      </c>
      <c r="DQ252" s="52">
        <v>0</v>
      </c>
      <c r="DR252" s="52">
        <v>0</v>
      </c>
      <c r="DS252" s="53">
        <v>0</v>
      </c>
      <c r="DT252" s="53">
        <v>0</v>
      </c>
      <c r="DU252" s="53">
        <v>0</v>
      </c>
      <c r="DV252" s="53">
        <v>0</v>
      </c>
      <c r="DW252" s="53">
        <v>0</v>
      </c>
      <c r="DX252" s="2"/>
      <c r="DY252" s="2"/>
      <c r="DZ252" s="46">
        <f t="shared" si="58"/>
        <v>0</v>
      </c>
      <c r="EA252" s="46">
        <f t="shared" si="59"/>
        <v>0</v>
      </c>
      <c r="EB252" s="46">
        <f t="shared" si="60"/>
        <v>1245</v>
      </c>
      <c r="EC252" s="46">
        <f t="shared" si="61"/>
        <v>0</v>
      </c>
      <c r="ED252" s="46">
        <f t="shared" si="62"/>
        <v>0</v>
      </c>
      <c r="EE252" s="46">
        <f t="shared" si="63"/>
        <v>19</v>
      </c>
      <c r="EF252" s="46">
        <f t="shared" si="64"/>
        <v>5</v>
      </c>
      <c r="EG252" s="46">
        <f t="shared" si="65"/>
        <v>19</v>
      </c>
      <c r="EH252" s="46">
        <f t="shared" si="68"/>
        <v>0</v>
      </c>
      <c r="EI252" s="46">
        <f t="shared" si="67"/>
        <v>0</v>
      </c>
    </row>
    <row r="253" spans="3:139" ht="12">
      <c r="C253" s="36" t="s">
        <v>439</v>
      </c>
      <c r="D253" s="36" t="s">
        <v>437</v>
      </c>
      <c r="E253" s="36" t="s">
        <v>437</v>
      </c>
      <c r="F253" s="38">
        <f t="shared" si="66"/>
        <v>100</v>
      </c>
      <c r="G253" s="37" t="s">
        <v>438</v>
      </c>
      <c r="H253" s="47"/>
      <c r="I253" s="48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8"/>
      <c r="U253" s="48"/>
      <c r="V253" s="49"/>
      <c r="W253" s="49"/>
      <c r="X253" s="49"/>
      <c r="Y253" s="49"/>
      <c r="Z253" s="49"/>
      <c r="AA253" s="49"/>
      <c r="AB253" s="49"/>
      <c r="AC253" s="49"/>
      <c r="AD253" s="49">
        <v>0</v>
      </c>
      <c r="AE253" s="49">
        <v>0</v>
      </c>
      <c r="AF253" s="48">
        <v>100</v>
      </c>
      <c r="AG253" s="48"/>
      <c r="AH253" s="49"/>
      <c r="AI253" s="49"/>
      <c r="AJ253" s="49"/>
      <c r="AK253" s="49"/>
      <c r="AL253" s="49">
        <v>0</v>
      </c>
      <c r="AM253" s="49"/>
      <c r="AN253" s="49">
        <v>0</v>
      </c>
      <c r="AO253" s="49"/>
      <c r="AP253" s="49"/>
      <c r="AQ253" s="49"/>
      <c r="AR253" s="49">
        <v>0</v>
      </c>
      <c r="AS253" s="49">
        <v>0</v>
      </c>
      <c r="AT253" s="49"/>
      <c r="AU253" s="49">
        <v>0</v>
      </c>
      <c r="AV253" s="49">
        <v>0</v>
      </c>
      <c r="AW253" s="49"/>
      <c r="AX253" s="49">
        <v>0</v>
      </c>
      <c r="AY253" s="49"/>
      <c r="AZ253" s="49">
        <v>0</v>
      </c>
      <c r="BA253" s="49">
        <v>0</v>
      </c>
      <c r="BB253" s="49">
        <v>0</v>
      </c>
      <c r="BC253" s="49">
        <v>0</v>
      </c>
      <c r="BD253" s="49">
        <v>0</v>
      </c>
      <c r="BE253" s="49">
        <v>0</v>
      </c>
      <c r="BF253" s="49"/>
      <c r="BG253" s="49"/>
      <c r="BH253" s="49"/>
      <c r="BI253" s="49">
        <v>0</v>
      </c>
      <c r="BJ253" s="49"/>
      <c r="BK253" s="49"/>
      <c r="BL253" s="49">
        <v>0</v>
      </c>
      <c r="BM253" s="49"/>
      <c r="BN253" s="49">
        <v>0</v>
      </c>
      <c r="BO253" s="49"/>
      <c r="BP253" s="50">
        <v>0</v>
      </c>
      <c r="BQ253" s="50">
        <v>0</v>
      </c>
      <c r="BR253" s="50"/>
      <c r="BS253" s="50">
        <v>0</v>
      </c>
      <c r="BT253" s="50">
        <v>0</v>
      </c>
      <c r="BU253" s="50">
        <v>0</v>
      </c>
      <c r="BV253" s="50"/>
      <c r="BW253" s="50">
        <v>0</v>
      </c>
      <c r="BX253" s="50"/>
      <c r="BY253" s="50"/>
      <c r="BZ253" s="50"/>
      <c r="CA253" s="50">
        <v>0</v>
      </c>
      <c r="CB253" s="50">
        <v>0</v>
      </c>
      <c r="CC253" s="50">
        <v>0</v>
      </c>
      <c r="CD253" s="50">
        <v>0</v>
      </c>
      <c r="CE253" s="50">
        <v>0</v>
      </c>
      <c r="CF253" s="50">
        <v>0</v>
      </c>
      <c r="CG253" s="50"/>
      <c r="CH253" s="50">
        <v>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1">
        <v>0</v>
      </c>
      <c r="CO253" s="51">
        <v>0</v>
      </c>
      <c r="CP253" s="51">
        <v>0</v>
      </c>
      <c r="CQ253" s="51">
        <v>0</v>
      </c>
      <c r="CR253" s="51">
        <v>0</v>
      </c>
      <c r="CS253" s="51">
        <v>0</v>
      </c>
      <c r="CT253" s="51">
        <v>0</v>
      </c>
      <c r="CU253" s="51">
        <v>0</v>
      </c>
      <c r="CV253" s="51">
        <v>0</v>
      </c>
      <c r="CW253" s="51">
        <v>0</v>
      </c>
      <c r="CX253" s="51">
        <v>0</v>
      </c>
      <c r="CY253" s="51">
        <v>0</v>
      </c>
      <c r="CZ253" s="51">
        <v>0</v>
      </c>
      <c r="DA253" s="51">
        <v>0</v>
      </c>
      <c r="DB253" s="51">
        <v>0</v>
      </c>
      <c r="DC253" s="51">
        <v>0</v>
      </c>
      <c r="DD253" s="51">
        <v>0</v>
      </c>
      <c r="DE253" s="51">
        <v>0</v>
      </c>
      <c r="DF253" s="52">
        <v>0</v>
      </c>
      <c r="DG253" s="52">
        <v>0</v>
      </c>
      <c r="DH253" s="52">
        <v>0</v>
      </c>
      <c r="DI253" s="52">
        <v>0</v>
      </c>
      <c r="DJ253" s="52">
        <v>0</v>
      </c>
      <c r="DK253" s="52">
        <v>0</v>
      </c>
      <c r="DL253" s="52">
        <v>0</v>
      </c>
      <c r="DM253" s="52">
        <v>0</v>
      </c>
      <c r="DN253" s="52">
        <v>0</v>
      </c>
      <c r="DO253" s="52">
        <v>0</v>
      </c>
      <c r="DP253" s="52">
        <v>0</v>
      </c>
      <c r="DQ253" s="52">
        <v>0</v>
      </c>
      <c r="DR253" s="52">
        <v>0</v>
      </c>
      <c r="DS253" s="53">
        <v>0</v>
      </c>
      <c r="DT253" s="53">
        <v>0</v>
      </c>
      <c r="DU253" s="53">
        <v>0</v>
      </c>
      <c r="DV253" s="53">
        <v>0</v>
      </c>
      <c r="DW253" s="53">
        <v>0</v>
      </c>
      <c r="DX253" s="2"/>
      <c r="DY253" s="2"/>
      <c r="DZ253" s="46">
        <f t="shared" si="58"/>
        <v>0</v>
      </c>
      <c r="EA253" s="46">
        <f t="shared" si="59"/>
        <v>0</v>
      </c>
      <c r="EB253" s="46">
        <f t="shared" si="60"/>
        <v>100</v>
      </c>
      <c r="EC253" s="46">
        <f t="shared" si="61"/>
        <v>0</v>
      </c>
      <c r="ED253" s="46">
        <f t="shared" si="62"/>
        <v>0</v>
      </c>
      <c r="EE253" s="46">
        <f t="shared" si="63"/>
        <v>0</v>
      </c>
      <c r="EF253" s="46">
        <f t="shared" si="64"/>
        <v>0</v>
      </c>
      <c r="EG253" s="46">
        <f t="shared" si="65"/>
        <v>0</v>
      </c>
      <c r="EH253" s="46">
        <f t="shared" si="68"/>
        <v>0</v>
      </c>
      <c r="EI253" s="46">
        <f t="shared" si="67"/>
        <v>0</v>
      </c>
    </row>
    <row r="254" spans="3:139" ht="12">
      <c r="C254" s="36" t="s">
        <v>440</v>
      </c>
      <c r="D254" s="36" t="s">
        <v>437</v>
      </c>
      <c r="E254" s="36" t="s">
        <v>437</v>
      </c>
      <c r="F254" s="38">
        <f t="shared" si="66"/>
        <v>662</v>
      </c>
      <c r="G254" s="37" t="s">
        <v>438</v>
      </c>
      <c r="H254" s="47"/>
      <c r="I254" s="48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8"/>
      <c r="U254" s="48"/>
      <c r="V254" s="49"/>
      <c r="W254" s="49"/>
      <c r="X254" s="49"/>
      <c r="Y254" s="49"/>
      <c r="Z254" s="49"/>
      <c r="AA254" s="49"/>
      <c r="AB254" s="49"/>
      <c r="AC254" s="49"/>
      <c r="AD254" s="49">
        <v>0</v>
      </c>
      <c r="AE254" s="49">
        <v>0</v>
      </c>
      <c r="AF254" s="48"/>
      <c r="AG254" s="48">
        <v>100</v>
      </c>
      <c r="AH254" s="49">
        <v>425</v>
      </c>
      <c r="AI254" s="49"/>
      <c r="AJ254" s="49">
        <v>100</v>
      </c>
      <c r="AK254" s="49"/>
      <c r="AL254" s="49">
        <v>0</v>
      </c>
      <c r="AM254" s="49"/>
      <c r="AN254" s="49">
        <v>0</v>
      </c>
      <c r="AO254" s="49">
        <v>37</v>
      </c>
      <c r="AP254" s="49"/>
      <c r="AQ254" s="49"/>
      <c r="AR254" s="49">
        <v>0</v>
      </c>
      <c r="AS254" s="49">
        <v>0</v>
      </c>
      <c r="AT254" s="49"/>
      <c r="AU254" s="49">
        <v>0</v>
      </c>
      <c r="AV254" s="49">
        <v>0</v>
      </c>
      <c r="AW254" s="49"/>
      <c r="AX254" s="49">
        <v>0</v>
      </c>
      <c r="AY254" s="49"/>
      <c r="AZ254" s="49">
        <v>0</v>
      </c>
      <c r="BA254" s="49">
        <v>0</v>
      </c>
      <c r="BB254" s="49">
        <v>0</v>
      </c>
      <c r="BC254" s="49">
        <v>0</v>
      </c>
      <c r="BD254" s="49">
        <v>0</v>
      </c>
      <c r="BE254" s="49">
        <v>0</v>
      </c>
      <c r="BF254" s="49"/>
      <c r="BG254" s="49"/>
      <c r="BH254" s="49"/>
      <c r="BI254" s="49">
        <v>0</v>
      </c>
      <c r="BJ254" s="49"/>
      <c r="BK254" s="49"/>
      <c r="BL254" s="49">
        <v>0</v>
      </c>
      <c r="BM254" s="49"/>
      <c r="BN254" s="49">
        <v>0</v>
      </c>
      <c r="BO254" s="49"/>
      <c r="BP254" s="50">
        <v>0</v>
      </c>
      <c r="BQ254" s="50">
        <v>0</v>
      </c>
      <c r="BR254" s="50"/>
      <c r="BS254" s="50">
        <v>0</v>
      </c>
      <c r="BT254" s="50">
        <v>0</v>
      </c>
      <c r="BU254" s="50">
        <v>0</v>
      </c>
      <c r="BV254" s="50"/>
      <c r="BW254" s="50">
        <v>0</v>
      </c>
      <c r="BX254" s="50"/>
      <c r="BY254" s="50"/>
      <c r="BZ254" s="50"/>
      <c r="CA254" s="50">
        <v>0</v>
      </c>
      <c r="CB254" s="50">
        <v>0</v>
      </c>
      <c r="CC254" s="50">
        <v>0</v>
      </c>
      <c r="CD254" s="50">
        <v>0</v>
      </c>
      <c r="CE254" s="50">
        <v>0</v>
      </c>
      <c r="CF254" s="50">
        <v>0</v>
      </c>
      <c r="CG254" s="50"/>
      <c r="CH254" s="50">
        <v>0</v>
      </c>
      <c r="CI254" s="50">
        <v>0</v>
      </c>
      <c r="CJ254" s="50">
        <v>0</v>
      </c>
      <c r="CK254" s="50">
        <v>0</v>
      </c>
      <c r="CL254" s="50">
        <v>0</v>
      </c>
      <c r="CM254" s="50">
        <v>0</v>
      </c>
      <c r="CN254" s="51">
        <v>0</v>
      </c>
      <c r="CO254" s="51">
        <v>0</v>
      </c>
      <c r="CP254" s="51">
        <v>0</v>
      </c>
      <c r="CQ254" s="51">
        <v>0</v>
      </c>
      <c r="CR254" s="51">
        <v>0</v>
      </c>
      <c r="CS254" s="51">
        <v>0</v>
      </c>
      <c r="CT254" s="51">
        <v>0</v>
      </c>
      <c r="CU254" s="51">
        <v>0</v>
      </c>
      <c r="CV254" s="51">
        <v>0</v>
      </c>
      <c r="CW254" s="51">
        <v>0</v>
      </c>
      <c r="CX254" s="51">
        <v>0</v>
      </c>
      <c r="CY254" s="51">
        <v>0</v>
      </c>
      <c r="CZ254" s="51">
        <v>0</v>
      </c>
      <c r="DA254" s="51">
        <v>0</v>
      </c>
      <c r="DB254" s="51">
        <v>0</v>
      </c>
      <c r="DC254" s="51">
        <v>0</v>
      </c>
      <c r="DD254" s="51">
        <v>0</v>
      </c>
      <c r="DE254" s="51">
        <v>0</v>
      </c>
      <c r="DF254" s="52">
        <v>0</v>
      </c>
      <c r="DG254" s="52">
        <v>0</v>
      </c>
      <c r="DH254" s="52">
        <v>0</v>
      </c>
      <c r="DI254" s="52">
        <v>0</v>
      </c>
      <c r="DJ254" s="52">
        <v>0</v>
      </c>
      <c r="DK254" s="52">
        <v>0</v>
      </c>
      <c r="DL254" s="52">
        <v>0</v>
      </c>
      <c r="DM254" s="52">
        <v>0</v>
      </c>
      <c r="DN254" s="52">
        <v>0</v>
      </c>
      <c r="DO254" s="52">
        <v>0</v>
      </c>
      <c r="DP254" s="52">
        <v>0</v>
      </c>
      <c r="DQ254" s="52">
        <v>0</v>
      </c>
      <c r="DR254" s="52">
        <v>0</v>
      </c>
      <c r="DS254" s="53">
        <v>0</v>
      </c>
      <c r="DT254" s="53">
        <v>0</v>
      </c>
      <c r="DU254" s="53">
        <v>0</v>
      </c>
      <c r="DV254" s="53">
        <v>0</v>
      </c>
      <c r="DW254" s="53">
        <v>0</v>
      </c>
      <c r="DX254" s="2"/>
      <c r="DY254" s="2"/>
      <c r="DZ254" s="46">
        <f t="shared" si="58"/>
        <v>0</v>
      </c>
      <c r="EA254" s="46">
        <f t="shared" si="59"/>
        <v>0</v>
      </c>
      <c r="EB254" s="46">
        <f t="shared" si="60"/>
        <v>662</v>
      </c>
      <c r="EC254" s="46">
        <f t="shared" si="61"/>
        <v>0</v>
      </c>
      <c r="ED254" s="46">
        <f t="shared" si="62"/>
        <v>0</v>
      </c>
      <c r="EE254" s="46">
        <f t="shared" si="63"/>
        <v>0</v>
      </c>
      <c r="EF254" s="46">
        <f t="shared" si="64"/>
        <v>0</v>
      </c>
      <c r="EG254" s="46">
        <f t="shared" si="65"/>
        <v>0</v>
      </c>
      <c r="EH254" s="46">
        <f t="shared" si="68"/>
        <v>0</v>
      </c>
      <c r="EI254" s="46">
        <f t="shared" si="67"/>
        <v>0</v>
      </c>
    </row>
    <row r="255" spans="3:139" ht="12">
      <c r="C255" s="36" t="s">
        <v>441</v>
      </c>
      <c r="D255" s="36" t="s">
        <v>437</v>
      </c>
      <c r="E255" s="36" t="s">
        <v>437</v>
      </c>
      <c r="F255" s="38">
        <f t="shared" si="66"/>
        <v>0</v>
      </c>
      <c r="G255" s="37" t="s">
        <v>438</v>
      </c>
      <c r="H255" s="47"/>
      <c r="I255" s="48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8"/>
      <c r="U255" s="48"/>
      <c r="V255" s="49"/>
      <c r="W255" s="49"/>
      <c r="X255" s="49"/>
      <c r="Y255" s="49"/>
      <c r="Z255" s="49"/>
      <c r="AA255" s="49"/>
      <c r="AB255" s="49"/>
      <c r="AC255" s="49"/>
      <c r="AD255" s="49">
        <v>0</v>
      </c>
      <c r="AE255" s="49">
        <v>0</v>
      </c>
      <c r="AF255" s="48"/>
      <c r="AG255" s="48"/>
      <c r="AH255" s="49"/>
      <c r="AI255" s="49"/>
      <c r="AJ255" s="49"/>
      <c r="AK255" s="49"/>
      <c r="AL255" s="49">
        <v>0</v>
      </c>
      <c r="AM255" s="49"/>
      <c r="AN255" s="49">
        <v>0</v>
      </c>
      <c r="AO255" s="49"/>
      <c r="AP255" s="49"/>
      <c r="AQ255" s="49"/>
      <c r="AR255" s="49">
        <v>0</v>
      </c>
      <c r="AS255" s="49">
        <v>0</v>
      </c>
      <c r="AT255" s="49"/>
      <c r="AU255" s="49">
        <v>0</v>
      </c>
      <c r="AV255" s="49">
        <v>0</v>
      </c>
      <c r="AW255" s="49"/>
      <c r="AX255" s="49">
        <v>0</v>
      </c>
      <c r="AY255" s="49"/>
      <c r="AZ255" s="49">
        <v>0</v>
      </c>
      <c r="BA255" s="49">
        <v>0</v>
      </c>
      <c r="BB255" s="49">
        <v>0</v>
      </c>
      <c r="BC255" s="49">
        <v>0</v>
      </c>
      <c r="BD255" s="49">
        <v>0</v>
      </c>
      <c r="BE255" s="49">
        <v>0</v>
      </c>
      <c r="BF255" s="49"/>
      <c r="BG255" s="49"/>
      <c r="BH255" s="49"/>
      <c r="BI255" s="49">
        <v>0</v>
      </c>
      <c r="BJ255" s="49"/>
      <c r="BK255" s="49"/>
      <c r="BL255" s="49">
        <v>0</v>
      </c>
      <c r="BM255" s="49"/>
      <c r="BN255" s="49">
        <v>0</v>
      </c>
      <c r="BO255" s="49"/>
      <c r="BP255" s="50">
        <v>0</v>
      </c>
      <c r="BQ255" s="50">
        <v>0</v>
      </c>
      <c r="BR255" s="50"/>
      <c r="BS255" s="50">
        <v>0</v>
      </c>
      <c r="BT255" s="50">
        <v>0</v>
      </c>
      <c r="BU255" s="50">
        <v>0</v>
      </c>
      <c r="BV255" s="50"/>
      <c r="BW255" s="50">
        <v>0</v>
      </c>
      <c r="BX255" s="50"/>
      <c r="BY255" s="50"/>
      <c r="BZ255" s="50"/>
      <c r="CA255" s="50">
        <v>0</v>
      </c>
      <c r="CB255" s="50">
        <v>0</v>
      </c>
      <c r="CC255" s="50">
        <v>0</v>
      </c>
      <c r="CD255" s="50">
        <v>0</v>
      </c>
      <c r="CE255" s="50">
        <v>0</v>
      </c>
      <c r="CF255" s="50">
        <v>0</v>
      </c>
      <c r="CG255" s="50"/>
      <c r="CH255" s="50">
        <v>0</v>
      </c>
      <c r="CI255" s="50">
        <v>0</v>
      </c>
      <c r="CJ255" s="50">
        <v>0</v>
      </c>
      <c r="CK255" s="50">
        <v>0</v>
      </c>
      <c r="CL255" s="50">
        <v>0</v>
      </c>
      <c r="CM255" s="50">
        <v>0</v>
      </c>
      <c r="CN255" s="51">
        <v>0</v>
      </c>
      <c r="CO255" s="51">
        <v>0</v>
      </c>
      <c r="CP255" s="51">
        <v>0</v>
      </c>
      <c r="CQ255" s="51">
        <v>0</v>
      </c>
      <c r="CR255" s="51">
        <v>0</v>
      </c>
      <c r="CS255" s="51">
        <v>0</v>
      </c>
      <c r="CT255" s="51">
        <v>0</v>
      </c>
      <c r="CU255" s="51">
        <v>0</v>
      </c>
      <c r="CV255" s="51">
        <v>0</v>
      </c>
      <c r="CW255" s="51">
        <v>0</v>
      </c>
      <c r="CX255" s="51">
        <v>0</v>
      </c>
      <c r="CY255" s="51">
        <v>0</v>
      </c>
      <c r="CZ255" s="51">
        <v>0</v>
      </c>
      <c r="DA255" s="51">
        <v>0</v>
      </c>
      <c r="DB255" s="51">
        <v>0</v>
      </c>
      <c r="DC255" s="51">
        <v>0</v>
      </c>
      <c r="DD255" s="51">
        <v>0</v>
      </c>
      <c r="DE255" s="51">
        <v>0</v>
      </c>
      <c r="DF255" s="52">
        <v>0</v>
      </c>
      <c r="DG255" s="52">
        <v>0</v>
      </c>
      <c r="DH255" s="52">
        <v>0</v>
      </c>
      <c r="DI255" s="52">
        <v>0</v>
      </c>
      <c r="DJ255" s="52">
        <v>0</v>
      </c>
      <c r="DK255" s="52">
        <v>0</v>
      </c>
      <c r="DL255" s="52">
        <v>0</v>
      </c>
      <c r="DM255" s="52">
        <v>0</v>
      </c>
      <c r="DN255" s="52">
        <v>0</v>
      </c>
      <c r="DO255" s="52">
        <v>0</v>
      </c>
      <c r="DP255" s="52">
        <v>0</v>
      </c>
      <c r="DQ255" s="52">
        <v>0</v>
      </c>
      <c r="DR255" s="52">
        <v>0</v>
      </c>
      <c r="DS255" s="53">
        <v>0</v>
      </c>
      <c r="DT255" s="53">
        <v>0</v>
      </c>
      <c r="DU255" s="53">
        <v>0</v>
      </c>
      <c r="DV255" s="53">
        <v>0</v>
      </c>
      <c r="DW255" s="53">
        <v>0</v>
      </c>
      <c r="DX255" s="2"/>
      <c r="DY255" s="2"/>
      <c r="DZ255" s="46">
        <f t="shared" si="58"/>
        <v>0</v>
      </c>
      <c r="EA255" s="46">
        <f t="shared" si="59"/>
        <v>0</v>
      </c>
      <c r="EB255" s="46">
        <f t="shared" si="60"/>
        <v>0</v>
      </c>
      <c r="EC255" s="46">
        <f t="shared" si="61"/>
        <v>0</v>
      </c>
      <c r="ED255" s="46">
        <f t="shared" si="62"/>
        <v>0</v>
      </c>
      <c r="EE255" s="46">
        <f t="shared" si="63"/>
        <v>0</v>
      </c>
      <c r="EF255" s="46">
        <f t="shared" si="64"/>
        <v>0</v>
      </c>
      <c r="EG255" s="46">
        <f t="shared" si="65"/>
        <v>0</v>
      </c>
      <c r="EH255" s="46">
        <f t="shared" si="68"/>
        <v>0</v>
      </c>
      <c r="EI255" s="46">
        <f t="shared" si="67"/>
        <v>0</v>
      </c>
    </row>
    <row r="256" spans="3:139" ht="12">
      <c r="C256" s="36" t="s">
        <v>442</v>
      </c>
      <c r="D256" s="36" t="s">
        <v>437</v>
      </c>
      <c r="E256" s="36" t="s">
        <v>437</v>
      </c>
      <c r="F256" s="38">
        <f t="shared" si="66"/>
        <v>16577</v>
      </c>
      <c r="G256" s="37" t="s">
        <v>438</v>
      </c>
      <c r="H256" s="47"/>
      <c r="I256" s="48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8"/>
      <c r="U256" s="48"/>
      <c r="V256" s="49"/>
      <c r="W256" s="49"/>
      <c r="X256" s="49"/>
      <c r="Y256" s="49"/>
      <c r="Z256" s="49"/>
      <c r="AA256" s="49"/>
      <c r="AB256" s="49"/>
      <c r="AC256" s="49"/>
      <c r="AD256" s="49">
        <v>0</v>
      </c>
      <c r="AE256" s="49">
        <v>0</v>
      </c>
      <c r="AF256" s="48">
        <v>3907</v>
      </c>
      <c r="AG256" s="48">
        <v>8508</v>
      </c>
      <c r="AH256" s="49">
        <v>3100</v>
      </c>
      <c r="AI256" s="49">
        <v>440</v>
      </c>
      <c r="AJ256" s="49"/>
      <c r="AK256" s="49"/>
      <c r="AL256" s="49">
        <v>200</v>
      </c>
      <c r="AM256" s="49"/>
      <c r="AN256" s="49">
        <v>0</v>
      </c>
      <c r="AO256" s="49"/>
      <c r="AP256" s="49"/>
      <c r="AQ256" s="49"/>
      <c r="AR256" s="49">
        <v>0</v>
      </c>
      <c r="AS256" s="49">
        <v>0</v>
      </c>
      <c r="AT256" s="49"/>
      <c r="AU256" s="49">
        <v>0</v>
      </c>
      <c r="AV256" s="49">
        <v>0</v>
      </c>
      <c r="AW256" s="49"/>
      <c r="AX256" s="49">
        <v>0</v>
      </c>
      <c r="AY256" s="49"/>
      <c r="AZ256" s="49">
        <v>0</v>
      </c>
      <c r="BA256" s="49">
        <v>0</v>
      </c>
      <c r="BB256" s="49">
        <v>0</v>
      </c>
      <c r="BC256" s="49">
        <v>0</v>
      </c>
      <c r="BD256" s="49">
        <v>0</v>
      </c>
      <c r="BE256" s="49">
        <v>0</v>
      </c>
      <c r="BF256" s="49"/>
      <c r="BG256" s="49"/>
      <c r="BH256" s="49"/>
      <c r="BI256" s="49">
        <v>20</v>
      </c>
      <c r="BJ256" s="49">
        <v>23</v>
      </c>
      <c r="BK256" s="49"/>
      <c r="BL256" s="49">
        <v>0</v>
      </c>
      <c r="BM256" s="49">
        <v>39</v>
      </c>
      <c r="BN256" s="49">
        <v>0</v>
      </c>
      <c r="BO256" s="49"/>
      <c r="BP256" s="50">
        <v>0</v>
      </c>
      <c r="BQ256" s="50">
        <v>39</v>
      </c>
      <c r="BR256" s="50"/>
      <c r="BS256" s="50">
        <v>0</v>
      </c>
      <c r="BT256" s="50">
        <v>0</v>
      </c>
      <c r="BU256" s="50">
        <v>0</v>
      </c>
      <c r="BV256" s="50">
        <v>25</v>
      </c>
      <c r="BW256" s="50">
        <v>0</v>
      </c>
      <c r="BX256" s="50"/>
      <c r="BY256" s="50"/>
      <c r="BZ256" s="50">
        <v>50</v>
      </c>
      <c r="CA256" s="50">
        <v>0</v>
      </c>
      <c r="CB256" s="50">
        <v>0</v>
      </c>
      <c r="CC256" s="50">
        <v>42</v>
      </c>
      <c r="CD256" s="50">
        <v>0</v>
      </c>
      <c r="CE256" s="50">
        <v>4</v>
      </c>
      <c r="CF256" s="50">
        <v>0</v>
      </c>
      <c r="CG256" s="50"/>
      <c r="CH256" s="50">
        <v>0</v>
      </c>
      <c r="CI256" s="50">
        <v>40</v>
      </c>
      <c r="CJ256" s="50">
        <v>0</v>
      </c>
      <c r="CK256" s="50">
        <v>0</v>
      </c>
      <c r="CL256" s="50">
        <v>29</v>
      </c>
      <c r="CM256" s="50">
        <v>0</v>
      </c>
      <c r="CN256" s="51">
        <v>30</v>
      </c>
      <c r="CO256" s="51">
        <v>0</v>
      </c>
      <c r="CP256" s="51">
        <v>37</v>
      </c>
      <c r="CQ256" s="51">
        <v>1</v>
      </c>
      <c r="CR256" s="51">
        <v>26</v>
      </c>
      <c r="CS256" s="51">
        <v>0</v>
      </c>
      <c r="CT256" s="51">
        <v>0</v>
      </c>
      <c r="CU256" s="51">
        <v>0</v>
      </c>
      <c r="CV256" s="51">
        <v>0</v>
      </c>
      <c r="CW256" s="51">
        <v>0</v>
      </c>
      <c r="CX256" s="51">
        <v>0</v>
      </c>
      <c r="CY256" s="51">
        <v>0</v>
      </c>
      <c r="CZ256" s="51">
        <v>0</v>
      </c>
      <c r="DA256" s="51">
        <v>0</v>
      </c>
      <c r="DB256" s="51">
        <v>0</v>
      </c>
      <c r="DC256" s="51">
        <v>17</v>
      </c>
      <c r="DD256" s="51">
        <v>0</v>
      </c>
      <c r="DE256" s="51">
        <v>0</v>
      </c>
      <c r="DF256" s="52">
        <v>0</v>
      </c>
      <c r="DG256" s="52">
        <v>0</v>
      </c>
      <c r="DH256" s="52">
        <v>0</v>
      </c>
      <c r="DI256" s="52">
        <v>0</v>
      </c>
      <c r="DJ256" s="52">
        <v>0</v>
      </c>
      <c r="DK256" s="52">
        <v>0</v>
      </c>
      <c r="DL256" s="52">
        <v>0</v>
      </c>
      <c r="DM256" s="52">
        <v>0</v>
      </c>
      <c r="DN256" s="52">
        <v>0</v>
      </c>
      <c r="DO256" s="52">
        <v>0</v>
      </c>
      <c r="DP256" s="52">
        <v>0</v>
      </c>
      <c r="DQ256" s="52">
        <v>0</v>
      </c>
      <c r="DR256" s="52">
        <v>0</v>
      </c>
      <c r="DS256" s="53">
        <v>0</v>
      </c>
      <c r="DT256" s="53">
        <v>0</v>
      </c>
      <c r="DU256" s="53">
        <v>0</v>
      </c>
      <c r="DV256" s="53">
        <v>0</v>
      </c>
      <c r="DW256" s="53">
        <v>0</v>
      </c>
      <c r="DX256" s="2"/>
      <c r="DY256" s="2"/>
      <c r="DZ256" s="46">
        <f t="shared" si="58"/>
        <v>0</v>
      </c>
      <c r="EA256" s="46">
        <f t="shared" si="59"/>
        <v>0</v>
      </c>
      <c r="EB256" s="46">
        <f t="shared" si="60"/>
        <v>16155</v>
      </c>
      <c r="EC256" s="46">
        <f t="shared" si="61"/>
        <v>0</v>
      </c>
      <c r="ED256" s="46">
        <f t="shared" si="62"/>
        <v>82</v>
      </c>
      <c r="EE256" s="46">
        <f t="shared" si="63"/>
        <v>114</v>
      </c>
      <c r="EF256" s="46">
        <f t="shared" si="64"/>
        <v>115</v>
      </c>
      <c r="EG256" s="46">
        <f t="shared" si="65"/>
        <v>94</v>
      </c>
      <c r="EH256" s="46">
        <f t="shared" si="68"/>
        <v>17</v>
      </c>
      <c r="EI256" s="46">
        <f t="shared" si="67"/>
        <v>0</v>
      </c>
    </row>
    <row r="257" spans="3:139" ht="12">
      <c r="C257" s="36" t="s">
        <v>443</v>
      </c>
      <c r="D257" s="36" t="s">
        <v>437</v>
      </c>
      <c r="E257" s="36" t="s">
        <v>437</v>
      </c>
      <c r="F257" s="38">
        <f t="shared" si="66"/>
        <v>2199</v>
      </c>
      <c r="G257" s="37" t="s">
        <v>438</v>
      </c>
      <c r="H257" s="47"/>
      <c r="I257" s="48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8"/>
      <c r="U257" s="48"/>
      <c r="V257" s="49"/>
      <c r="W257" s="49"/>
      <c r="X257" s="49"/>
      <c r="Y257" s="49"/>
      <c r="Z257" s="49"/>
      <c r="AA257" s="49"/>
      <c r="AB257" s="49"/>
      <c r="AC257" s="49"/>
      <c r="AD257" s="49">
        <v>0</v>
      </c>
      <c r="AE257" s="49">
        <v>0</v>
      </c>
      <c r="AF257" s="48">
        <v>10</v>
      </c>
      <c r="AG257" s="48">
        <v>251</v>
      </c>
      <c r="AH257" s="49">
        <v>525</v>
      </c>
      <c r="AI257" s="49"/>
      <c r="AJ257" s="49">
        <v>298</v>
      </c>
      <c r="AK257" s="49">
        <v>279</v>
      </c>
      <c r="AL257" s="49">
        <v>680</v>
      </c>
      <c r="AM257" s="49">
        <v>140</v>
      </c>
      <c r="AN257" s="49">
        <v>0</v>
      </c>
      <c r="AO257" s="49"/>
      <c r="AP257" s="49"/>
      <c r="AQ257" s="49"/>
      <c r="AR257" s="49">
        <v>0</v>
      </c>
      <c r="AS257" s="49">
        <v>0</v>
      </c>
      <c r="AT257" s="49"/>
      <c r="AU257" s="49">
        <v>0</v>
      </c>
      <c r="AV257" s="49">
        <v>0</v>
      </c>
      <c r="AW257" s="49"/>
      <c r="AX257" s="49">
        <v>0</v>
      </c>
      <c r="AY257" s="49"/>
      <c r="AZ257" s="49">
        <v>0</v>
      </c>
      <c r="BA257" s="49">
        <v>0</v>
      </c>
      <c r="BB257" s="49">
        <v>0</v>
      </c>
      <c r="BC257" s="49">
        <v>0</v>
      </c>
      <c r="BD257" s="49">
        <v>0</v>
      </c>
      <c r="BE257" s="49">
        <v>0</v>
      </c>
      <c r="BF257" s="49"/>
      <c r="BG257" s="49"/>
      <c r="BH257" s="49"/>
      <c r="BI257" s="49">
        <v>0</v>
      </c>
      <c r="BJ257" s="49"/>
      <c r="BK257" s="49"/>
      <c r="BL257" s="49">
        <v>0</v>
      </c>
      <c r="BM257" s="49"/>
      <c r="BN257" s="49">
        <v>0</v>
      </c>
      <c r="BO257" s="49"/>
      <c r="BP257" s="50">
        <v>0</v>
      </c>
      <c r="BQ257" s="50">
        <v>0</v>
      </c>
      <c r="BR257" s="50"/>
      <c r="BS257" s="50">
        <v>0</v>
      </c>
      <c r="BT257" s="50">
        <v>0</v>
      </c>
      <c r="BU257" s="50">
        <v>0</v>
      </c>
      <c r="BV257" s="50"/>
      <c r="BW257" s="50">
        <v>0</v>
      </c>
      <c r="BX257" s="50"/>
      <c r="BY257" s="50"/>
      <c r="BZ257" s="50"/>
      <c r="CA257" s="50">
        <v>0</v>
      </c>
      <c r="CB257" s="50">
        <v>0</v>
      </c>
      <c r="CC257" s="50">
        <v>0</v>
      </c>
      <c r="CD257" s="50">
        <v>0</v>
      </c>
      <c r="CE257" s="50">
        <v>0</v>
      </c>
      <c r="CF257" s="50">
        <v>0</v>
      </c>
      <c r="CG257" s="50"/>
      <c r="CH257" s="50">
        <v>0</v>
      </c>
      <c r="CI257" s="50">
        <v>0</v>
      </c>
      <c r="CJ257" s="50">
        <v>0</v>
      </c>
      <c r="CK257" s="50">
        <v>0</v>
      </c>
      <c r="CL257" s="50">
        <v>0</v>
      </c>
      <c r="CM257" s="50">
        <v>10</v>
      </c>
      <c r="CN257" s="51">
        <v>0</v>
      </c>
      <c r="CO257" s="51">
        <v>0</v>
      </c>
      <c r="CP257" s="51">
        <v>0</v>
      </c>
      <c r="CQ257" s="51">
        <v>0</v>
      </c>
      <c r="CR257" s="51">
        <v>0</v>
      </c>
      <c r="CS257" s="51">
        <v>0</v>
      </c>
      <c r="CT257" s="51">
        <v>0</v>
      </c>
      <c r="CU257" s="51">
        <v>0</v>
      </c>
      <c r="CV257" s="51">
        <v>0</v>
      </c>
      <c r="CW257" s="51">
        <v>0</v>
      </c>
      <c r="CX257" s="51">
        <v>0</v>
      </c>
      <c r="CY257" s="51">
        <v>0</v>
      </c>
      <c r="CZ257" s="51">
        <v>0</v>
      </c>
      <c r="DA257" s="51">
        <v>0</v>
      </c>
      <c r="DB257" s="51">
        <v>0</v>
      </c>
      <c r="DC257" s="51">
        <v>6</v>
      </c>
      <c r="DD257" s="51">
        <v>0</v>
      </c>
      <c r="DE257" s="51">
        <v>0</v>
      </c>
      <c r="DF257" s="52">
        <v>0</v>
      </c>
      <c r="DG257" s="52">
        <v>0</v>
      </c>
      <c r="DH257" s="52">
        <v>0</v>
      </c>
      <c r="DI257" s="52">
        <v>0</v>
      </c>
      <c r="DJ257" s="52">
        <v>0</v>
      </c>
      <c r="DK257" s="52">
        <v>0</v>
      </c>
      <c r="DL257" s="52">
        <v>0</v>
      </c>
      <c r="DM257" s="52">
        <v>0</v>
      </c>
      <c r="DN257" s="52">
        <v>0</v>
      </c>
      <c r="DO257" s="52">
        <v>0</v>
      </c>
      <c r="DP257" s="52">
        <v>0</v>
      </c>
      <c r="DQ257" s="52">
        <v>0</v>
      </c>
      <c r="DR257" s="52">
        <v>0</v>
      </c>
      <c r="DS257" s="53">
        <v>0</v>
      </c>
      <c r="DT257" s="53">
        <v>0</v>
      </c>
      <c r="DU257" s="53">
        <v>0</v>
      </c>
      <c r="DV257" s="53">
        <v>0</v>
      </c>
      <c r="DW257" s="53">
        <v>0</v>
      </c>
      <c r="DX257" s="2"/>
      <c r="DY257" s="2"/>
      <c r="DZ257" s="46">
        <f t="shared" si="58"/>
        <v>0</v>
      </c>
      <c r="EA257" s="46">
        <f t="shared" si="59"/>
        <v>0</v>
      </c>
      <c r="EB257" s="46">
        <f t="shared" si="60"/>
        <v>2183</v>
      </c>
      <c r="EC257" s="46">
        <f t="shared" si="61"/>
        <v>0</v>
      </c>
      <c r="ED257" s="46">
        <f t="shared" si="62"/>
        <v>0</v>
      </c>
      <c r="EE257" s="46">
        <f t="shared" si="63"/>
        <v>0</v>
      </c>
      <c r="EF257" s="46">
        <f t="shared" si="64"/>
        <v>10</v>
      </c>
      <c r="EG257" s="46">
        <f t="shared" si="65"/>
        <v>0</v>
      </c>
      <c r="EH257" s="46">
        <f t="shared" si="68"/>
        <v>6</v>
      </c>
      <c r="EI257" s="46">
        <f t="shared" si="67"/>
        <v>0</v>
      </c>
    </row>
    <row r="258" spans="3:139" ht="12">
      <c r="C258" s="36" t="s">
        <v>444</v>
      </c>
      <c r="D258" s="36" t="s">
        <v>437</v>
      </c>
      <c r="E258" s="36" t="s">
        <v>437</v>
      </c>
      <c r="F258" s="38">
        <f t="shared" si="66"/>
        <v>7582</v>
      </c>
      <c r="G258" s="37" t="s">
        <v>438</v>
      </c>
      <c r="H258" s="47"/>
      <c r="I258" s="48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8"/>
      <c r="U258" s="48"/>
      <c r="V258" s="49"/>
      <c r="W258" s="49"/>
      <c r="X258" s="49"/>
      <c r="Y258" s="49"/>
      <c r="Z258" s="49"/>
      <c r="AA258" s="49"/>
      <c r="AB258" s="49"/>
      <c r="AC258" s="49"/>
      <c r="AD258" s="49">
        <v>0</v>
      </c>
      <c r="AE258" s="49">
        <v>0</v>
      </c>
      <c r="AF258" s="48">
        <v>3215</v>
      </c>
      <c r="AG258" s="48">
        <v>2402</v>
      </c>
      <c r="AH258" s="49">
        <v>1600</v>
      </c>
      <c r="AI258" s="49">
        <v>160</v>
      </c>
      <c r="AJ258" s="49"/>
      <c r="AK258" s="49"/>
      <c r="AL258" s="49">
        <v>0</v>
      </c>
      <c r="AM258" s="49"/>
      <c r="AN258" s="49">
        <v>0</v>
      </c>
      <c r="AO258" s="49"/>
      <c r="AP258" s="49"/>
      <c r="AQ258" s="49"/>
      <c r="AR258" s="49">
        <v>0</v>
      </c>
      <c r="AS258" s="49">
        <v>0</v>
      </c>
      <c r="AT258" s="49"/>
      <c r="AU258" s="49">
        <v>0</v>
      </c>
      <c r="AV258" s="49">
        <v>0</v>
      </c>
      <c r="AW258" s="49"/>
      <c r="AX258" s="49">
        <v>0</v>
      </c>
      <c r="AY258" s="49"/>
      <c r="AZ258" s="49">
        <v>0</v>
      </c>
      <c r="BA258" s="49">
        <v>0</v>
      </c>
      <c r="BB258" s="49">
        <v>0</v>
      </c>
      <c r="BC258" s="49">
        <v>0</v>
      </c>
      <c r="BD258" s="49">
        <v>0</v>
      </c>
      <c r="BE258" s="49">
        <v>0</v>
      </c>
      <c r="BF258" s="49"/>
      <c r="BG258" s="49"/>
      <c r="BH258" s="49"/>
      <c r="BI258" s="49">
        <v>0</v>
      </c>
      <c r="BJ258" s="49">
        <v>25</v>
      </c>
      <c r="BK258" s="49"/>
      <c r="BL258" s="49">
        <v>24</v>
      </c>
      <c r="BM258" s="49"/>
      <c r="BN258" s="49">
        <v>0</v>
      </c>
      <c r="BO258" s="49"/>
      <c r="BP258" s="50">
        <v>0</v>
      </c>
      <c r="BQ258" s="50">
        <v>39</v>
      </c>
      <c r="BR258" s="50"/>
      <c r="BS258" s="50">
        <v>0</v>
      </c>
      <c r="BT258" s="50">
        <v>0</v>
      </c>
      <c r="BU258" s="50">
        <v>0</v>
      </c>
      <c r="BV258" s="50"/>
      <c r="BW258" s="50">
        <v>0</v>
      </c>
      <c r="BX258" s="50"/>
      <c r="BY258" s="50"/>
      <c r="BZ258" s="50"/>
      <c r="CA258" s="50">
        <v>0</v>
      </c>
      <c r="CB258" s="50">
        <v>0</v>
      </c>
      <c r="CC258" s="50">
        <v>0</v>
      </c>
      <c r="CD258" s="50">
        <v>0</v>
      </c>
      <c r="CE258" s="50">
        <v>0</v>
      </c>
      <c r="CF258" s="50">
        <v>0</v>
      </c>
      <c r="CG258" s="50"/>
      <c r="CH258" s="50">
        <v>13</v>
      </c>
      <c r="CI258" s="50">
        <v>0</v>
      </c>
      <c r="CJ258" s="50">
        <v>0</v>
      </c>
      <c r="CK258" s="50">
        <v>0</v>
      </c>
      <c r="CL258" s="50">
        <v>34</v>
      </c>
      <c r="CM258" s="50">
        <v>0</v>
      </c>
      <c r="CN258" s="51">
        <v>0</v>
      </c>
      <c r="CO258" s="51">
        <v>0</v>
      </c>
      <c r="CP258" s="51">
        <v>0</v>
      </c>
      <c r="CQ258" s="51">
        <v>0</v>
      </c>
      <c r="CR258" s="51">
        <v>0</v>
      </c>
      <c r="CS258" s="51">
        <v>0</v>
      </c>
      <c r="CT258" s="51">
        <v>0</v>
      </c>
      <c r="CU258" s="51">
        <v>0</v>
      </c>
      <c r="CV258" s="51">
        <v>0</v>
      </c>
      <c r="CW258" s="51">
        <v>0</v>
      </c>
      <c r="CX258" s="51">
        <v>19</v>
      </c>
      <c r="CY258" s="51">
        <v>0</v>
      </c>
      <c r="CZ258" s="51">
        <v>0</v>
      </c>
      <c r="DA258" s="51">
        <v>0</v>
      </c>
      <c r="DB258" s="51">
        <v>6</v>
      </c>
      <c r="DC258" s="51">
        <v>0</v>
      </c>
      <c r="DD258" s="51">
        <v>38</v>
      </c>
      <c r="DE258" s="51">
        <v>0</v>
      </c>
      <c r="DF258" s="52">
        <v>7</v>
      </c>
      <c r="DG258" s="52">
        <v>0</v>
      </c>
      <c r="DH258" s="52">
        <v>0</v>
      </c>
      <c r="DI258" s="52">
        <v>0</v>
      </c>
      <c r="DJ258" s="52">
        <v>0</v>
      </c>
      <c r="DK258" s="52">
        <v>0</v>
      </c>
      <c r="DL258" s="52">
        <v>0</v>
      </c>
      <c r="DM258" s="52">
        <v>0</v>
      </c>
      <c r="DN258" s="52">
        <v>0</v>
      </c>
      <c r="DO258" s="52">
        <v>0</v>
      </c>
      <c r="DP258" s="52">
        <v>0</v>
      </c>
      <c r="DQ258" s="52">
        <v>0</v>
      </c>
      <c r="DR258" s="52">
        <v>0</v>
      </c>
      <c r="DS258" s="53">
        <v>0</v>
      </c>
      <c r="DT258" s="53">
        <v>0</v>
      </c>
      <c r="DU258" s="53">
        <v>0</v>
      </c>
      <c r="DV258" s="53">
        <v>0</v>
      </c>
      <c r="DW258" s="53">
        <v>0</v>
      </c>
      <c r="DX258" s="2"/>
      <c r="DY258" s="2"/>
      <c r="DZ258" s="46">
        <f t="shared" si="58"/>
        <v>0</v>
      </c>
      <c r="EA258" s="46">
        <f t="shared" si="59"/>
        <v>0</v>
      </c>
      <c r="EB258" s="46">
        <f t="shared" si="60"/>
        <v>7377</v>
      </c>
      <c r="EC258" s="46">
        <f t="shared" si="61"/>
        <v>0</v>
      </c>
      <c r="ED258" s="46">
        <f t="shared" si="62"/>
        <v>49</v>
      </c>
      <c r="EE258" s="46">
        <f t="shared" si="63"/>
        <v>39</v>
      </c>
      <c r="EF258" s="46">
        <f t="shared" si="64"/>
        <v>47</v>
      </c>
      <c r="EG258" s="46">
        <f t="shared" si="65"/>
        <v>19</v>
      </c>
      <c r="EH258" s="46">
        <f t="shared" si="68"/>
        <v>51</v>
      </c>
      <c r="EI258" s="46">
        <f t="shared" si="67"/>
        <v>0</v>
      </c>
    </row>
    <row r="259" spans="3:139" ht="12">
      <c r="C259" s="36" t="s">
        <v>445</v>
      </c>
      <c r="D259" s="36" t="s">
        <v>437</v>
      </c>
      <c r="E259" s="36" t="s">
        <v>437</v>
      </c>
      <c r="F259" s="38">
        <f t="shared" si="66"/>
        <v>160</v>
      </c>
      <c r="G259" s="37" t="s">
        <v>438</v>
      </c>
      <c r="H259" s="47"/>
      <c r="I259" s="48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8"/>
      <c r="U259" s="48"/>
      <c r="V259" s="49"/>
      <c r="W259" s="49"/>
      <c r="X259" s="49"/>
      <c r="Y259" s="49"/>
      <c r="Z259" s="49"/>
      <c r="AA259" s="49"/>
      <c r="AB259" s="49"/>
      <c r="AC259" s="49"/>
      <c r="AD259" s="49">
        <v>0</v>
      </c>
      <c r="AE259" s="49">
        <v>0</v>
      </c>
      <c r="AF259" s="48">
        <v>100</v>
      </c>
      <c r="AG259" s="48"/>
      <c r="AH259" s="49"/>
      <c r="AI259" s="49"/>
      <c r="AJ259" s="49"/>
      <c r="AK259" s="49"/>
      <c r="AL259" s="49">
        <v>0</v>
      </c>
      <c r="AM259" s="49"/>
      <c r="AN259" s="49">
        <v>0</v>
      </c>
      <c r="AO259" s="49"/>
      <c r="AP259" s="49"/>
      <c r="AQ259" s="49"/>
      <c r="AR259" s="49">
        <v>0</v>
      </c>
      <c r="AS259" s="49">
        <v>0</v>
      </c>
      <c r="AT259" s="49"/>
      <c r="AU259" s="49">
        <v>0</v>
      </c>
      <c r="AV259" s="49">
        <v>0</v>
      </c>
      <c r="AW259" s="49"/>
      <c r="AX259" s="49">
        <v>0</v>
      </c>
      <c r="AY259" s="49"/>
      <c r="AZ259" s="49">
        <v>0</v>
      </c>
      <c r="BA259" s="49">
        <v>0</v>
      </c>
      <c r="BB259" s="49">
        <v>0</v>
      </c>
      <c r="BC259" s="49">
        <v>0</v>
      </c>
      <c r="BD259" s="49">
        <v>0</v>
      </c>
      <c r="BE259" s="49">
        <v>0</v>
      </c>
      <c r="BF259" s="49"/>
      <c r="BG259" s="49"/>
      <c r="BH259" s="49"/>
      <c r="BI259" s="49">
        <v>0</v>
      </c>
      <c r="BJ259" s="49"/>
      <c r="BK259" s="49"/>
      <c r="BL259" s="49">
        <v>0</v>
      </c>
      <c r="BM259" s="49"/>
      <c r="BN259" s="49">
        <v>20</v>
      </c>
      <c r="BO259" s="49"/>
      <c r="BP259" s="50">
        <v>0</v>
      </c>
      <c r="BQ259" s="50">
        <v>0</v>
      </c>
      <c r="BR259" s="50"/>
      <c r="BS259" s="50">
        <v>0</v>
      </c>
      <c r="BT259" s="50">
        <v>0</v>
      </c>
      <c r="BU259" s="50">
        <v>0</v>
      </c>
      <c r="BV259" s="50"/>
      <c r="BW259" s="50">
        <v>0</v>
      </c>
      <c r="BX259" s="50"/>
      <c r="BY259" s="50"/>
      <c r="BZ259" s="50"/>
      <c r="CA259" s="50">
        <v>0</v>
      </c>
      <c r="CB259" s="50">
        <v>0</v>
      </c>
      <c r="CC259" s="50">
        <v>0</v>
      </c>
      <c r="CD259" s="50">
        <v>0</v>
      </c>
      <c r="CE259" s="50">
        <v>5</v>
      </c>
      <c r="CF259" s="50">
        <v>0</v>
      </c>
      <c r="CG259" s="50"/>
      <c r="CH259" s="50">
        <v>0</v>
      </c>
      <c r="CI259" s="50">
        <v>0</v>
      </c>
      <c r="CJ259" s="50">
        <v>0</v>
      </c>
      <c r="CK259" s="50">
        <v>0</v>
      </c>
      <c r="CL259" s="50">
        <v>10</v>
      </c>
      <c r="CM259" s="50">
        <v>0</v>
      </c>
      <c r="CN259" s="51">
        <v>0</v>
      </c>
      <c r="CO259" s="51">
        <v>0</v>
      </c>
      <c r="CP259" s="51">
        <v>0</v>
      </c>
      <c r="CQ259" s="51">
        <v>0</v>
      </c>
      <c r="CR259" s="51">
        <v>0</v>
      </c>
      <c r="CS259" s="51">
        <v>0</v>
      </c>
      <c r="CT259" s="51">
        <v>24</v>
      </c>
      <c r="CU259" s="51">
        <v>0</v>
      </c>
      <c r="CV259" s="51">
        <v>0</v>
      </c>
      <c r="CW259" s="51">
        <v>0</v>
      </c>
      <c r="CX259" s="51">
        <v>0</v>
      </c>
      <c r="CY259" s="51">
        <v>0</v>
      </c>
      <c r="CZ259" s="51">
        <v>0</v>
      </c>
      <c r="DA259" s="51">
        <v>0</v>
      </c>
      <c r="DB259" s="51">
        <v>1</v>
      </c>
      <c r="DC259" s="51">
        <v>0</v>
      </c>
      <c r="DD259" s="51">
        <v>0</v>
      </c>
      <c r="DE259" s="51">
        <v>0</v>
      </c>
      <c r="DF259" s="52">
        <v>0</v>
      </c>
      <c r="DG259" s="52">
        <v>0</v>
      </c>
      <c r="DH259" s="52">
        <v>0</v>
      </c>
      <c r="DI259" s="52">
        <v>0</v>
      </c>
      <c r="DJ259" s="52">
        <v>0</v>
      </c>
      <c r="DK259" s="52">
        <v>0</v>
      </c>
      <c r="DL259" s="52">
        <v>0</v>
      </c>
      <c r="DM259" s="52">
        <v>0</v>
      </c>
      <c r="DN259" s="52">
        <v>0</v>
      </c>
      <c r="DO259" s="52">
        <v>0</v>
      </c>
      <c r="DP259" s="52">
        <v>0</v>
      </c>
      <c r="DQ259" s="52">
        <v>0</v>
      </c>
      <c r="DR259" s="52">
        <v>0</v>
      </c>
      <c r="DS259" s="53">
        <v>0</v>
      </c>
      <c r="DT259" s="53">
        <v>0</v>
      </c>
      <c r="DU259" s="53">
        <v>0</v>
      </c>
      <c r="DV259" s="53">
        <v>0</v>
      </c>
      <c r="DW259" s="53">
        <v>0</v>
      </c>
      <c r="DX259" s="2"/>
      <c r="DY259" s="2"/>
      <c r="DZ259" s="46">
        <f t="shared" si="58"/>
        <v>0</v>
      </c>
      <c r="EA259" s="46">
        <f t="shared" si="59"/>
        <v>0</v>
      </c>
      <c r="EB259" s="46">
        <f t="shared" si="60"/>
        <v>100</v>
      </c>
      <c r="EC259" s="46">
        <f t="shared" si="61"/>
        <v>0</v>
      </c>
      <c r="ED259" s="46">
        <f t="shared" si="62"/>
        <v>20</v>
      </c>
      <c r="EE259" s="46">
        <f t="shared" si="63"/>
        <v>0</v>
      </c>
      <c r="EF259" s="46">
        <f t="shared" si="64"/>
        <v>15</v>
      </c>
      <c r="EG259" s="46">
        <f t="shared" si="65"/>
        <v>24</v>
      </c>
      <c r="EH259" s="46">
        <f t="shared" si="68"/>
        <v>1</v>
      </c>
      <c r="EI259" s="46">
        <f t="shared" si="67"/>
        <v>0</v>
      </c>
    </row>
    <row r="260" spans="3:139" ht="12">
      <c r="C260" s="36" t="s">
        <v>446</v>
      </c>
      <c r="D260" s="36" t="s">
        <v>437</v>
      </c>
      <c r="E260" s="36" t="s">
        <v>437</v>
      </c>
      <c r="F260" s="38">
        <f t="shared" si="66"/>
        <v>1799</v>
      </c>
      <c r="G260" s="37" t="s">
        <v>438</v>
      </c>
      <c r="H260" s="47"/>
      <c r="I260" s="48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8"/>
      <c r="U260" s="48"/>
      <c r="V260" s="49"/>
      <c r="W260" s="49"/>
      <c r="X260" s="49"/>
      <c r="Y260" s="49"/>
      <c r="Z260" s="49"/>
      <c r="AA260" s="49"/>
      <c r="AB260" s="49"/>
      <c r="AC260" s="49"/>
      <c r="AD260" s="49">
        <v>0</v>
      </c>
      <c r="AE260" s="49">
        <v>0</v>
      </c>
      <c r="AF260" s="48">
        <v>240</v>
      </c>
      <c r="AG260" s="48">
        <v>797</v>
      </c>
      <c r="AH260" s="49">
        <v>700</v>
      </c>
      <c r="AI260" s="49"/>
      <c r="AJ260" s="49"/>
      <c r="AK260" s="49"/>
      <c r="AL260" s="49">
        <v>0</v>
      </c>
      <c r="AM260" s="49"/>
      <c r="AN260" s="49">
        <v>0</v>
      </c>
      <c r="AO260" s="49"/>
      <c r="AP260" s="49"/>
      <c r="AQ260" s="49"/>
      <c r="AR260" s="49">
        <v>0</v>
      </c>
      <c r="AS260" s="49">
        <v>0</v>
      </c>
      <c r="AT260" s="49"/>
      <c r="AU260" s="49">
        <v>0</v>
      </c>
      <c r="AV260" s="49">
        <v>0</v>
      </c>
      <c r="AW260" s="49"/>
      <c r="AX260" s="49">
        <v>0</v>
      </c>
      <c r="AY260" s="49"/>
      <c r="AZ260" s="49">
        <v>0</v>
      </c>
      <c r="BA260" s="49">
        <v>0</v>
      </c>
      <c r="BB260" s="49">
        <v>0</v>
      </c>
      <c r="BC260" s="49">
        <v>0</v>
      </c>
      <c r="BD260" s="49">
        <v>0</v>
      </c>
      <c r="BE260" s="49">
        <v>0</v>
      </c>
      <c r="BF260" s="49"/>
      <c r="BG260" s="49"/>
      <c r="BH260" s="49"/>
      <c r="BI260" s="49">
        <v>0</v>
      </c>
      <c r="BJ260" s="49"/>
      <c r="BK260" s="49"/>
      <c r="BL260" s="49">
        <v>0</v>
      </c>
      <c r="BM260" s="49"/>
      <c r="BN260" s="49">
        <v>0</v>
      </c>
      <c r="BO260" s="49"/>
      <c r="BP260" s="50">
        <v>0</v>
      </c>
      <c r="BQ260" s="50">
        <v>18</v>
      </c>
      <c r="BR260" s="50"/>
      <c r="BS260" s="50">
        <v>0</v>
      </c>
      <c r="BT260" s="50">
        <v>0</v>
      </c>
      <c r="BU260" s="50">
        <v>0</v>
      </c>
      <c r="BV260" s="50"/>
      <c r="BW260" s="50">
        <v>0</v>
      </c>
      <c r="BX260" s="50"/>
      <c r="BY260" s="50"/>
      <c r="BZ260" s="50"/>
      <c r="CA260" s="50">
        <v>0</v>
      </c>
      <c r="CB260" s="50">
        <v>0</v>
      </c>
      <c r="CC260" s="50">
        <v>0</v>
      </c>
      <c r="CD260" s="50">
        <v>0</v>
      </c>
      <c r="CE260" s="50">
        <v>0</v>
      </c>
      <c r="CF260" s="50">
        <v>0</v>
      </c>
      <c r="CG260" s="50"/>
      <c r="CH260" s="50">
        <v>0</v>
      </c>
      <c r="CI260" s="50">
        <v>10</v>
      </c>
      <c r="CJ260" s="50">
        <v>0</v>
      </c>
      <c r="CK260" s="50">
        <v>0</v>
      </c>
      <c r="CL260" s="50">
        <v>9</v>
      </c>
      <c r="CM260" s="50">
        <v>0</v>
      </c>
      <c r="CN260" s="51">
        <v>0</v>
      </c>
      <c r="CO260" s="51">
        <v>0</v>
      </c>
      <c r="CP260" s="51">
        <v>25</v>
      </c>
      <c r="CQ260" s="51">
        <v>0</v>
      </c>
      <c r="CR260" s="51">
        <v>0</v>
      </c>
      <c r="CS260" s="51">
        <v>0</v>
      </c>
      <c r="CT260" s="51">
        <v>0</v>
      </c>
      <c r="CU260" s="51">
        <v>0</v>
      </c>
      <c r="CV260" s="51">
        <v>0</v>
      </c>
      <c r="CW260" s="51">
        <v>0</v>
      </c>
      <c r="CX260" s="51">
        <v>0</v>
      </c>
      <c r="CY260" s="51">
        <v>0</v>
      </c>
      <c r="CZ260" s="51">
        <v>0</v>
      </c>
      <c r="DA260" s="51">
        <v>0</v>
      </c>
      <c r="DB260" s="51">
        <v>0</v>
      </c>
      <c r="DC260" s="51">
        <v>0</v>
      </c>
      <c r="DD260" s="51">
        <v>0</v>
      </c>
      <c r="DE260" s="51">
        <v>0</v>
      </c>
      <c r="DF260" s="52">
        <v>0</v>
      </c>
      <c r="DG260" s="52">
        <v>0</v>
      </c>
      <c r="DH260" s="52">
        <v>0</v>
      </c>
      <c r="DI260" s="52">
        <v>0</v>
      </c>
      <c r="DJ260" s="52">
        <v>0</v>
      </c>
      <c r="DK260" s="52">
        <v>0</v>
      </c>
      <c r="DL260" s="52">
        <v>0</v>
      </c>
      <c r="DM260" s="52">
        <v>0</v>
      </c>
      <c r="DN260" s="52">
        <v>0</v>
      </c>
      <c r="DO260" s="52">
        <v>0</v>
      </c>
      <c r="DP260" s="52">
        <v>0</v>
      </c>
      <c r="DQ260" s="52">
        <v>0</v>
      </c>
      <c r="DR260" s="52">
        <v>0</v>
      </c>
      <c r="DS260" s="53">
        <v>0</v>
      </c>
      <c r="DT260" s="53">
        <v>0</v>
      </c>
      <c r="DU260" s="53">
        <v>0</v>
      </c>
      <c r="DV260" s="53">
        <v>0</v>
      </c>
      <c r="DW260" s="53">
        <v>0</v>
      </c>
      <c r="DX260" s="2"/>
      <c r="DY260" s="2"/>
      <c r="DZ260" s="46">
        <f t="shared" si="58"/>
        <v>0</v>
      </c>
      <c r="EA260" s="46">
        <f t="shared" si="59"/>
        <v>0</v>
      </c>
      <c r="EB260" s="46">
        <f t="shared" si="60"/>
        <v>1737</v>
      </c>
      <c r="EC260" s="46">
        <f t="shared" si="61"/>
        <v>0</v>
      </c>
      <c r="ED260" s="46">
        <f t="shared" si="62"/>
        <v>0</v>
      </c>
      <c r="EE260" s="46">
        <f t="shared" si="63"/>
        <v>18</v>
      </c>
      <c r="EF260" s="46">
        <f t="shared" si="64"/>
        <v>19</v>
      </c>
      <c r="EG260" s="46">
        <f t="shared" si="65"/>
        <v>25</v>
      </c>
      <c r="EH260" s="46">
        <f t="shared" si="68"/>
        <v>0</v>
      </c>
      <c r="EI260" s="46">
        <f t="shared" si="67"/>
        <v>0</v>
      </c>
    </row>
    <row r="261" spans="3:139" ht="12">
      <c r="C261" s="36" t="s">
        <v>447</v>
      </c>
      <c r="D261" s="36" t="s">
        <v>437</v>
      </c>
      <c r="E261" s="36" t="s">
        <v>437</v>
      </c>
      <c r="F261" s="38">
        <f t="shared" si="66"/>
        <v>1606</v>
      </c>
      <c r="G261" s="37" t="s">
        <v>438</v>
      </c>
      <c r="H261" s="47"/>
      <c r="I261" s="48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8"/>
      <c r="U261" s="48"/>
      <c r="V261" s="49"/>
      <c r="W261" s="49"/>
      <c r="X261" s="49"/>
      <c r="Y261" s="49"/>
      <c r="Z261" s="49"/>
      <c r="AA261" s="49"/>
      <c r="AB261" s="49"/>
      <c r="AC261" s="49"/>
      <c r="AD261" s="49">
        <v>0</v>
      </c>
      <c r="AE261" s="49">
        <v>0</v>
      </c>
      <c r="AF261" s="48">
        <v>499</v>
      </c>
      <c r="AG261" s="48">
        <v>830</v>
      </c>
      <c r="AH261" s="49">
        <v>225</v>
      </c>
      <c r="AI261" s="49"/>
      <c r="AJ261" s="49"/>
      <c r="AK261" s="49"/>
      <c r="AL261" s="49">
        <v>0</v>
      </c>
      <c r="AM261" s="49"/>
      <c r="AN261" s="49">
        <v>0</v>
      </c>
      <c r="AO261" s="49"/>
      <c r="AP261" s="49"/>
      <c r="AQ261" s="49"/>
      <c r="AR261" s="49">
        <v>0</v>
      </c>
      <c r="AS261" s="49">
        <v>0</v>
      </c>
      <c r="AT261" s="49"/>
      <c r="AU261" s="49">
        <v>0</v>
      </c>
      <c r="AV261" s="49">
        <v>0</v>
      </c>
      <c r="AW261" s="49"/>
      <c r="AX261" s="49">
        <v>0</v>
      </c>
      <c r="AY261" s="49"/>
      <c r="AZ261" s="49">
        <v>0</v>
      </c>
      <c r="BA261" s="49">
        <v>0</v>
      </c>
      <c r="BB261" s="49">
        <v>0</v>
      </c>
      <c r="BC261" s="49">
        <v>0</v>
      </c>
      <c r="BD261" s="49">
        <v>0</v>
      </c>
      <c r="BE261" s="49">
        <v>0</v>
      </c>
      <c r="BF261" s="49"/>
      <c r="BG261" s="49"/>
      <c r="BH261" s="49"/>
      <c r="BI261" s="49">
        <v>0</v>
      </c>
      <c r="BJ261" s="49"/>
      <c r="BK261" s="49"/>
      <c r="BL261" s="49">
        <v>0</v>
      </c>
      <c r="BM261" s="49"/>
      <c r="BN261" s="49">
        <v>0</v>
      </c>
      <c r="BO261" s="49"/>
      <c r="BP261" s="50">
        <v>0</v>
      </c>
      <c r="BQ261" s="50">
        <v>20</v>
      </c>
      <c r="BR261" s="50"/>
      <c r="BS261" s="50">
        <v>0</v>
      </c>
      <c r="BT261" s="50">
        <v>0</v>
      </c>
      <c r="BU261" s="50">
        <v>0</v>
      </c>
      <c r="BV261" s="50"/>
      <c r="BW261" s="50">
        <v>0</v>
      </c>
      <c r="BX261" s="50"/>
      <c r="BY261" s="50"/>
      <c r="BZ261" s="50"/>
      <c r="CA261" s="50">
        <v>0</v>
      </c>
      <c r="CB261" s="50">
        <v>0</v>
      </c>
      <c r="CC261" s="50">
        <v>0</v>
      </c>
      <c r="CD261" s="50">
        <v>0</v>
      </c>
      <c r="CE261" s="50">
        <v>0</v>
      </c>
      <c r="CF261" s="50">
        <v>0</v>
      </c>
      <c r="CG261" s="50"/>
      <c r="CH261" s="50">
        <v>0</v>
      </c>
      <c r="CI261" s="50">
        <v>0</v>
      </c>
      <c r="CJ261" s="50">
        <v>0</v>
      </c>
      <c r="CK261" s="50">
        <v>0</v>
      </c>
      <c r="CL261" s="50">
        <v>15</v>
      </c>
      <c r="CM261" s="50">
        <v>0</v>
      </c>
      <c r="CN261" s="51">
        <v>0</v>
      </c>
      <c r="CO261" s="51">
        <v>0</v>
      </c>
      <c r="CP261" s="51">
        <v>0</v>
      </c>
      <c r="CQ261" s="51">
        <v>0</v>
      </c>
      <c r="CR261" s="51">
        <v>0</v>
      </c>
      <c r="CS261" s="51">
        <v>0</v>
      </c>
      <c r="CT261" s="51">
        <v>0</v>
      </c>
      <c r="CU261" s="51">
        <v>0</v>
      </c>
      <c r="CV261" s="51">
        <v>0</v>
      </c>
      <c r="CW261" s="51">
        <v>0</v>
      </c>
      <c r="CX261" s="51">
        <v>0</v>
      </c>
      <c r="CY261" s="51">
        <v>0</v>
      </c>
      <c r="CZ261" s="51">
        <v>0</v>
      </c>
      <c r="DA261" s="51">
        <v>0</v>
      </c>
      <c r="DB261" s="51">
        <v>0</v>
      </c>
      <c r="DC261" s="51">
        <v>17</v>
      </c>
      <c r="DD261" s="51">
        <v>0</v>
      </c>
      <c r="DE261" s="51">
        <v>0</v>
      </c>
      <c r="DF261" s="52">
        <v>0</v>
      </c>
      <c r="DG261" s="52">
        <v>0</v>
      </c>
      <c r="DH261" s="52">
        <v>0</v>
      </c>
      <c r="DI261" s="52">
        <v>0</v>
      </c>
      <c r="DJ261" s="52">
        <v>0</v>
      </c>
      <c r="DK261" s="52">
        <v>0</v>
      </c>
      <c r="DL261" s="52">
        <v>0</v>
      </c>
      <c r="DM261" s="52">
        <v>0</v>
      </c>
      <c r="DN261" s="52">
        <v>0</v>
      </c>
      <c r="DO261" s="52">
        <v>0</v>
      </c>
      <c r="DP261" s="52">
        <v>0</v>
      </c>
      <c r="DQ261" s="52">
        <v>0</v>
      </c>
      <c r="DR261" s="52">
        <v>0</v>
      </c>
      <c r="DS261" s="53">
        <v>0</v>
      </c>
      <c r="DT261" s="53">
        <v>0</v>
      </c>
      <c r="DU261" s="53">
        <v>0</v>
      </c>
      <c r="DV261" s="53">
        <v>0</v>
      </c>
      <c r="DW261" s="53">
        <v>0</v>
      </c>
      <c r="DX261" s="2"/>
      <c r="DY261" s="2"/>
      <c r="DZ261" s="46">
        <f t="shared" si="58"/>
        <v>0</v>
      </c>
      <c r="EA261" s="46">
        <f t="shared" si="59"/>
        <v>0</v>
      </c>
      <c r="EB261" s="46">
        <f t="shared" si="60"/>
        <v>1554</v>
      </c>
      <c r="EC261" s="46">
        <f t="shared" si="61"/>
        <v>0</v>
      </c>
      <c r="ED261" s="46">
        <f t="shared" si="62"/>
        <v>0</v>
      </c>
      <c r="EE261" s="46">
        <f t="shared" si="63"/>
        <v>20</v>
      </c>
      <c r="EF261" s="46">
        <f t="shared" si="64"/>
        <v>15</v>
      </c>
      <c r="EG261" s="46">
        <f t="shared" si="65"/>
        <v>0</v>
      </c>
      <c r="EH261" s="46">
        <f t="shared" si="68"/>
        <v>17</v>
      </c>
      <c r="EI261" s="46">
        <f t="shared" si="67"/>
        <v>0</v>
      </c>
    </row>
    <row r="262" spans="3:139" ht="12">
      <c r="C262" s="36" t="s">
        <v>448</v>
      </c>
      <c r="D262" s="36" t="s">
        <v>437</v>
      </c>
      <c r="E262" s="36" t="s">
        <v>437</v>
      </c>
      <c r="F262" s="38">
        <f t="shared" si="66"/>
        <v>830</v>
      </c>
      <c r="G262" s="37" t="s">
        <v>438</v>
      </c>
      <c r="H262" s="47"/>
      <c r="I262" s="48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8"/>
      <c r="U262" s="48"/>
      <c r="V262" s="49"/>
      <c r="W262" s="49"/>
      <c r="X262" s="49"/>
      <c r="Y262" s="49"/>
      <c r="Z262" s="49"/>
      <c r="AA262" s="49"/>
      <c r="AB262" s="49"/>
      <c r="AC262" s="49"/>
      <c r="AD262" s="49">
        <v>0</v>
      </c>
      <c r="AE262" s="49">
        <v>0</v>
      </c>
      <c r="AF262" s="48">
        <v>40</v>
      </c>
      <c r="AG262" s="48">
        <v>116</v>
      </c>
      <c r="AH262" s="49"/>
      <c r="AI262" s="49">
        <v>80</v>
      </c>
      <c r="AJ262" s="49">
        <v>240</v>
      </c>
      <c r="AK262" s="49">
        <v>275</v>
      </c>
      <c r="AL262" s="49">
        <v>0</v>
      </c>
      <c r="AM262" s="49"/>
      <c r="AN262" s="49">
        <v>0</v>
      </c>
      <c r="AO262" s="49">
        <v>40</v>
      </c>
      <c r="AP262" s="49"/>
      <c r="AQ262" s="49"/>
      <c r="AR262" s="49">
        <v>0</v>
      </c>
      <c r="AS262" s="49">
        <v>0</v>
      </c>
      <c r="AT262" s="49"/>
      <c r="AU262" s="49">
        <v>2</v>
      </c>
      <c r="AV262" s="49">
        <v>0</v>
      </c>
      <c r="AW262" s="49"/>
      <c r="AX262" s="49">
        <v>0</v>
      </c>
      <c r="AY262" s="49"/>
      <c r="AZ262" s="49">
        <v>0</v>
      </c>
      <c r="BA262" s="49">
        <v>0</v>
      </c>
      <c r="BB262" s="49">
        <v>0</v>
      </c>
      <c r="BC262" s="49">
        <v>0</v>
      </c>
      <c r="BD262" s="49">
        <v>0</v>
      </c>
      <c r="BE262" s="49">
        <v>0</v>
      </c>
      <c r="BF262" s="49"/>
      <c r="BG262" s="49"/>
      <c r="BH262" s="49">
        <v>9</v>
      </c>
      <c r="BI262" s="49">
        <v>0</v>
      </c>
      <c r="BJ262" s="49"/>
      <c r="BK262" s="49"/>
      <c r="BL262" s="49">
        <v>0</v>
      </c>
      <c r="BM262" s="49"/>
      <c r="BN262" s="49">
        <v>20</v>
      </c>
      <c r="BO262" s="49"/>
      <c r="BP262" s="50">
        <v>0</v>
      </c>
      <c r="BQ262" s="50">
        <v>0</v>
      </c>
      <c r="BR262" s="50"/>
      <c r="BS262" s="50">
        <v>0</v>
      </c>
      <c r="BT262" s="50">
        <v>0</v>
      </c>
      <c r="BU262" s="50">
        <v>0</v>
      </c>
      <c r="BV262" s="50"/>
      <c r="BW262" s="50">
        <v>0</v>
      </c>
      <c r="BX262" s="50"/>
      <c r="BY262" s="50"/>
      <c r="BZ262" s="50"/>
      <c r="CA262" s="50">
        <v>0</v>
      </c>
      <c r="CB262" s="50">
        <v>0</v>
      </c>
      <c r="CC262" s="50">
        <v>0</v>
      </c>
      <c r="CD262" s="50">
        <v>0</v>
      </c>
      <c r="CE262" s="50">
        <v>0</v>
      </c>
      <c r="CF262" s="50">
        <v>0</v>
      </c>
      <c r="CG262" s="50"/>
      <c r="CH262" s="50">
        <v>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1">
        <v>0</v>
      </c>
      <c r="CO262" s="51">
        <v>0</v>
      </c>
      <c r="CP262" s="51">
        <v>0</v>
      </c>
      <c r="CQ262" s="51">
        <v>0</v>
      </c>
      <c r="CR262" s="51">
        <v>0</v>
      </c>
      <c r="CS262" s="51">
        <v>0</v>
      </c>
      <c r="CT262" s="51">
        <v>0</v>
      </c>
      <c r="CU262" s="51">
        <v>0</v>
      </c>
      <c r="CV262" s="51">
        <v>0</v>
      </c>
      <c r="CW262" s="51">
        <v>0</v>
      </c>
      <c r="CX262" s="51">
        <v>0</v>
      </c>
      <c r="CY262" s="51">
        <v>0</v>
      </c>
      <c r="CZ262" s="51">
        <v>0</v>
      </c>
      <c r="DA262" s="51">
        <v>8</v>
      </c>
      <c r="DB262" s="51">
        <v>0</v>
      </c>
      <c r="DC262" s="51">
        <v>0</v>
      </c>
      <c r="DD262" s="51">
        <v>0</v>
      </c>
      <c r="DE262" s="51">
        <v>0</v>
      </c>
      <c r="DF262" s="52">
        <v>0</v>
      </c>
      <c r="DG262" s="52">
        <v>0</v>
      </c>
      <c r="DH262" s="52">
        <v>0</v>
      </c>
      <c r="DI262" s="52">
        <v>0</v>
      </c>
      <c r="DJ262" s="52">
        <v>0</v>
      </c>
      <c r="DK262" s="52">
        <v>0</v>
      </c>
      <c r="DL262" s="52">
        <v>0</v>
      </c>
      <c r="DM262" s="52">
        <v>0</v>
      </c>
      <c r="DN262" s="52">
        <v>0</v>
      </c>
      <c r="DO262" s="52">
        <v>0</v>
      </c>
      <c r="DP262" s="52">
        <v>0</v>
      </c>
      <c r="DQ262" s="52">
        <v>0</v>
      </c>
      <c r="DR262" s="52">
        <v>0</v>
      </c>
      <c r="DS262" s="53">
        <v>0</v>
      </c>
      <c r="DT262" s="53">
        <v>0</v>
      </c>
      <c r="DU262" s="53">
        <v>0</v>
      </c>
      <c r="DV262" s="53">
        <v>0</v>
      </c>
      <c r="DW262" s="53">
        <v>0</v>
      </c>
      <c r="DX262" s="2"/>
      <c r="DY262" s="2"/>
      <c r="DZ262" s="46">
        <f t="shared" si="58"/>
        <v>0</v>
      </c>
      <c r="EA262" s="46">
        <f t="shared" si="59"/>
        <v>0</v>
      </c>
      <c r="EB262" s="46">
        <f t="shared" si="60"/>
        <v>791</v>
      </c>
      <c r="EC262" s="46">
        <f t="shared" si="61"/>
        <v>2</v>
      </c>
      <c r="ED262" s="46">
        <f t="shared" si="62"/>
        <v>29</v>
      </c>
      <c r="EE262" s="46">
        <f t="shared" si="63"/>
        <v>0</v>
      </c>
      <c r="EF262" s="46">
        <f t="shared" si="64"/>
        <v>0</v>
      </c>
      <c r="EG262" s="46">
        <f t="shared" si="65"/>
        <v>0</v>
      </c>
      <c r="EH262" s="46">
        <f t="shared" si="68"/>
        <v>8</v>
      </c>
      <c r="EI262" s="46">
        <f t="shared" si="67"/>
        <v>0</v>
      </c>
    </row>
    <row r="263" spans="3:139" ht="12">
      <c r="C263" s="36" t="s">
        <v>449</v>
      </c>
      <c r="D263" s="36" t="s">
        <v>437</v>
      </c>
      <c r="E263" s="36" t="s">
        <v>437</v>
      </c>
      <c r="F263" s="38">
        <f t="shared" si="66"/>
        <v>4449</v>
      </c>
      <c r="G263" s="37" t="s">
        <v>438</v>
      </c>
      <c r="H263" s="47"/>
      <c r="I263" s="48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8"/>
      <c r="U263" s="48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8">
        <v>298</v>
      </c>
      <c r="AG263" s="48">
        <v>2603</v>
      </c>
      <c r="AH263" s="49">
        <v>975</v>
      </c>
      <c r="AI263" s="49">
        <v>460</v>
      </c>
      <c r="AJ263" s="49"/>
      <c r="AK263" s="49"/>
      <c r="AL263" s="49">
        <v>0</v>
      </c>
      <c r="AM263" s="49"/>
      <c r="AN263" s="49">
        <v>0</v>
      </c>
      <c r="AO263" s="49"/>
      <c r="AP263" s="49"/>
      <c r="AQ263" s="49"/>
      <c r="AR263" s="49">
        <v>0</v>
      </c>
      <c r="AS263" s="49">
        <v>0</v>
      </c>
      <c r="AT263" s="49"/>
      <c r="AU263" s="49">
        <v>3</v>
      </c>
      <c r="AV263" s="49">
        <v>0</v>
      </c>
      <c r="AW263" s="49"/>
      <c r="AX263" s="49">
        <v>0</v>
      </c>
      <c r="AY263" s="49"/>
      <c r="AZ263" s="49">
        <v>20</v>
      </c>
      <c r="BA263" s="49">
        <v>0</v>
      </c>
      <c r="BB263" s="49">
        <v>0</v>
      </c>
      <c r="BC263" s="49">
        <v>0</v>
      </c>
      <c r="BD263" s="49">
        <v>0</v>
      </c>
      <c r="BE263" s="49">
        <v>0</v>
      </c>
      <c r="BF263" s="49"/>
      <c r="BG263" s="49"/>
      <c r="BH263" s="49"/>
      <c r="BI263" s="49">
        <v>0</v>
      </c>
      <c r="BJ263" s="49"/>
      <c r="BK263" s="49"/>
      <c r="BL263" s="49">
        <v>0</v>
      </c>
      <c r="BM263" s="49"/>
      <c r="BN263" s="49">
        <v>0</v>
      </c>
      <c r="BO263" s="49"/>
      <c r="BP263" s="50">
        <v>0</v>
      </c>
      <c r="BQ263" s="50">
        <v>20</v>
      </c>
      <c r="BR263" s="50"/>
      <c r="BS263" s="50">
        <v>0</v>
      </c>
      <c r="BT263" s="50">
        <v>0</v>
      </c>
      <c r="BU263" s="50">
        <v>0</v>
      </c>
      <c r="BV263" s="50"/>
      <c r="BW263" s="50">
        <v>0</v>
      </c>
      <c r="BX263" s="50"/>
      <c r="BY263" s="50"/>
      <c r="BZ263" s="50"/>
      <c r="CA263" s="50">
        <v>0</v>
      </c>
      <c r="CB263" s="50">
        <v>0</v>
      </c>
      <c r="CC263" s="50">
        <v>0</v>
      </c>
      <c r="CD263" s="50">
        <v>0</v>
      </c>
      <c r="CE263" s="50">
        <v>0</v>
      </c>
      <c r="CF263" s="50">
        <v>0</v>
      </c>
      <c r="CG263" s="50"/>
      <c r="CH263" s="50">
        <v>0</v>
      </c>
      <c r="CI263" s="50">
        <v>0</v>
      </c>
      <c r="CJ263" s="50">
        <v>0</v>
      </c>
      <c r="CK263" s="50">
        <v>0</v>
      </c>
      <c r="CL263" s="50">
        <v>0</v>
      </c>
      <c r="CM263" s="50">
        <v>0</v>
      </c>
      <c r="CN263" s="51">
        <v>10</v>
      </c>
      <c r="CO263" s="51">
        <v>0</v>
      </c>
      <c r="CP263" s="51">
        <v>8</v>
      </c>
      <c r="CQ263" s="51">
        <v>0</v>
      </c>
      <c r="CR263" s="51">
        <v>0</v>
      </c>
      <c r="CS263" s="51">
        <v>19</v>
      </c>
      <c r="CT263" s="51">
        <v>0</v>
      </c>
      <c r="CU263" s="51">
        <v>0</v>
      </c>
      <c r="CV263" s="51">
        <v>0</v>
      </c>
      <c r="CW263" s="51">
        <v>0</v>
      </c>
      <c r="CX263" s="51">
        <v>0</v>
      </c>
      <c r="CY263" s="51">
        <v>0</v>
      </c>
      <c r="CZ263" s="51">
        <v>0</v>
      </c>
      <c r="DA263" s="51">
        <v>5</v>
      </c>
      <c r="DB263" s="51">
        <v>0</v>
      </c>
      <c r="DC263" s="51">
        <v>0</v>
      </c>
      <c r="DD263" s="51">
        <v>21</v>
      </c>
      <c r="DE263" s="51">
        <v>0</v>
      </c>
      <c r="DF263" s="52">
        <v>7</v>
      </c>
      <c r="DG263" s="52">
        <v>0</v>
      </c>
      <c r="DH263" s="52">
        <v>0</v>
      </c>
      <c r="DI263" s="52">
        <v>0</v>
      </c>
      <c r="DJ263" s="52">
        <v>0</v>
      </c>
      <c r="DK263" s="52">
        <v>0</v>
      </c>
      <c r="DL263" s="52">
        <v>0</v>
      </c>
      <c r="DM263" s="52">
        <v>0</v>
      </c>
      <c r="DN263" s="52">
        <v>0</v>
      </c>
      <c r="DO263" s="52">
        <v>0</v>
      </c>
      <c r="DP263" s="52">
        <v>0</v>
      </c>
      <c r="DQ263" s="52">
        <v>0</v>
      </c>
      <c r="DR263" s="52">
        <v>0</v>
      </c>
      <c r="DS263" s="53">
        <v>0</v>
      </c>
      <c r="DT263" s="53">
        <v>0</v>
      </c>
      <c r="DU263" s="53">
        <v>0</v>
      </c>
      <c r="DV263" s="53">
        <v>0</v>
      </c>
      <c r="DW263" s="53">
        <v>0</v>
      </c>
      <c r="DX263" s="2"/>
      <c r="DY263" s="2"/>
      <c r="DZ263" s="46">
        <f t="shared" si="58"/>
        <v>0</v>
      </c>
      <c r="EA263" s="46">
        <f t="shared" si="59"/>
        <v>0</v>
      </c>
      <c r="EB263" s="46">
        <f t="shared" si="60"/>
        <v>4336</v>
      </c>
      <c r="EC263" s="46">
        <f t="shared" si="61"/>
        <v>23</v>
      </c>
      <c r="ED263" s="46">
        <f t="shared" si="62"/>
        <v>0</v>
      </c>
      <c r="EE263" s="46">
        <f t="shared" si="63"/>
        <v>20</v>
      </c>
      <c r="EF263" s="46">
        <f t="shared" si="64"/>
        <v>0</v>
      </c>
      <c r="EG263" s="46">
        <f t="shared" si="65"/>
        <v>37</v>
      </c>
      <c r="EH263" s="46">
        <f t="shared" si="68"/>
        <v>33</v>
      </c>
      <c r="EI263" s="46">
        <f t="shared" si="67"/>
        <v>0</v>
      </c>
    </row>
    <row r="264" spans="3:139" ht="12">
      <c r="C264" s="36" t="s">
        <v>450</v>
      </c>
      <c r="D264" s="36" t="s">
        <v>437</v>
      </c>
      <c r="E264" s="36" t="s">
        <v>437</v>
      </c>
      <c r="F264" s="38">
        <f t="shared" si="66"/>
        <v>20</v>
      </c>
      <c r="G264" s="37" t="s">
        <v>438</v>
      </c>
      <c r="H264" s="47"/>
      <c r="I264" s="48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8"/>
      <c r="U264" s="48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8">
        <v>20</v>
      </c>
      <c r="AG264" s="48"/>
      <c r="AH264" s="49"/>
      <c r="AI264" s="49"/>
      <c r="AJ264" s="49"/>
      <c r="AK264" s="49"/>
      <c r="AL264" s="49">
        <v>0</v>
      </c>
      <c r="AM264" s="49"/>
      <c r="AN264" s="49">
        <v>0</v>
      </c>
      <c r="AO264" s="49"/>
      <c r="AP264" s="49"/>
      <c r="AQ264" s="49"/>
      <c r="AR264" s="49">
        <v>0</v>
      </c>
      <c r="AS264" s="49">
        <v>0</v>
      </c>
      <c r="AT264" s="49"/>
      <c r="AU264" s="49">
        <v>0</v>
      </c>
      <c r="AV264" s="49">
        <v>0</v>
      </c>
      <c r="AW264" s="49"/>
      <c r="AX264" s="49">
        <v>0</v>
      </c>
      <c r="AY264" s="49"/>
      <c r="AZ264" s="49">
        <v>0</v>
      </c>
      <c r="BA264" s="49">
        <v>0</v>
      </c>
      <c r="BB264" s="49">
        <v>0</v>
      </c>
      <c r="BC264" s="49">
        <v>0</v>
      </c>
      <c r="BD264" s="49">
        <v>0</v>
      </c>
      <c r="BE264" s="49">
        <v>0</v>
      </c>
      <c r="BF264" s="49"/>
      <c r="BG264" s="49"/>
      <c r="BH264" s="49"/>
      <c r="BI264" s="49">
        <v>0</v>
      </c>
      <c r="BJ264" s="49"/>
      <c r="BK264" s="49"/>
      <c r="BL264" s="49">
        <v>0</v>
      </c>
      <c r="BM264" s="49"/>
      <c r="BN264" s="49">
        <v>0</v>
      </c>
      <c r="BO264" s="49"/>
      <c r="BP264" s="50">
        <v>0</v>
      </c>
      <c r="BQ264" s="50">
        <v>0</v>
      </c>
      <c r="BR264" s="50"/>
      <c r="BS264" s="50">
        <v>0</v>
      </c>
      <c r="BT264" s="50">
        <v>0</v>
      </c>
      <c r="BU264" s="50">
        <v>0</v>
      </c>
      <c r="BV264" s="50"/>
      <c r="BW264" s="50">
        <v>0</v>
      </c>
      <c r="BX264" s="50"/>
      <c r="BY264" s="50"/>
      <c r="BZ264" s="50"/>
      <c r="CA264" s="50">
        <v>0</v>
      </c>
      <c r="CB264" s="50">
        <v>0</v>
      </c>
      <c r="CC264" s="50">
        <v>0</v>
      </c>
      <c r="CD264" s="50">
        <v>0</v>
      </c>
      <c r="CE264" s="50">
        <v>0</v>
      </c>
      <c r="CF264" s="50">
        <v>0</v>
      </c>
      <c r="CG264" s="50"/>
      <c r="CH264" s="50">
        <v>0</v>
      </c>
      <c r="CI264" s="50">
        <v>0</v>
      </c>
      <c r="CJ264" s="50">
        <v>0</v>
      </c>
      <c r="CK264" s="50">
        <v>0</v>
      </c>
      <c r="CL264" s="50">
        <v>0</v>
      </c>
      <c r="CM264" s="50">
        <v>0</v>
      </c>
      <c r="CN264" s="51">
        <v>0</v>
      </c>
      <c r="CO264" s="51">
        <v>0</v>
      </c>
      <c r="CP264" s="51">
        <v>0</v>
      </c>
      <c r="CQ264" s="51">
        <v>0</v>
      </c>
      <c r="CR264" s="51">
        <v>0</v>
      </c>
      <c r="CS264" s="51">
        <v>0</v>
      </c>
      <c r="CT264" s="51">
        <v>0</v>
      </c>
      <c r="CU264" s="51">
        <v>0</v>
      </c>
      <c r="CV264" s="51">
        <v>0</v>
      </c>
      <c r="CW264" s="51">
        <v>0</v>
      </c>
      <c r="CX264" s="51">
        <v>0</v>
      </c>
      <c r="CY264" s="51">
        <v>0</v>
      </c>
      <c r="CZ264" s="51">
        <v>0</v>
      </c>
      <c r="DA264" s="51">
        <v>0</v>
      </c>
      <c r="DB264" s="51">
        <v>0</v>
      </c>
      <c r="DC264" s="51">
        <v>0</v>
      </c>
      <c r="DD264" s="51">
        <v>0</v>
      </c>
      <c r="DE264" s="51">
        <v>0</v>
      </c>
      <c r="DF264" s="52">
        <v>0</v>
      </c>
      <c r="DG264" s="52">
        <v>0</v>
      </c>
      <c r="DH264" s="52">
        <v>0</v>
      </c>
      <c r="DI264" s="52">
        <v>0</v>
      </c>
      <c r="DJ264" s="52">
        <v>0</v>
      </c>
      <c r="DK264" s="52">
        <v>0</v>
      </c>
      <c r="DL264" s="52">
        <v>0</v>
      </c>
      <c r="DM264" s="52">
        <v>0</v>
      </c>
      <c r="DN264" s="52">
        <v>0</v>
      </c>
      <c r="DO264" s="52">
        <v>0</v>
      </c>
      <c r="DP264" s="52">
        <v>0</v>
      </c>
      <c r="DQ264" s="52">
        <v>0</v>
      </c>
      <c r="DR264" s="52">
        <v>0</v>
      </c>
      <c r="DS264" s="53">
        <v>0</v>
      </c>
      <c r="DT264" s="53">
        <v>0</v>
      </c>
      <c r="DU264" s="53">
        <v>0</v>
      </c>
      <c r="DV264" s="53">
        <v>0</v>
      </c>
      <c r="DW264" s="53">
        <v>0</v>
      </c>
      <c r="DX264" s="2"/>
      <c r="DY264" s="2"/>
      <c r="DZ264" s="46">
        <f t="shared" ref="DZ264:DZ327" si="69">SUM(H264:S264)</f>
        <v>0</v>
      </c>
      <c r="EA264" s="46">
        <f t="shared" ref="EA264:EA327" si="70">SUM(T264:AE264)</f>
        <v>0</v>
      </c>
      <c r="EB264" s="46">
        <f t="shared" ref="EB264:EB327" si="71">SUM(AF264:AQ264)</f>
        <v>20</v>
      </c>
      <c r="EC264" s="46">
        <f t="shared" ref="EC264:EC327" si="72">SUM(AR264:BC264)</f>
        <v>0</v>
      </c>
      <c r="ED264" s="46">
        <f t="shared" ref="ED264:ED327" si="73">SUM(BD264:BO264)</f>
        <v>0</v>
      </c>
      <c r="EE264" s="46">
        <f t="shared" ref="EE264:EE327" si="74">SUM(BP264:CA264)</f>
        <v>0</v>
      </c>
      <c r="EF264" s="46">
        <f t="shared" ref="EF264:EF327" si="75">SUM(CB264:CM264)</f>
        <v>0</v>
      </c>
      <c r="EG264" s="46">
        <f t="shared" ref="EG264:EG327" si="76">SUM(CN264:CY264)</f>
        <v>0</v>
      </c>
      <c r="EH264" s="46">
        <f t="shared" si="68"/>
        <v>0</v>
      </c>
      <c r="EI264" s="46">
        <f t="shared" si="67"/>
        <v>0</v>
      </c>
    </row>
    <row r="265" spans="3:139" ht="12">
      <c r="C265" s="36" t="s">
        <v>451</v>
      </c>
      <c r="D265" s="36" t="s">
        <v>437</v>
      </c>
      <c r="E265" s="36" t="s">
        <v>437</v>
      </c>
      <c r="F265" s="38">
        <f t="shared" si="66"/>
        <v>807</v>
      </c>
      <c r="G265" s="37" t="s">
        <v>438</v>
      </c>
      <c r="H265" s="47"/>
      <c r="I265" s="48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8"/>
      <c r="U265" s="48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8">
        <v>691</v>
      </c>
      <c r="AG265" s="48">
        <v>100</v>
      </c>
      <c r="AH265" s="49"/>
      <c r="AI265" s="49"/>
      <c r="AJ265" s="49"/>
      <c r="AK265" s="49"/>
      <c r="AL265" s="49">
        <v>0</v>
      </c>
      <c r="AM265" s="49"/>
      <c r="AN265" s="49">
        <v>0</v>
      </c>
      <c r="AO265" s="49"/>
      <c r="AP265" s="49"/>
      <c r="AQ265" s="49"/>
      <c r="AR265" s="49">
        <v>0</v>
      </c>
      <c r="AS265" s="49">
        <v>0</v>
      </c>
      <c r="AT265" s="49"/>
      <c r="AU265" s="49">
        <v>0</v>
      </c>
      <c r="AV265" s="49">
        <v>0</v>
      </c>
      <c r="AW265" s="49"/>
      <c r="AX265" s="49">
        <v>0</v>
      </c>
      <c r="AY265" s="49"/>
      <c r="AZ265" s="49">
        <v>0</v>
      </c>
      <c r="BA265" s="49">
        <v>0</v>
      </c>
      <c r="BB265" s="49">
        <v>0</v>
      </c>
      <c r="BC265" s="49">
        <v>0</v>
      </c>
      <c r="BD265" s="49">
        <v>0</v>
      </c>
      <c r="BE265" s="49">
        <v>0</v>
      </c>
      <c r="BF265" s="49"/>
      <c r="BG265" s="49"/>
      <c r="BH265" s="49"/>
      <c r="BI265" s="49">
        <v>0</v>
      </c>
      <c r="BJ265" s="49"/>
      <c r="BK265" s="49"/>
      <c r="BL265" s="49">
        <v>0</v>
      </c>
      <c r="BM265" s="49"/>
      <c r="BN265" s="49">
        <v>0</v>
      </c>
      <c r="BO265" s="49"/>
      <c r="BP265" s="50">
        <v>0</v>
      </c>
      <c r="BQ265" s="50">
        <v>0</v>
      </c>
      <c r="BR265" s="50"/>
      <c r="BS265" s="50">
        <v>0</v>
      </c>
      <c r="BT265" s="50">
        <v>0</v>
      </c>
      <c r="BU265" s="50">
        <v>0</v>
      </c>
      <c r="BV265" s="50"/>
      <c r="BW265" s="50">
        <v>0</v>
      </c>
      <c r="BX265" s="50"/>
      <c r="BY265" s="50"/>
      <c r="BZ265" s="50"/>
      <c r="CA265" s="50">
        <v>0</v>
      </c>
      <c r="CB265" s="50">
        <v>0</v>
      </c>
      <c r="CC265" s="50">
        <v>0</v>
      </c>
      <c r="CD265" s="50">
        <v>0</v>
      </c>
      <c r="CE265" s="50">
        <v>0</v>
      </c>
      <c r="CF265" s="50">
        <v>0</v>
      </c>
      <c r="CG265" s="50"/>
      <c r="CH265" s="50">
        <v>0</v>
      </c>
      <c r="CI265" s="50">
        <v>0</v>
      </c>
      <c r="CJ265" s="50">
        <v>9</v>
      </c>
      <c r="CK265" s="50">
        <v>0</v>
      </c>
      <c r="CL265" s="50">
        <v>0</v>
      </c>
      <c r="CM265" s="50">
        <v>0</v>
      </c>
      <c r="CN265" s="51">
        <v>0</v>
      </c>
      <c r="CO265" s="51">
        <v>0</v>
      </c>
      <c r="CP265" s="51">
        <v>0</v>
      </c>
      <c r="CQ265" s="51">
        <v>0</v>
      </c>
      <c r="CR265" s="51">
        <v>0</v>
      </c>
      <c r="CS265" s="51">
        <v>0</v>
      </c>
      <c r="CT265" s="51">
        <v>0</v>
      </c>
      <c r="CU265" s="51">
        <v>0</v>
      </c>
      <c r="CV265" s="51">
        <v>0</v>
      </c>
      <c r="CW265" s="51">
        <v>0</v>
      </c>
      <c r="CX265" s="51">
        <v>0</v>
      </c>
      <c r="CY265" s="51">
        <v>0</v>
      </c>
      <c r="CZ265" s="51">
        <v>0</v>
      </c>
      <c r="DA265" s="51">
        <v>0</v>
      </c>
      <c r="DB265" s="51">
        <v>0</v>
      </c>
      <c r="DC265" s="51">
        <v>7</v>
      </c>
      <c r="DD265" s="51">
        <v>0</v>
      </c>
      <c r="DE265" s="51">
        <v>0</v>
      </c>
      <c r="DF265" s="52">
        <v>0</v>
      </c>
      <c r="DG265" s="52">
        <v>0</v>
      </c>
      <c r="DH265" s="52">
        <v>0</v>
      </c>
      <c r="DI265" s="52">
        <v>0</v>
      </c>
      <c r="DJ265" s="52">
        <v>0</v>
      </c>
      <c r="DK265" s="52">
        <v>0</v>
      </c>
      <c r="DL265" s="52">
        <v>0</v>
      </c>
      <c r="DM265" s="52">
        <v>0</v>
      </c>
      <c r="DN265" s="52">
        <v>0</v>
      </c>
      <c r="DO265" s="52">
        <v>0</v>
      </c>
      <c r="DP265" s="52">
        <v>0</v>
      </c>
      <c r="DQ265" s="52">
        <v>0</v>
      </c>
      <c r="DR265" s="52">
        <v>0</v>
      </c>
      <c r="DS265" s="53">
        <v>0</v>
      </c>
      <c r="DT265" s="53">
        <v>0</v>
      </c>
      <c r="DU265" s="53">
        <v>0</v>
      </c>
      <c r="DV265" s="53">
        <v>0</v>
      </c>
      <c r="DW265" s="53">
        <v>0</v>
      </c>
      <c r="DX265" s="2"/>
      <c r="DY265" s="2"/>
      <c r="DZ265" s="46">
        <f t="shared" si="69"/>
        <v>0</v>
      </c>
      <c r="EA265" s="46">
        <f t="shared" si="70"/>
        <v>0</v>
      </c>
      <c r="EB265" s="46">
        <f t="shared" si="71"/>
        <v>791</v>
      </c>
      <c r="EC265" s="46">
        <f t="shared" si="72"/>
        <v>0</v>
      </c>
      <c r="ED265" s="46">
        <f t="shared" si="73"/>
        <v>0</v>
      </c>
      <c r="EE265" s="46">
        <f t="shared" si="74"/>
        <v>0</v>
      </c>
      <c r="EF265" s="46">
        <f t="shared" si="75"/>
        <v>9</v>
      </c>
      <c r="EG265" s="46">
        <f t="shared" si="76"/>
        <v>0</v>
      </c>
      <c r="EH265" s="46">
        <f t="shared" si="68"/>
        <v>7</v>
      </c>
      <c r="EI265" s="46">
        <f t="shared" si="67"/>
        <v>0</v>
      </c>
    </row>
    <row r="266" spans="3:139" ht="12">
      <c r="C266" s="36" t="s">
        <v>452</v>
      </c>
      <c r="D266" s="36" t="s">
        <v>437</v>
      </c>
      <c r="E266" s="36" t="s">
        <v>437</v>
      </c>
      <c r="F266" s="38">
        <f t="shared" si="66"/>
        <v>981</v>
      </c>
      <c r="G266" s="37" t="s">
        <v>438</v>
      </c>
      <c r="H266" s="47"/>
      <c r="I266" s="48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8"/>
      <c r="U266" s="48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8">
        <v>20</v>
      </c>
      <c r="AG266" s="48"/>
      <c r="AH266" s="49"/>
      <c r="AI266" s="49"/>
      <c r="AJ266" s="49"/>
      <c r="AK266" s="49">
        <v>267</v>
      </c>
      <c r="AL266" s="49">
        <v>402</v>
      </c>
      <c r="AM266" s="49"/>
      <c r="AN266" s="49">
        <v>0</v>
      </c>
      <c r="AO266" s="49">
        <v>284</v>
      </c>
      <c r="AP266" s="49"/>
      <c r="AQ266" s="49"/>
      <c r="AR266" s="49">
        <v>0</v>
      </c>
      <c r="AS266" s="49">
        <v>0</v>
      </c>
      <c r="AT266" s="49"/>
      <c r="AU266" s="49">
        <v>0</v>
      </c>
      <c r="AV266" s="49">
        <v>0</v>
      </c>
      <c r="AW266" s="49"/>
      <c r="AX266" s="49">
        <v>0</v>
      </c>
      <c r="AY266" s="49"/>
      <c r="AZ266" s="49">
        <v>0</v>
      </c>
      <c r="BA266" s="49">
        <v>0</v>
      </c>
      <c r="BB266" s="49">
        <v>0</v>
      </c>
      <c r="BC266" s="49">
        <v>0</v>
      </c>
      <c r="BD266" s="49">
        <v>0</v>
      </c>
      <c r="BE266" s="49">
        <v>0</v>
      </c>
      <c r="BF266" s="49"/>
      <c r="BG266" s="49"/>
      <c r="BH266" s="49"/>
      <c r="BI266" s="49">
        <v>0</v>
      </c>
      <c r="BJ266" s="49"/>
      <c r="BK266" s="49"/>
      <c r="BL266" s="49">
        <v>0</v>
      </c>
      <c r="BM266" s="49"/>
      <c r="BN266" s="49">
        <v>0</v>
      </c>
      <c r="BO266" s="49"/>
      <c r="BP266" s="50">
        <v>0</v>
      </c>
      <c r="BQ266" s="50">
        <v>0</v>
      </c>
      <c r="BR266" s="50"/>
      <c r="BS266" s="50">
        <v>0</v>
      </c>
      <c r="BT266" s="50">
        <v>0</v>
      </c>
      <c r="BU266" s="50">
        <v>0</v>
      </c>
      <c r="BV266" s="50"/>
      <c r="BW266" s="50">
        <v>0</v>
      </c>
      <c r="BX266" s="50"/>
      <c r="BY266" s="50"/>
      <c r="BZ266" s="50"/>
      <c r="CA266" s="50">
        <v>0</v>
      </c>
      <c r="CB266" s="50">
        <v>0</v>
      </c>
      <c r="CC266" s="50">
        <v>0</v>
      </c>
      <c r="CD266" s="50">
        <v>0</v>
      </c>
      <c r="CE266" s="50">
        <v>0</v>
      </c>
      <c r="CF266" s="50">
        <v>0</v>
      </c>
      <c r="CG266" s="50"/>
      <c r="CH266" s="50">
        <v>0</v>
      </c>
      <c r="CI266" s="50">
        <v>0</v>
      </c>
      <c r="CJ266" s="50">
        <v>0</v>
      </c>
      <c r="CK266" s="50">
        <v>0</v>
      </c>
      <c r="CL266" s="50">
        <v>0</v>
      </c>
      <c r="CM266" s="50">
        <v>0</v>
      </c>
      <c r="CN266" s="51">
        <v>0</v>
      </c>
      <c r="CO266" s="51">
        <v>0</v>
      </c>
      <c r="CP266" s="51">
        <v>0</v>
      </c>
      <c r="CQ266" s="51">
        <v>0</v>
      </c>
      <c r="CR266" s="51">
        <v>0</v>
      </c>
      <c r="CS266" s="51">
        <v>0</v>
      </c>
      <c r="CT266" s="51">
        <v>0</v>
      </c>
      <c r="CU266" s="51">
        <v>0</v>
      </c>
      <c r="CV266" s="51">
        <v>0</v>
      </c>
      <c r="CW266" s="51">
        <v>0</v>
      </c>
      <c r="CX266" s="51">
        <v>0</v>
      </c>
      <c r="CY266" s="51">
        <v>0</v>
      </c>
      <c r="CZ266" s="51">
        <v>0</v>
      </c>
      <c r="DA266" s="51">
        <v>0</v>
      </c>
      <c r="DB266" s="51">
        <v>8</v>
      </c>
      <c r="DC266" s="51">
        <v>0</v>
      </c>
      <c r="DD266" s="51">
        <v>0</v>
      </c>
      <c r="DE266" s="51">
        <v>0</v>
      </c>
      <c r="DF266" s="52">
        <v>0</v>
      </c>
      <c r="DG266" s="52">
        <v>0</v>
      </c>
      <c r="DH266" s="52">
        <v>0</v>
      </c>
      <c r="DI266" s="52">
        <v>0</v>
      </c>
      <c r="DJ266" s="52">
        <v>0</v>
      </c>
      <c r="DK266" s="52">
        <v>0</v>
      </c>
      <c r="DL266" s="52">
        <v>0</v>
      </c>
      <c r="DM266" s="52">
        <v>0</v>
      </c>
      <c r="DN266" s="52">
        <v>0</v>
      </c>
      <c r="DO266" s="52">
        <v>0</v>
      </c>
      <c r="DP266" s="52">
        <v>0</v>
      </c>
      <c r="DQ266" s="52">
        <v>0</v>
      </c>
      <c r="DR266" s="52">
        <v>0</v>
      </c>
      <c r="DS266" s="53">
        <v>0</v>
      </c>
      <c r="DT266" s="53">
        <v>0</v>
      </c>
      <c r="DU266" s="53">
        <v>0</v>
      </c>
      <c r="DV266" s="53">
        <v>0</v>
      </c>
      <c r="DW266" s="53">
        <v>0</v>
      </c>
      <c r="DX266" s="2"/>
      <c r="DY266" s="2"/>
      <c r="DZ266" s="46">
        <f t="shared" si="69"/>
        <v>0</v>
      </c>
      <c r="EA266" s="46">
        <f t="shared" si="70"/>
        <v>0</v>
      </c>
      <c r="EB266" s="46">
        <f t="shared" si="71"/>
        <v>973</v>
      </c>
      <c r="EC266" s="46">
        <f t="shared" si="72"/>
        <v>0</v>
      </c>
      <c r="ED266" s="46">
        <f t="shared" si="73"/>
        <v>0</v>
      </c>
      <c r="EE266" s="46">
        <f t="shared" si="74"/>
        <v>0</v>
      </c>
      <c r="EF266" s="46">
        <f t="shared" si="75"/>
        <v>0</v>
      </c>
      <c r="EG266" s="46">
        <f t="shared" si="76"/>
        <v>0</v>
      </c>
      <c r="EH266" s="46">
        <f t="shared" si="68"/>
        <v>8</v>
      </c>
      <c r="EI266" s="46">
        <f t="shared" si="67"/>
        <v>0</v>
      </c>
    </row>
    <row r="267" spans="3:139" ht="12">
      <c r="C267" s="36" t="s">
        <v>453</v>
      </c>
      <c r="D267" s="36" t="s">
        <v>437</v>
      </c>
      <c r="E267" s="36" t="s">
        <v>437</v>
      </c>
      <c r="F267" s="38">
        <f t="shared" ref="F267:F330" si="77">SUM(H267:DQ267)</f>
        <v>20</v>
      </c>
      <c r="G267" s="37" t="s">
        <v>438</v>
      </c>
      <c r="H267" s="47"/>
      <c r="I267" s="48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8"/>
      <c r="U267" s="48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8">
        <v>20</v>
      </c>
      <c r="AG267" s="48"/>
      <c r="AH267" s="49"/>
      <c r="AI267" s="49"/>
      <c r="AJ267" s="49"/>
      <c r="AK267" s="49"/>
      <c r="AL267" s="49">
        <v>0</v>
      </c>
      <c r="AM267" s="49"/>
      <c r="AN267" s="49">
        <v>0</v>
      </c>
      <c r="AO267" s="49"/>
      <c r="AP267" s="49"/>
      <c r="AQ267" s="49"/>
      <c r="AR267" s="49">
        <v>0</v>
      </c>
      <c r="AS267" s="49">
        <v>0</v>
      </c>
      <c r="AT267" s="49"/>
      <c r="AU267" s="49">
        <v>0</v>
      </c>
      <c r="AV267" s="49">
        <v>0</v>
      </c>
      <c r="AW267" s="49"/>
      <c r="AX267" s="49">
        <v>0</v>
      </c>
      <c r="AY267" s="49"/>
      <c r="AZ267" s="49">
        <v>0</v>
      </c>
      <c r="BA267" s="49">
        <v>0</v>
      </c>
      <c r="BB267" s="49">
        <v>0</v>
      </c>
      <c r="BC267" s="49">
        <v>0</v>
      </c>
      <c r="BD267" s="49">
        <v>0</v>
      </c>
      <c r="BE267" s="49">
        <v>0</v>
      </c>
      <c r="BF267" s="49"/>
      <c r="BG267" s="49"/>
      <c r="BH267" s="49"/>
      <c r="BI267" s="49">
        <v>0</v>
      </c>
      <c r="BJ267" s="49"/>
      <c r="BK267" s="49"/>
      <c r="BL267" s="49">
        <v>0</v>
      </c>
      <c r="BM267" s="49"/>
      <c r="BN267" s="49">
        <v>0</v>
      </c>
      <c r="BO267" s="49"/>
      <c r="BP267" s="50">
        <v>0</v>
      </c>
      <c r="BQ267" s="50">
        <v>0</v>
      </c>
      <c r="BR267" s="50"/>
      <c r="BS267" s="50">
        <v>0</v>
      </c>
      <c r="BT267" s="50">
        <v>0</v>
      </c>
      <c r="BU267" s="50">
        <v>0</v>
      </c>
      <c r="BV267" s="50"/>
      <c r="BW267" s="50">
        <v>0</v>
      </c>
      <c r="BX267" s="50"/>
      <c r="BY267" s="50"/>
      <c r="BZ267" s="50"/>
      <c r="CA267" s="50">
        <v>0</v>
      </c>
      <c r="CB267" s="50">
        <v>0</v>
      </c>
      <c r="CC267" s="50">
        <v>0</v>
      </c>
      <c r="CD267" s="50">
        <v>0</v>
      </c>
      <c r="CE267" s="50">
        <v>0</v>
      </c>
      <c r="CF267" s="50">
        <v>0</v>
      </c>
      <c r="CG267" s="50"/>
      <c r="CH267" s="50">
        <v>0</v>
      </c>
      <c r="CI267" s="50">
        <v>0</v>
      </c>
      <c r="CJ267" s="50">
        <v>0</v>
      </c>
      <c r="CK267" s="50">
        <v>0</v>
      </c>
      <c r="CL267" s="50">
        <v>0</v>
      </c>
      <c r="CM267" s="50">
        <v>0</v>
      </c>
      <c r="CN267" s="51">
        <v>0</v>
      </c>
      <c r="CO267" s="51">
        <v>0</v>
      </c>
      <c r="CP267" s="51">
        <v>0</v>
      </c>
      <c r="CQ267" s="51">
        <v>0</v>
      </c>
      <c r="CR267" s="51">
        <v>0</v>
      </c>
      <c r="CS267" s="51">
        <v>0</v>
      </c>
      <c r="CT267" s="51">
        <v>0</v>
      </c>
      <c r="CU267" s="51">
        <v>0</v>
      </c>
      <c r="CV267" s="51">
        <v>0</v>
      </c>
      <c r="CW267" s="51">
        <v>0</v>
      </c>
      <c r="CX267" s="51">
        <v>0</v>
      </c>
      <c r="CY267" s="51">
        <v>0</v>
      </c>
      <c r="CZ267" s="51">
        <v>0</v>
      </c>
      <c r="DA267" s="51">
        <v>0</v>
      </c>
      <c r="DB267" s="51">
        <v>0</v>
      </c>
      <c r="DC267" s="51">
        <v>0</v>
      </c>
      <c r="DD267" s="51">
        <v>0</v>
      </c>
      <c r="DE267" s="51">
        <v>0</v>
      </c>
      <c r="DF267" s="52">
        <v>0</v>
      </c>
      <c r="DG267" s="52">
        <v>0</v>
      </c>
      <c r="DH267" s="52">
        <v>0</v>
      </c>
      <c r="DI267" s="52">
        <v>0</v>
      </c>
      <c r="DJ267" s="52">
        <v>0</v>
      </c>
      <c r="DK267" s="52">
        <v>0</v>
      </c>
      <c r="DL267" s="52">
        <v>0</v>
      </c>
      <c r="DM267" s="52">
        <v>0</v>
      </c>
      <c r="DN267" s="52">
        <v>0</v>
      </c>
      <c r="DO267" s="52">
        <v>0</v>
      </c>
      <c r="DP267" s="52">
        <v>0</v>
      </c>
      <c r="DQ267" s="52">
        <v>0</v>
      </c>
      <c r="DR267" s="52">
        <v>0</v>
      </c>
      <c r="DS267" s="53">
        <v>0</v>
      </c>
      <c r="DT267" s="53">
        <v>0</v>
      </c>
      <c r="DU267" s="53">
        <v>0</v>
      </c>
      <c r="DV267" s="53">
        <v>0</v>
      </c>
      <c r="DW267" s="53">
        <v>0</v>
      </c>
      <c r="DX267" s="2"/>
      <c r="DY267" s="2"/>
      <c r="DZ267" s="46">
        <f t="shared" si="69"/>
        <v>0</v>
      </c>
      <c r="EA267" s="46">
        <f t="shared" si="70"/>
        <v>0</v>
      </c>
      <c r="EB267" s="46">
        <f t="shared" si="71"/>
        <v>20</v>
      </c>
      <c r="EC267" s="46">
        <f t="shared" si="72"/>
        <v>0</v>
      </c>
      <c r="ED267" s="46">
        <f t="shared" si="73"/>
        <v>0</v>
      </c>
      <c r="EE267" s="46">
        <f t="shared" si="74"/>
        <v>0</v>
      </c>
      <c r="EF267" s="46">
        <f t="shared" si="75"/>
        <v>0</v>
      </c>
      <c r="EG267" s="46">
        <f t="shared" si="76"/>
        <v>0</v>
      </c>
      <c r="EH267" s="46">
        <f t="shared" si="68"/>
        <v>0</v>
      </c>
      <c r="EI267" s="46">
        <f t="shared" ref="EI267:EI330" si="78">SUM(DL267:DO267)</f>
        <v>0</v>
      </c>
    </row>
    <row r="268" spans="3:139" ht="12">
      <c r="C268" s="36" t="s">
        <v>454</v>
      </c>
      <c r="D268" s="36" t="s">
        <v>437</v>
      </c>
      <c r="E268" s="36" t="s">
        <v>437</v>
      </c>
      <c r="F268" s="38">
        <f t="shared" si="77"/>
        <v>3451</v>
      </c>
      <c r="G268" s="37" t="s">
        <v>438</v>
      </c>
      <c r="H268" s="47"/>
      <c r="I268" s="48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8"/>
      <c r="U268" s="48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8">
        <v>298</v>
      </c>
      <c r="AG268" s="48">
        <v>1021</v>
      </c>
      <c r="AH268" s="49">
        <v>450</v>
      </c>
      <c r="AI268" s="49"/>
      <c r="AJ268" s="49">
        <v>382</v>
      </c>
      <c r="AK268" s="49">
        <v>680</v>
      </c>
      <c r="AL268" s="49">
        <v>520</v>
      </c>
      <c r="AM268" s="49"/>
      <c r="AN268" s="49">
        <v>0</v>
      </c>
      <c r="AO268" s="49">
        <v>40</v>
      </c>
      <c r="AP268" s="49"/>
      <c r="AQ268" s="49"/>
      <c r="AR268" s="49">
        <v>0</v>
      </c>
      <c r="AS268" s="49">
        <v>0</v>
      </c>
      <c r="AT268" s="49"/>
      <c r="AU268" s="49">
        <v>0</v>
      </c>
      <c r="AV268" s="49">
        <v>0</v>
      </c>
      <c r="AW268" s="49"/>
      <c r="AX268" s="49">
        <v>0</v>
      </c>
      <c r="AY268" s="49"/>
      <c r="AZ268" s="49">
        <v>0</v>
      </c>
      <c r="BA268" s="49">
        <v>0</v>
      </c>
      <c r="BB268" s="49">
        <v>0</v>
      </c>
      <c r="BC268" s="49">
        <v>0</v>
      </c>
      <c r="BD268" s="49">
        <v>0</v>
      </c>
      <c r="BE268" s="49">
        <v>0</v>
      </c>
      <c r="BF268" s="49"/>
      <c r="BG268" s="49"/>
      <c r="BH268" s="49"/>
      <c r="BI268" s="49">
        <v>20</v>
      </c>
      <c r="BJ268" s="49"/>
      <c r="BK268" s="49"/>
      <c r="BL268" s="49">
        <v>0</v>
      </c>
      <c r="BM268" s="49">
        <v>20</v>
      </c>
      <c r="BN268" s="49">
        <v>0</v>
      </c>
      <c r="BO268" s="49"/>
      <c r="BP268" s="50">
        <v>0</v>
      </c>
      <c r="BQ268" s="50">
        <v>20</v>
      </c>
      <c r="BR268" s="50"/>
      <c r="BS268" s="50">
        <v>0</v>
      </c>
      <c r="BT268" s="50">
        <v>0</v>
      </c>
      <c r="BU268" s="50">
        <v>0</v>
      </c>
      <c r="BV268" s="50"/>
      <c r="BW268" s="50">
        <v>0</v>
      </c>
      <c r="BX268" s="50"/>
      <c r="BY268" s="50"/>
      <c r="BZ268" s="50"/>
      <c r="CA268" s="50">
        <v>0</v>
      </c>
      <c r="CB268" s="50">
        <v>0</v>
      </c>
      <c r="CC268" s="50">
        <v>0</v>
      </c>
      <c r="CD268" s="50">
        <v>0</v>
      </c>
      <c r="CE268" s="50">
        <v>0</v>
      </c>
      <c r="CF268" s="50">
        <v>0</v>
      </c>
      <c r="CG268" s="50"/>
      <c r="CH268" s="50">
        <v>0</v>
      </c>
      <c r="CI268" s="50">
        <v>0</v>
      </c>
      <c r="CJ268" s="50">
        <v>0</v>
      </c>
      <c r="CK268" s="50">
        <v>0</v>
      </c>
      <c r="CL268" s="50">
        <v>0</v>
      </c>
      <c r="CM268" s="50">
        <v>0</v>
      </c>
      <c r="CN268" s="51">
        <v>0</v>
      </c>
      <c r="CO268" s="51">
        <v>0</v>
      </c>
      <c r="CP268" s="51">
        <v>0</v>
      </c>
      <c r="CQ268" s="51">
        <v>0</v>
      </c>
      <c r="CR268" s="51">
        <v>0</v>
      </c>
      <c r="CS268" s="51">
        <v>0</v>
      </c>
      <c r="CT268" s="51">
        <v>0</v>
      </c>
      <c r="CU268" s="51">
        <v>0</v>
      </c>
      <c r="CV268" s="51">
        <v>0</v>
      </c>
      <c r="CW268" s="51">
        <v>0</v>
      </c>
      <c r="CX268" s="51">
        <v>0</v>
      </c>
      <c r="CY268" s="51">
        <v>0</v>
      </c>
      <c r="CZ268" s="51">
        <v>0</v>
      </c>
      <c r="DA268" s="51">
        <v>0</v>
      </c>
      <c r="DB268" s="51">
        <v>0</v>
      </c>
      <c r="DC268" s="51">
        <v>0</v>
      </c>
      <c r="DD268" s="51">
        <v>0</v>
      </c>
      <c r="DE268" s="51">
        <v>0</v>
      </c>
      <c r="DF268" s="52">
        <v>0</v>
      </c>
      <c r="DG268" s="52">
        <v>0</v>
      </c>
      <c r="DH268" s="52">
        <v>0</v>
      </c>
      <c r="DI268" s="52">
        <v>0</v>
      </c>
      <c r="DJ268" s="52">
        <v>0</v>
      </c>
      <c r="DK268" s="52">
        <v>0</v>
      </c>
      <c r="DL268" s="52">
        <v>0</v>
      </c>
      <c r="DM268" s="52">
        <v>0</v>
      </c>
      <c r="DN268" s="52">
        <v>0</v>
      </c>
      <c r="DO268" s="52">
        <v>0</v>
      </c>
      <c r="DP268" s="52">
        <v>0</v>
      </c>
      <c r="DQ268" s="52">
        <v>0</v>
      </c>
      <c r="DR268" s="52">
        <v>0</v>
      </c>
      <c r="DS268" s="53">
        <v>0</v>
      </c>
      <c r="DT268" s="53">
        <v>0</v>
      </c>
      <c r="DU268" s="53">
        <v>0</v>
      </c>
      <c r="DV268" s="53">
        <v>0</v>
      </c>
      <c r="DW268" s="53">
        <v>0</v>
      </c>
      <c r="DX268" s="2"/>
      <c r="DY268" s="2"/>
      <c r="DZ268" s="46">
        <f t="shared" si="69"/>
        <v>0</v>
      </c>
      <c r="EA268" s="46">
        <f t="shared" si="70"/>
        <v>0</v>
      </c>
      <c r="EB268" s="46">
        <f t="shared" si="71"/>
        <v>3391</v>
      </c>
      <c r="EC268" s="46">
        <f t="shared" si="72"/>
        <v>0</v>
      </c>
      <c r="ED268" s="46">
        <f t="shared" si="73"/>
        <v>40</v>
      </c>
      <c r="EE268" s="46">
        <f t="shared" si="74"/>
        <v>20</v>
      </c>
      <c r="EF268" s="46">
        <f t="shared" si="75"/>
        <v>0</v>
      </c>
      <c r="EG268" s="46">
        <f t="shared" si="76"/>
        <v>0</v>
      </c>
      <c r="EH268" s="46">
        <f t="shared" si="68"/>
        <v>0</v>
      </c>
      <c r="EI268" s="46">
        <f t="shared" si="78"/>
        <v>0</v>
      </c>
    </row>
    <row r="269" spans="3:139" ht="12">
      <c r="C269" s="36" t="s">
        <v>455</v>
      </c>
      <c r="D269" s="36" t="s">
        <v>437</v>
      </c>
      <c r="E269" s="36" t="s">
        <v>437</v>
      </c>
      <c r="F269" s="38">
        <f t="shared" si="77"/>
        <v>476</v>
      </c>
      <c r="G269" s="37" t="s">
        <v>438</v>
      </c>
      <c r="H269" s="47"/>
      <c r="I269" s="48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8"/>
      <c r="U269" s="48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8">
        <v>100</v>
      </c>
      <c r="AG269" s="48"/>
      <c r="AH269" s="49"/>
      <c r="AI269" s="49"/>
      <c r="AJ269" s="49"/>
      <c r="AK269" s="49"/>
      <c r="AL269" s="49">
        <v>200</v>
      </c>
      <c r="AM269" s="49"/>
      <c r="AN269" s="49">
        <v>0</v>
      </c>
      <c r="AO269" s="49">
        <v>138</v>
      </c>
      <c r="AP269" s="49"/>
      <c r="AQ269" s="49"/>
      <c r="AR269" s="49">
        <v>0</v>
      </c>
      <c r="AS269" s="49">
        <v>0</v>
      </c>
      <c r="AT269" s="49"/>
      <c r="AU269" s="49">
        <v>0</v>
      </c>
      <c r="AV269" s="49">
        <v>0</v>
      </c>
      <c r="AW269" s="49"/>
      <c r="AX269" s="49">
        <v>0</v>
      </c>
      <c r="AY269" s="49"/>
      <c r="AZ269" s="49">
        <v>0</v>
      </c>
      <c r="BA269" s="49">
        <v>0</v>
      </c>
      <c r="BB269" s="49">
        <v>20</v>
      </c>
      <c r="BC269" s="49">
        <v>0</v>
      </c>
      <c r="BD269" s="49">
        <v>0</v>
      </c>
      <c r="BE269" s="49">
        <v>0</v>
      </c>
      <c r="BF269" s="49"/>
      <c r="BG269" s="49"/>
      <c r="BH269" s="49"/>
      <c r="BI269" s="49">
        <v>0</v>
      </c>
      <c r="BJ269" s="49"/>
      <c r="BK269" s="49"/>
      <c r="BL269" s="49">
        <v>0</v>
      </c>
      <c r="BM269" s="49"/>
      <c r="BN269" s="49">
        <v>0</v>
      </c>
      <c r="BO269" s="49"/>
      <c r="BP269" s="50">
        <v>0</v>
      </c>
      <c r="BQ269" s="50">
        <v>0</v>
      </c>
      <c r="BR269" s="50"/>
      <c r="BS269" s="50">
        <v>0</v>
      </c>
      <c r="BT269" s="50">
        <v>0</v>
      </c>
      <c r="BU269" s="50">
        <v>0</v>
      </c>
      <c r="BV269" s="50"/>
      <c r="BW269" s="50">
        <v>0</v>
      </c>
      <c r="BX269" s="50"/>
      <c r="BY269" s="50"/>
      <c r="BZ269" s="50"/>
      <c r="CA269" s="50">
        <v>0</v>
      </c>
      <c r="CB269" s="50">
        <v>0</v>
      </c>
      <c r="CC269" s="50">
        <v>0</v>
      </c>
      <c r="CD269" s="50">
        <v>0</v>
      </c>
      <c r="CE269" s="50">
        <v>0</v>
      </c>
      <c r="CF269" s="50">
        <v>0</v>
      </c>
      <c r="CG269" s="50"/>
      <c r="CH269" s="50">
        <v>0</v>
      </c>
      <c r="CI269" s="50">
        <v>0</v>
      </c>
      <c r="CJ269" s="50">
        <v>0</v>
      </c>
      <c r="CK269" s="50">
        <v>0</v>
      </c>
      <c r="CL269" s="50">
        <v>0</v>
      </c>
      <c r="CM269" s="50">
        <v>0</v>
      </c>
      <c r="CN269" s="51">
        <v>0</v>
      </c>
      <c r="CO269" s="51">
        <v>0</v>
      </c>
      <c r="CP269" s="51">
        <v>0</v>
      </c>
      <c r="CQ269" s="51">
        <v>0</v>
      </c>
      <c r="CR269" s="51">
        <v>0</v>
      </c>
      <c r="CS269" s="51">
        <v>0</v>
      </c>
      <c r="CT269" s="51">
        <v>0</v>
      </c>
      <c r="CU269" s="51">
        <v>0</v>
      </c>
      <c r="CV269" s="51">
        <v>0</v>
      </c>
      <c r="CW269" s="51">
        <v>0</v>
      </c>
      <c r="CX269" s="51">
        <v>0</v>
      </c>
      <c r="CY269" s="51">
        <v>16</v>
      </c>
      <c r="CZ269" s="51">
        <v>0</v>
      </c>
      <c r="DA269" s="51">
        <v>0</v>
      </c>
      <c r="DB269" s="51">
        <v>2</v>
      </c>
      <c r="DC269" s="51">
        <v>0</v>
      </c>
      <c r="DD269" s="51">
        <v>0</v>
      </c>
      <c r="DE269" s="51">
        <v>0</v>
      </c>
      <c r="DF269" s="52">
        <v>0</v>
      </c>
      <c r="DG269" s="52">
        <v>0</v>
      </c>
      <c r="DH269" s="52">
        <v>0</v>
      </c>
      <c r="DI269" s="52">
        <v>0</v>
      </c>
      <c r="DJ269" s="52">
        <v>0</v>
      </c>
      <c r="DK269" s="52">
        <v>0</v>
      </c>
      <c r="DL269" s="52">
        <v>0</v>
      </c>
      <c r="DM269" s="52">
        <v>0</v>
      </c>
      <c r="DN269" s="52">
        <v>0</v>
      </c>
      <c r="DO269" s="52">
        <v>0</v>
      </c>
      <c r="DP269" s="52">
        <v>0</v>
      </c>
      <c r="DQ269" s="52">
        <v>0</v>
      </c>
      <c r="DR269" s="52">
        <v>0</v>
      </c>
      <c r="DS269" s="53">
        <v>0</v>
      </c>
      <c r="DT269" s="53">
        <v>0</v>
      </c>
      <c r="DU269" s="53">
        <v>0</v>
      </c>
      <c r="DV269" s="53">
        <v>0</v>
      </c>
      <c r="DW269" s="53">
        <v>0</v>
      </c>
      <c r="DX269" s="2"/>
      <c r="DY269" s="2"/>
      <c r="DZ269" s="46">
        <f t="shared" si="69"/>
        <v>0</v>
      </c>
      <c r="EA269" s="46">
        <f t="shared" si="70"/>
        <v>0</v>
      </c>
      <c r="EB269" s="46">
        <f t="shared" si="71"/>
        <v>438</v>
      </c>
      <c r="EC269" s="46">
        <f t="shared" si="72"/>
        <v>20</v>
      </c>
      <c r="ED269" s="46">
        <f t="shared" si="73"/>
        <v>0</v>
      </c>
      <c r="EE269" s="46">
        <f t="shared" si="74"/>
        <v>0</v>
      </c>
      <c r="EF269" s="46">
        <f t="shared" si="75"/>
        <v>0</v>
      </c>
      <c r="EG269" s="46">
        <f t="shared" si="76"/>
        <v>16</v>
      </c>
      <c r="EH269" s="46">
        <f t="shared" ref="EH269:EH332" si="79">SUM(CZ269:DJ269)</f>
        <v>2</v>
      </c>
      <c r="EI269" s="46">
        <f t="shared" si="78"/>
        <v>0</v>
      </c>
    </row>
    <row r="270" spans="3:139" ht="12">
      <c r="C270" s="36" t="s">
        <v>456</v>
      </c>
      <c r="D270" s="36" t="s">
        <v>437</v>
      </c>
      <c r="E270" s="36" t="s">
        <v>437</v>
      </c>
      <c r="F270" s="38">
        <f t="shared" si="77"/>
        <v>6177</v>
      </c>
      <c r="G270" s="37" t="s">
        <v>438</v>
      </c>
      <c r="H270" s="47"/>
      <c r="I270" s="48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8"/>
      <c r="U270" s="48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8"/>
      <c r="AG270" s="48">
        <v>300</v>
      </c>
      <c r="AH270" s="49">
        <v>200</v>
      </c>
      <c r="AI270" s="49">
        <v>0</v>
      </c>
      <c r="AJ270" s="49">
        <v>127</v>
      </c>
      <c r="AK270" s="49"/>
      <c r="AL270" s="49">
        <v>0</v>
      </c>
      <c r="AM270" s="49"/>
      <c r="AN270" s="49">
        <v>0</v>
      </c>
      <c r="AO270" s="49">
        <v>6</v>
      </c>
      <c r="AP270" s="49"/>
      <c r="AQ270" s="49">
        <v>320</v>
      </c>
      <c r="AR270" s="49">
        <v>200</v>
      </c>
      <c r="AS270" s="49">
        <v>0</v>
      </c>
      <c r="AT270" s="49"/>
      <c r="AU270" s="49">
        <v>6</v>
      </c>
      <c r="AV270" s="49">
        <v>100</v>
      </c>
      <c r="AW270" s="49"/>
      <c r="AX270" s="49">
        <v>160</v>
      </c>
      <c r="AY270" s="49">
        <v>200</v>
      </c>
      <c r="AZ270" s="49">
        <v>198</v>
      </c>
      <c r="BA270" s="49">
        <v>200</v>
      </c>
      <c r="BB270" s="49">
        <v>200</v>
      </c>
      <c r="BC270" s="49">
        <v>300</v>
      </c>
      <c r="BD270" s="49">
        <v>280</v>
      </c>
      <c r="BE270" s="49">
        <v>200</v>
      </c>
      <c r="BF270" s="49">
        <v>180</v>
      </c>
      <c r="BG270" s="49">
        <v>100</v>
      </c>
      <c r="BH270" s="49">
        <v>620</v>
      </c>
      <c r="BI270" s="49">
        <v>0</v>
      </c>
      <c r="BJ270" s="49">
        <v>280</v>
      </c>
      <c r="BK270" s="49">
        <v>680</v>
      </c>
      <c r="BL270" s="49">
        <v>460</v>
      </c>
      <c r="BM270" s="49">
        <v>860</v>
      </c>
      <c r="BN270" s="49">
        <v>0</v>
      </c>
      <c r="BO270" s="49"/>
      <c r="BP270" s="50">
        <v>0</v>
      </c>
      <c r="BQ270" s="50">
        <v>0</v>
      </c>
      <c r="BR270" s="50"/>
      <c r="BS270" s="50">
        <v>0</v>
      </c>
      <c r="BT270" s="50">
        <v>0</v>
      </c>
      <c r="BU270" s="50">
        <v>0</v>
      </c>
      <c r="BV270" s="50"/>
      <c r="BW270" s="50">
        <v>0</v>
      </c>
      <c r="BX270" s="50"/>
      <c r="BY270" s="50"/>
      <c r="BZ270" s="50"/>
      <c r="CA270" s="50">
        <v>0</v>
      </c>
      <c r="CB270" s="50">
        <v>0</v>
      </c>
      <c r="CC270" s="50">
        <v>0</v>
      </c>
      <c r="CD270" s="50">
        <v>0</v>
      </c>
      <c r="CE270" s="50">
        <v>0</v>
      </c>
      <c r="CF270" s="50">
        <v>0</v>
      </c>
      <c r="CG270" s="50"/>
      <c r="CH270" s="50">
        <v>0</v>
      </c>
      <c r="CI270" s="50">
        <v>0</v>
      </c>
      <c r="CJ270" s="50">
        <v>0</v>
      </c>
      <c r="CK270" s="50">
        <v>0</v>
      </c>
      <c r="CL270" s="50">
        <v>0</v>
      </c>
      <c r="CM270" s="50">
        <v>0</v>
      </c>
      <c r="CN270" s="51">
        <v>0</v>
      </c>
      <c r="CO270" s="51">
        <v>0</v>
      </c>
      <c r="CP270" s="51">
        <v>0</v>
      </c>
      <c r="CQ270" s="51">
        <v>0</v>
      </c>
      <c r="CR270" s="51">
        <v>0</v>
      </c>
      <c r="CS270" s="51">
        <v>0</v>
      </c>
      <c r="CT270" s="51">
        <v>0</v>
      </c>
      <c r="CU270" s="51">
        <v>0</v>
      </c>
      <c r="CV270" s="51">
        <v>0</v>
      </c>
      <c r="CW270" s="51">
        <v>0</v>
      </c>
      <c r="CX270" s="51">
        <v>0</v>
      </c>
      <c r="CY270" s="51">
        <v>0</v>
      </c>
      <c r="CZ270" s="51">
        <v>0</v>
      </c>
      <c r="DA270" s="51">
        <v>0</v>
      </c>
      <c r="DB270" s="51">
        <v>0</v>
      </c>
      <c r="DC270" s="51">
        <v>0</v>
      </c>
      <c r="DD270" s="51">
        <v>0</v>
      </c>
      <c r="DE270" s="51">
        <v>0</v>
      </c>
      <c r="DF270" s="52">
        <v>0</v>
      </c>
      <c r="DG270" s="52">
        <v>0</v>
      </c>
      <c r="DH270" s="52">
        <v>0</v>
      </c>
      <c r="DI270" s="52">
        <v>0</v>
      </c>
      <c r="DJ270" s="52">
        <v>0</v>
      </c>
      <c r="DK270" s="52">
        <v>0</v>
      </c>
      <c r="DL270" s="52">
        <v>0</v>
      </c>
      <c r="DM270" s="52">
        <v>0</v>
      </c>
      <c r="DN270" s="52">
        <v>0</v>
      </c>
      <c r="DO270" s="52">
        <v>0</v>
      </c>
      <c r="DP270" s="52">
        <v>0</v>
      </c>
      <c r="DQ270" s="52">
        <v>0</v>
      </c>
      <c r="DR270" s="52">
        <v>0</v>
      </c>
      <c r="DS270" s="53">
        <v>0</v>
      </c>
      <c r="DT270" s="53">
        <v>0</v>
      </c>
      <c r="DU270" s="53">
        <v>0</v>
      </c>
      <c r="DV270" s="53">
        <v>0</v>
      </c>
      <c r="DW270" s="53">
        <v>0</v>
      </c>
      <c r="DX270" s="2"/>
      <c r="DY270" s="2"/>
      <c r="DZ270" s="46">
        <f t="shared" si="69"/>
        <v>0</v>
      </c>
      <c r="EA270" s="46">
        <f t="shared" si="70"/>
        <v>0</v>
      </c>
      <c r="EB270" s="46">
        <f t="shared" si="71"/>
        <v>953</v>
      </c>
      <c r="EC270" s="46">
        <f t="shared" si="72"/>
        <v>1564</v>
      </c>
      <c r="ED270" s="46">
        <f t="shared" si="73"/>
        <v>3660</v>
      </c>
      <c r="EE270" s="46">
        <f t="shared" si="74"/>
        <v>0</v>
      </c>
      <c r="EF270" s="46">
        <f t="shared" si="75"/>
        <v>0</v>
      </c>
      <c r="EG270" s="46">
        <f t="shared" si="76"/>
        <v>0</v>
      </c>
      <c r="EH270" s="46">
        <f t="shared" si="79"/>
        <v>0</v>
      </c>
      <c r="EI270" s="46">
        <f t="shared" si="78"/>
        <v>0</v>
      </c>
    </row>
    <row r="271" spans="3:139" ht="12">
      <c r="C271" s="36" t="s">
        <v>457</v>
      </c>
      <c r="D271" s="36" t="s">
        <v>437</v>
      </c>
      <c r="E271" s="36" t="s">
        <v>437</v>
      </c>
      <c r="F271" s="38">
        <f t="shared" si="77"/>
        <v>5819</v>
      </c>
      <c r="G271" s="37" t="s">
        <v>438</v>
      </c>
      <c r="H271" s="47"/>
      <c r="I271" s="48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8"/>
      <c r="U271" s="48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8"/>
      <c r="AG271" s="48"/>
      <c r="AH271" s="49"/>
      <c r="AI271" s="49">
        <v>100</v>
      </c>
      <c r="AJ271" s="49">
        <v>688</v>
      </c>
      <c r="AK271" s="49">
        <v>597</v>
      </c>
      <c r="AL271" s="49">
        <v>60</v>
      </c>
      <c r="AM271" s="49">
        <v>300</v>
      </c>
      <c r="AN271" s="49">
        <v>400</v>
      </c>
      <c r="AO271" s="49">
        <v>820</v>
      </c>
      <c r="AP271" s="49">
        <v>775</v>
      </c>
      <c r="AQ271" s="49">
        <v>100</v>
      </c>
      <c r="AR271" s="49">
        <v>400</v>
      </c>
      <c r="AS271" s="49">
        <v>399</v>
      </c>
      <c r="AT271" s="49">
        <v>300</v>
      </c>
      <c r="AU271" s="49">
        <v>0</v>
      </c>
      <c r="AV271" s="49">
        <v>0</v>
      </c>
      <c r="AW271" s="49">
        <v>60</v>
      </c>
      <c r="AX271" s="49">
        <v>140</v>
      </c>
      <c r="AY271" s="49">
        <v>300</v>
      </c>
      <c r="AZ271" s="49">
        <v>198</v>
      </c>
      <c r="BA271" s="49">
        <v>0</v>
      </c>
      <c r="BB271" s="49">
        <v>0</v>
      </c>
      <c r="BC271" s="49">
        <v>100</v>
      </c>
      <c r="BD271" s="49">
        <v>0</v>
      </c>
      <c r="BE271" s="49">
        <v>0</v>
      </c>
      <c r="BF271" s="49"/>
      <c r="BG271" s="49"/>
      <c r="BH271" s="49"/>
      <c r="BI271" s="49">
        <v>0</v>
      </c>
      <c r="BJ271" s="49"/>
      <c r="BK271" s="49"/>
      <c r="BL271" s="49">
        <v>0</v>
      </c>
      <c r="BM271" s="49"/>
      <c r="BN271" s="49">
        <v>0</v>
      </c>
      <c r="BO271" s="49"/>
      <c r="BP271" s="50">
        <v>0</v>
      </c>
      <c r="BQ271" s="50">
        <v>0</v>
      </c>
      <c r="BR271" s="50"/>
      <c r="BS271" s="50">
        <v>0</v>
      </c>
      <c r="BT271" s="50">
        <v>0</v>
      </c>
      <c r="BU271" s="50">
        <v>0</v>
      </c>
      <c r="BV271" s="50"/>
      <c r="BW271" s="50">
        <v>0</v>
      </c>
      <c r="BX271" s="50"/>
      <c r="BY271" s="50"/>
      <c r="BZ271" s="50"/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/>
      <c r="CH271" s="50">
        <v>13</v>
      </c>
      <c r="CI271" s="50">
        <v>0</v>
      </c>
      <c r="CJ271" s="50">
        <v>0</v>
      </c>
      <c r="CK271" s="50">
        <v>0</v>
      </c>
      <c r="CL271" s="50">
        <v>15</v>
      </c>
      <c r="CM271" s="50">
        <v>0</v>
      </c>
      <c r="CN271" s="51">
        <v>0</v>
      </c>
      <c r="CO271" s="51">
        <v>0</v>
      </c>
      <c r="CP271" s="51">
        <v>0</v>
      </c>
      <c r="CQ271" s="51">
        <v>0</v>
      </c>
      <c r="CR271" s="51">
        <v>0</v>
      </c>
      <c r="CS271" s="51">
        <v>0</v>
      </c>
      <c r="CT271" s="51">
        <v>0</v>
      </c>
      <c r="CU271" s="51">
        <v>0</v>
      </c>
      <c r="CV271" s="51">
        <v>0</v>
      </c>
      <c r="CW271" s="51">
        <v>0</v>
      </c>
      <c r="CX271" s="51">
        <v>17</v>
      </c>
      <c r="CY271" s="51">
        <v>0</v>
      </c>
      <c r="CZ271" s="51">
        <v>0</v>
      </c>
      <c r="DA271" s="51">
        <v>0</v>
      </c>
      <c r="DB271" s="51">
        <v>2</v>
      </c>
      <c r="DC271" s="51">
        <v>0</v>
      </c>
      <c r="DD271" s="51">
        <v>13</v>
      </c>
      <c r="DE271" s="51">
        <v>0</v>
      </c>
      <c r="DF271" s="52">
        <v>0</v>
      </c>
      <c r="DG271" s="52">
        <v>0</v>
      </c>
      <c r="DH271" s="52">
        <v>0</v>
      </c>
      <c r="DI271" s="52">
        <v>0</v>
      </c>
      <c r="DJ271" s="52">
        <v>0</v>
      </c>
      <c r="DK271" s="52">
        <v>0</v>
      </c>
      <c r="DL271" s="52">
        <v>0</v>
      </c>
      <c r="DM271" s="52">
        <v>22</v>
      </c>
      <c r="DN271" s="52">
        <v>0</v>
      </c>
      <c r="DO271" s="52">
        <v>0</v>
      </c>
      <c r="DP271" s="52">
        <v>0</v>
      </c>
      <c r="DQ271" s="52">
        <v>0</v>
      </c>
      <c r="DR271" s="52">
        <v>0</v>
      </c>
      <c r="DS271" s="53">
        <v>0</v>
      </c>
      <c r="DT271" s="53">
        <v>0</v>
      </c>
      <c r="DU271" s="53">
        <v>0</v>
      </c>
      <c r="DV271" s="53">
        <v>0</v>
      </c>
      <c r="DW271" s="53">
        <v>0</v>
      </c>
      <c r="DX271" s="2"/>
      <c r="DY271" s="2"/>
      <c r="DZ271" s="46">
        <f t="shared" si="69"/>
        <v>0</v>
      </c>
      <c r="EA271" s="46">
        <f t="shared" si="70"/>
        <v>0</v>
      </c>
      <c r="EB271" s="46">
        <f t="shared" si="71"/>
        <v>3840</v>
      </c>
      <c r="EC271" s="46">
        <f t="shared" si="72"/>
        <v>1897</v>
      </c>
      <c r="ED271" s="46">
        <f t="shared" si="73"/>
        <v>0</v>
      </c>
      <c r="EE271" s="46">
        <f t="shared" si="74"/>
        <v>0</v>
      </c>
      <c r="EF271" s="46">
        <f t="shared" si="75"/>
        <v>28</v>
      </c>
      <c r="EG271" s="46">
        <f t="shared" si="76"/>
        <v>17</v>
      </c>
      <c r="EH271" s="46">
        <f t="shared" si="79"/>
        <v>15</v>
      </c>
      <c r="EI271" s="46">
        <f t="shared" si="78"/>
        <v>22</v>
      </c>
    </row>
    <row r="272" spans="3:139" ht="12">
      <c r="C272" s="36" t="s">
        <v>458</v>
      </c>
      <c r="D272" s="36" t="s">
        <v>437</v>
      </c>
      <c r="E272" s="36" t="s">
        <v>437</v>
      </c>
      <c r="F272" s="38">
        <f t="shared" si="77"/>
        <v>50225</v>
      </c>
      <c r="G272" s="37" t="s">
        <v>438</v>
      </c>
      <c r="H272" s="47"/>
      <c r="I272" s="48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8"/>
      <c r="U272" s="48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8"/>
      <c r="AG272" s="48"/>
      <c r="AH272" s="49"/>
      <c r="AI272" s="49">
        <v>1604</v>
      </c>
      <c r="AJ272" s="49">
        <v>5038</v>
      </c>
      <c r="AK272" s="49">
        <v>7203</v>
      </c>
      <c r="AL272" s="49">
        <v>5522</v>
      </c>
      <c r="AM272" s="49">
        <v>4700</v>
      </c>
      <c r="AN272" s="49">
        <v>4195</v>
      </c>
      <c r="AO272" s="49">
        <v>8100</v>
      </c>
      <c r="AP272" s="49">
        <v>5683</v>
      </c>
      <c r="AQ272" s="49">
        <v>2380</v>
      </c>
      <c r="AR272" s="49">
        <v>4400</v>
      </c>
      <c r="AS272" s="49">
        <v>440</v>
      </c>
      <c r="AT272" s="49">
        <v>20</v>
      </c>
      <c r="AU272" s="49">
        <v>100</v>
      </c>
      <c r="AV272" s="49">
        <v>0</v>
      </c>
      <c r="AW272" s="49"/>
      <c r="AX272" s="49">
        <v>0</v>
      </c>
      <c r="AY272" s="49">
        <v>100</v>
      </c>
      <c r="AZ272" s="49">
        <v>0</v>
      </c>
      <c r="BA272" s="49">
        <v>0</v>
      </c>
      <c r="BB272" s="49">
        <v>0</v>
      </c>
      <c r="BC272" s="49">
        <v>0</v>
      </c>
      <c r="BD272" s="49">
        <v>100</v>
      </c>
      <c r="BE272" s="49">
        <v>0</v>
      </c>
      <c r="BF272" s="49"/>
      <c r="BG272" s="49"/>
      <c r="BH272" s="49">
        <v>60</v>
      </c>
      <c r="BI272" s="49">
        <v>39</v>
      </c>
      <c r="BJ272" s="49"/>
      <c r="BK272" s="49"/>
      <c r="BL272" s="49">
        <v>0</v>
      </c>
      <c r="BM272" s="49">
        <v>64</v>
      </c>
      <c r="BN272" s="49">
        <v>0</v>
      </c>
      <c r="BO272" s="49"/>
      <c r="BP272" s="50">
        <v>0</v>
      </c>
      <c r="BQ272" s="50">
        <v>0</v>
      </c>
      <c r="BR272" s="50"/>
      <c r="BS272" s="50">
        <v>0</v>
      </c>
      <c r="BT272" s="50">
        <v>0</v>
      </c>
      <c r="BU272" s="50">
        <v>0</v>
      </c>
      <c r="BV272" s="50"/>
      <c r="BW272" s="50">
        <v>0</v>
      </c>
      <c r="BX272" s="50"/>
      <c r="BY272" s="50"/>
      <c r="BZ272" s="50"/>
      <c r="CA272" s="50">
        <v>0</v>
      </c>
      <c r="CB272" s="50">
        <v>0</v>
      </c>
      <c r="CC272" s="50">
        <v>23</v>
      </c>
      <c r="CD272" s="50">
        <v>0</v>
      </c>
      <c r="CE272" s="50">
        <v>39</v>
      </c>
      <c r="CF272" s="50">
        <v>14</v>
      </c>
      <c r="CG272" s="50"/>
      <c r="CH272" s="50">
        <v>51</v>
      </c>
      <c r="CI272" s="50">
        <v>0</v>
      </c>
      <c r="CJ272" s="50">
        <v>0</v>
      </c>
      <c r="CK272" s="50">
        <v>35</v>
      </c>
      <c r="CL272" s="50">
        <v>25</v>
      </c>
      <c r="CM272" s="50">
        <v>7</v>
      </c>
      <c r="CN272" s="51">
        <v>10</v>
      </c>
      <c r="CO272" s="51">
        <v>0</v>
      </c>
      <c r="CP272" s="51">
        <v>20</v>
      </c>
      <c r="CQ272" s="51">
        <v>0</v>
      </c>
      <c r="CR272" s="51">
        <v>39</v>
      </c>
      <c r="CS272" s="51">
        <v>0</v>
      </c>
      <c r="CT272" s="51">
        <v>0</v>
      </c>
      <c r="CU272" s="51">
        <v>0</v>
      </c>
      <c r="CV272" s="51">
        <v>0</v>
      </c>
      <c r="CW272" s="51">
        <v>0</v>
      </c>
      <c r="CX272" s="51">
        <v>15</v>
      </c>
      <c r="CY272" s="51">
        <v>0</v>
      </c>
      <c r="CZ272" s="51">
        <v>0</v>
      </c>
      <c r="DA272" s="51">
        <v>60</v>
      </c>
      <c r="DB272" s="51">
        <v>0</v>
      </c>
      <c r="DC272" s="51">
        <v>0</v>
      </c>
      <c r="DD272" s="51">
        <v>50</v>
      </c>
      <c r="DE272" s="51">
        <v>47</v>
      </c>
      <c r="DF272" s="52">
        <v>0</v>
      </c>
      <c r="DG272" s="52">
        <v>0</v>
      </c>
      <c r="DH272" s="52">
        <v>0</v>
      </c>
      <c r="DI272" s="52">
        <v>0</v>
      </c>
      <c r="DJ272" s="52">
        <v>0</v>
      </c>
      <c r="DK272" s="52">
        <v>0</v>
      </c>
      <c r="DL272" s="52">
        <v>0</v>
      </c>
      <c r="DM272" s="52">
        <v>42</v>
      </c>
      <c r="DN272" s="52">
        <v>0</v>
      </c>
      <c r="DO272" s="52">
        <v>0</v>
      </c>
      <c r="DP272" s="52">
        <v>0</v>
      </c>
      <c r="DQ272" s="52">
        <v>0</v>
      </c>
      <c r="DR272" s="52">
        <v>0</v>
      </c>
      <c r="DS272" s="53">
        <v>0</v>
      </c>
      <c r="DT272" s="53">
        <v>0</v>
      </c>
      <c r="DU272" s="53">
        <v>0</v>
      </c>
      <c r="DV272" s="53">
        <v>0</v>
      </c>
      <c r="DW272" s="53">
        <v>0</v>
      </c>
      <c r="DX272" s="2"/>
      <c r="DY272" s="2"/>
      <c r="DZ272" s="46">
        <f t="shared" si="69"/>
        <v>0</v>
      </c>
      <c r="EA272" s="46">
        <f t="shared" si="70"/>
        <v>0</v>
      </c>
      <c r="EB272" s="46">
        <f t="shared" si="71"/>
        <v>44425</v>
      </c>
      <c r="EC272" s="46">
        <f t="shared" si="72"/>
        <v>5060</v>
      </c>
      <c r="ED272" s="46">
        <f t="shared" si="73"/>
        <v>263</v>
      </c>
      <c r="EE272" s="46">
        <f t="shared" si="74"/>
        <v>0</v>
      </c>
      <c r="EF272" s="46">
        <f t="shared" si="75"/>
        <v>194</v>
      </c>
      <c r="EG272" s="46">
        <f t="shared" si="76"/>
        <v>84</v>
      </c>
      <c r="EH272" s="46">
        <f t="shared" si="79"/>
        <v>157</v>
      </c>
      <c r="EI272" s="46">
        <f t="shared" si="78"/>
        <v>42</v>
      </c>
    </row>
    <row r="273" spans="3:139" ht="12">
      <c r="C273" s="36" t="s">
        <v>459</v>
      </c>
      <c r="D273" s="36" t="s">
        <v>437</v>
      </c>
      <c r="E273" s="36" t="s">
        <v>437</v>
      </c>
      <c r="F273" s="38">
        <f t="shared" si="77"/>
        <v>42</v>
      </c>
      <c r="G273" s="37" t="s">
        <v>438</v>
      </c>
      <c r="H273" s="47"/>
      <c r="I273" s="48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8"/>
      <c r="U273" s="48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8"/>
      <c r="AG273" s="48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>
        <v>0</v>
      </c>
      <c r="AT273" s="49">
        <v>19</v>
      </c>
      <c r="AU273" s="49">
        <v>0</v>
      </c>
      <c r="AV273" s="49">
        <v>0</v>
      </c>
      <c r="AW273" s="49"/>
      <c r="AX273" s="49">
        <v>0</v>
      </c>
      <c r="AY273" s="49"/>
      <c r="AZ273" s="49">
        <v>0</v>
      </c>
      <c r="BA273" s="49">
        <v>0</v>
      </c>
      <c r="BB273" s="49">
        <v>0</v>
      </c>
      <c r="BC273" s="49">
        <v>0</v>
      </c>
      <c r="BD273" s="49">
        <v>0</v>
      </c>
      <c r="BE273" s="49">
        <v>0</v>
      </c>
      <c r="BF273" s="49"/>
      <c r="BG273" s="49"/>
      <c r="BH273" s="49"/>
      <c r="BI273" s="49">
        <v>0</v>
      </c>
      <c r="BJ273" s="49">
        <v>8</v>
      </c>
      <c r="BK273" s="49"/>
      <c r="BL273" s="49">
        <v>0</v>
      </c>
      <c r="BM273" s="49"/>
      <c r="BN273" s="49">
        <v>0</v>
      </c>
      <c r="BO273" s="49"/>
      <c r="BP273" s="50">
        <v>0</v>
      </c>
      <c r="BQ273" s="50">
        <v>0</v>
      </c>
      <c r="BR273" s="50"/>
      <c r="BS273" s="50">
        <v>0</v>
      </c>
      <c r="BT273" s="50">
        <v>0</v>
      </c>
      <c r="BU273" s="50">
        <v>0</v>
      </c>
      <c r="BV273" s="50"/>
      <c r="BW273" s="50">
        <v>0</v>
      </c>
      <c r="BX273" s="50"/>
      <c r="BY273" s="50"/>
      <c r="BZ273" s="50"/>
      <c r="CA273" s="50">
        <v>0</v>
      </c>
      <c r="CB273" s="50">
        <v>0</v>
      </c>
      <c r="CC273" s="50">
        <v>0</v>
      </c>
      <c r="CD273" s="50">
        <v>0</v>
      </c>
      <c r="CE273" s="50">
        <v>5</v>
      </c>
      <c r="CF273" s="50">
        <v>0</v>
      </c>
      <c r="CG273" s="50"/>
      <c r="CH273" s="50">
        <v>0</v>
      </c>
      <c r="CI273" s="50">
        <v>0</v>
      </c>
      <c r="CJ273" s="50">
        <v>0</v>
      </c>
      <c r="CK273" s="50">
        <v>0</v>
      </c>
      <c r="CL273" s="50">
        <v>0</v>
      </c>
      <c r="CM273" s="50">
        <v>0</v>
      </c>
      <c r="CN273" s="51">
        <v>0</v>
      </c>
      <c r="CO273" s="51">
        <v>0</v>
      </c>
      <c r="CP273" s="51">
        <v>0</v>
      </c>
      <c r="CQ273" s="51">
        <v>0</v>
      </c>
      <c r="CR273" s="51">
        <v>0</v>
      </c>
      <c r="CS273" s="51">
        <v>0</v>
      </c>
      <c r="CT273" s="51">
        <v>0</v>
      </c>
      <c r="CU273" s="51">
        <v>0</v>
      </c>
      <c r="CV273" s="51">
        <v>0</v>
      </c>
      <c r="CW273" s="51">
        <v>0</v>
      </c>
      <c r="CX273" s="51">
        <v>8</v>
      </c>
      <c r="CY273" s="51">
        <v>0</v>
      </c>
      <c r="CZ273" s="51">
        <v>0</v>
      </c>
      <c r="DA273" s="51">
        <v>0</v>
      </c>
      <c r="DB273" s="51">
        <v>2</v>
      </c>
      <c r="DC273" s="51">
        <v>0</v>
      </c>
      <c r="DD273" s="51">
        <v>0</v>
      </c>
      <c r="DE273" s="51">
        <v>0</v>
      </c>
      <c r="DF273" s="52">
        <v>0</v>
      </c>
      <c r="DG273" s="52">
        <v>0</v>
      </c>
      <c r="DH273" s="52">
        <v>0</v>
      </c>
      <c r="DI273" s="52">
        <v>0</v>
      </c>
      <c r="DJ273" s="52">
        <v>0</v>
      </c>
      <c r="DK273" s="52">
        <v>0</v>
      </c>
      <c r="DL273" s="52">
        <v>0</v>
      </c>
      <c r="DM273" s="52">
        <v>0</v>
      </c>
      <c r="DN273" s="52">
        <v>0</v>
      </c>
      <c r="DO273" s="52">
        <v>0</v>
      </c>
      <c r="DP273" s="52">
        <v>0</v>
      </c>
      <c r="DQ273" s="52">
        <v>0</v>
      </c>
      <c r="DR273" s="52">
        <v>0</v>
      </c>
      <c r="DS273" s="53">
        <v>0</v>
      </c>
      <c r="DT273" s="53">
        <v>0</v>
      </c>
      <c r="DU273" s="53">
        <v>0</v>
      </c>
      <c r="DV273" s="53">
        <v>0</v>
      </c>
      <c r="DW273" s="53">
        <v>0</v>
      </c>
      <c r="DX273" s="2"/>
      <c r="DY273" s="2"/>
      <c r="DZ273" s="46">
        <f t="shared" si="69"/>
        <v>0</v>
      </c>
      <c r="EA273" s="46">
        <f t="shared" si="70"/>
        <v>0</v>
      </c>
      <c r="EB273" s="46">
        <f t="shared" si="71"/>
        <v>0</v>
      </c>
      <c r="EC273" s="46">
        <f t="shared" si="72"/>
        <v>19</v>
      </c>
      <c r="ED273" s="46">
        <f t="shared" si="73"/>
        <v>8</v>
      </c>
      <c r="EE273" s="46">
        <f t="shared" si="74"/>
        <v>0</v>
      </c>
      <c r="EF273" s="46">
        <f t="shared" si="75"/>
        <v>5</v>
      </c>
      <c r="EG273" s="46">
        <f t="shared" si="76"/>
        <v>8</v>
      </c>
      <c r="EH273" s="46">
        <f t="shared" si="79"/>
        <v>2</v>
      </c>
      <c r="EI273" s="46">
        <f t="shared" si="78"/>
        <v>0</v>
      </c>
    </row>
    <row r="274" spans="3:139" ht="12">
      <c r="C274" s="36" t="s">
        <v>460</v>
      </c>
      <c r="D274" s="36" t="s">
        <v>437</v>
      </c>
      <c r="E274" s="36" t="s">
        <v>437</v>
      </c>
      <c r="F274" s="38">
        <f t="shared" si="77"/>
        <v>21251</v>
      </c>
      <c r="G274" s="37" t="s">
        <v>438</v>
      </c>
      <c r="H274" s="47"/>
      <c r="I274" s="48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8"/>
      <c r="U274" s="48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8"/>
      <c r="AG274" s="48"/>
      <c r="AH274" s="49"/>
      <c r="AI274" s="49">
        <v>962</v>
      </c>
      <c r="AJ274" s="49">
        <v>5108</v>
      </c>
      <c r="AK274" s="49">
        <v>2333</v>
      </c>
      <c r="AL274" s="49">
        <v>660</v>
      </c>
      <c r="AM274" s="49">
        <v>2100</v>
      </c>
      <c r="AN274" s="49">
        <v>3399</v>
      </c>
      <c r="AO274" s="49">
        <v>1000</v>
      </c>
      <c r="AP274" s="49">
        <v>2206</v>
      </c>
      <c r="AQ274" s="49"/>
      <c r="AR274" s="49">
        <v>2400</v>
      </c>
      <c r="AS274" s="49">
        <v>175</v>
      </c>
      <c r="AT274" s="49">
        <v>500</v>
      </c>
      <c r="AU274" s="49">
        <v>0</v>
      </c>
      <c r="AV274" s="49">
        <v>0</v>
      </c>
      <c r="AW274" s="49"/>
      <c r="AX274" s="49">
        <v>0</v>
      </c>
      <c r="AY274" s="49">
        <v>100</v>
      </c>
      <c r="AZ274" s="49">
        <v>0</v>
      </c>
      <c r="BA274" s="49">
        <v>0</v>
      </c>
      <c r="BB274" s="49">
        <v>0</v>
      </c>
      <c r="BC274" s="49">
        <v>0</v>
      </c>
      <c r="BD274" s="49">
        <v>0</v>
      </c>
      <c r="BE274" s="49">
        <v>0</v>
      </c>
      <c r="BF274" s="49"/>
      <c r="BG274" s="49"/>
      <c r="BH274" s="49"/>
      <c r="BI274" s="49">
        <v>0</v>
      </c>
      <c r="BJ274" s="49"/>
      <c r="BK274" s="49"/>
      <c r="BL274" s="49">
        <v>0</v>
      </c>
      <c r="BM274" s="49"/>
      <c r="BN274" s="49">
        <v>0</v>
      </c>
      <c r="BO274" s="49"/>
      <c r="BP274" s="50">
        <v>0</v>
      </c>
      <c r="BQ274" s="50">
        <v>19</v>
      </c>
      <c r="BR274" s="50"/>
      <c r="BS274" s="50">
        <v>0</v>
      </c>
      <c r="BT274" s="50">
        <v>0</v>
      </c>
      <c r="BU274" s="50">
        <v>0</v>
      </c>
      <c r="BV274" s="50"/>
      <c r="BW274" s="50">
        <v>0</v>
      </c>
      <c r="BX274" s="50"/>
      <c r="BY274" s="50"/>
      <c r="BZ274" s="50"/>
      <c r="CA274" s="50">
        <v>0</v>
      </c>
      <c r="CB274" s="50">
        <v>20</v>
      </c>
      <c r="CC274" s="50">
        <v>18</v>
      </c>
      <c r="CD274" s="50">
        <v>0</v>
      </c>
      <c r="CE274" s="50">
        <v>8</v>
      </c>
      <c r="CF274" s="50">
        <v>0</v>
      </c>
      <c r="CG274" s="50"/>
      <c r="CH274" s="50">
        <v>24</v>
      </c>
      <c r="CI274" s="50">
        <v>0</v>
      </c>
      <c r="CJ274" s="50">
        <v>0</v>
      </c>
      <c r="CK274" s="50">
        <v>15</v>
      </c>
      <c r="CL274" s="50">
        <v>48</v>
      </c>
      <c r="CM274" s="50">
        <v>0</v>
      </c>
      <c r="CN274" s="51">
        <v>0</v>
      </c>
      <c r="CO274" s="51">
        <v>0</v>
      </c>
      <c r="CP274" s="51">
        <v>0</v>
      </c>
      <c r="CQ274" s="51">
        <v>0</v>
      </c>
      <c r="CR274" s="51">
        <v>0</v>
      </c>
      <c r="CS274" s="51">
        <v>0</v>
      </c>
      <c r="CT274" s="51">
        <v>34</v>
      </c>
      <c r="CU274" s="51">
        <v>0</v>
      </c>
      <c r="CV274" s="51">
        <v>0</v>
      </c>
      <c r="CW274" s="51">
        <v>0</v>
      </c>
      <c r="CX274" s="51">
        <v>20</v>
      </c>
      <c r="CY274" s="51">
        <v>0</v>
      </c>
      <c r="CZ274" s="51">
        <v>0</v>
      </c>
      <c r="DA274" s="51">
        <v>25</v>
      </c>
      <c r="DB274" s="51">
        <v>0</v>
      </c>
      <c r="DC274" s="51">
        <v>0</v>
      </c>
      <c r="DD274" s="51">
        <v>19</v>
      </c>
      <c r="DE274" s="51">
        <v>10</v>
      </c>
      <c r="DF274" s="52">
        <v>0</v>
      </c>
      <c r="DG274" s="52">
        <v>0</v>
      </c>
      <c r="DH274" s="52">
        <v>0</v>
      </c>
      <c r="DI274" s="52">
        <v>0</v>
      </c>
      <c r="DJ274" s="52">
        <v>0</v>
      </c>
      <c r="DK274" s="52">
        <v>0</v>
      </c>
      <c r="DL274" s="52">
        <v>0</v>
      </c>
      <c r="DM274" s="52">
        <v>48</v>
      </c>
      <c r="DN274" s="52">
        <v>0</v>
      </c>
      <c r="DO274" s="52">
        <v>0</v>
      </c>
      <c r="DP274" s="52">
        <v>0</v>
      </c>
      <c r="DQ274" s="52">
        <v>0</v>
      </c>
      <c r="DR274" s="52">
        <v>0</v>
      </c>
      <c r="DS274" s="53">
        <v>0</v>
      </c>
      <c r="DT274" s="53">
        <v>0</v>
      </c>
      <c r="DU274" s="53">
        <v>0</v>
      </c>
      <c r="DV274" s="53">
        <v>0</v>
      </c>
      <c r="DW274" s="53">
        <v>0</v>
      </c>
      <c r="DX274" s="2"/>
      <c r="DY274" s="2"/>
      <c r="DZ274" s="46">
        <f t="shared" si="69"/>
        <v>0</v>
      </c>
      <c r="EA274" s="46">
        <f t="shared" si="70"/>
        <v>0</v>
      </c>
      <c r="EB274" s="46">
        <f t="shared" si="71"/>
        <v>17768</v>
      </c>
      <c r="EC274" s="46">
        <f t="shared" si="72"/>
        <v>3175</v>
      </c>
      <c r="ED274" s="46">
        <f t="shared" si="73"/>
        <v>0</v>
      </c>
      <c r="EE274" s="46">
        <f t="shared" si="74"/>
        <v>19</v>
      </c>
      <c r="EF274" s="46">
        <f t="shared" si="75"/>
        <v>133</v>
      </c>
      <c r="EG274" s="46">
        <f t="shared" si="76"/>
        <v>54</v>
      </c>
      <c r="EH274" s="46">
        <f t="shared" si="79"/>
        <v>54</v>
      </c>
      <c r="EI274" s="46">
        <f t="shared" si="78"/>
        <v>48</v>
      </c>
    </row>
    <row r="275" spans="3:139" ht="12">
      <c r="C275" s="36" t="s">
        <v>461</v>
      </c>
      <c r="D275" s="36" t="s">
        <v>437</v>
      </c>
      <c r="E275" s="36" t="s">
        <v>437</v>
      </c>
      <c r="F275" s="38">
        <f t="shared" si="77"/>
        <v>7738</v>
      </c>
      <c r="G275" s="37" t="s">
        <v>438</v>
      </c>
      <c r="H275" s="47"/>
      <c r="I275" s="48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8"/>
      <c r="U275" s="48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8"/>
      <c r="AG275" s="48"/>
      <c r="AH275" s="49"/>
      <c r="AI275" s="49">
        <v>380</v>
      </c>
      <c r="AJ275" s="49">
        <v>1496</v>
      </c>
      <c r="AK275" s="49">
        <v>1595</v>
      </c>
      <c r="AL275" s="49">
        <v>561</v>
      </c>
      <c r="AM275" s="49">
        <v>400</v>
      </c>
      <c r="AN275" s="49">
        <v>400</v>
      </c>
      <c r="AO275" s="49">
        <v>1000</v>
      </c>
      <c r="AP275" s="49">
        <v>300</v>
      </c>
      <c r="AQ275" s="49">
        <v>200</v>
      </c>
      <c r="AR275" s="49">
        <v>300</v>
      </c>
      <c r="AS275" s="49">
        <v>100</v>
      </c>
      <c r="AT275" s="49">
        <v>800</v>
      </c>
      <c r="AU275" s="49">
        <v>3</v>
      </c>
      <c r="AV275" s="49">
        <v>0</v>
      </c>
      <c r="AW275" s="49"/>
      <c r="AX275" s="49">
        <v>0</v>
      </c>
      <c r="AY275" s="49"/>
      <c r="AZ275" s="49">
        <v>0</v>
      </c>
      <c r="BA275" s="49">
        <v>0</v>
      </c>
      <c r="BB275" s="49">
        <v>0</v>
      </c>
      <c r="BC275" s="49">
        <v>0</v>
      </c>
      <c r="BD275" s="49">
        <v>0</v>
      </c>
      <c r="BE275" s="49">
        <v>0</v>
      </c>
      <c r="BF275" s="49"/>
      <c r="BG275" s="49"/>
      <c r="BH275" s="49"/>
      <c r="BI275" s="49">
        <v>0</v>
      </c>
      <c r="BJ275" s="49"/>
      <c r="BK275" s="49"/>
      <c r="BL275" s="49">
        <v>0</v>
      </c>
      <c r="BM275" s="49"/>
      <c r="BN275" s="49">
        <v>0</v>
      </c>
      <c r="BO275" s="49"/>
      <c r="BP275" s="50">
        <v>0</v>
      </c>
      <c r="BQ275" s="50">
        <v>0</v>
      </c>
      <c r="BR275" s="50"/>
      <c r="BS275" s="50">
        <v>0</v>
      </c>
      <c r="BT275" s="50">
        <v>0</v>
      </c>
      <c r="BU275" s="50">
        <v>0</v>
      </c>
      <c r="BV275" s="50"/>
      <c r="BW275" s="50">
        <v>0</v>
      </c>
      <c r="BX275" s="50"/>
      <c r="BY275" s="50"/>
      <c r="BZ275" s="50"/>
      <c r="CA275" s="50">
        <v>0</v>
      </c>
      <c r="CB275" s="50">
        <v>0</v>
      </c>
      <c r="CC275" s="50">
        <v>0</v>
      </c>
      <c r="CD275" s="50">
        <v>0</v>
      </c>
      <c r="CE275" s="50">
        <v>0</v>
      </c>
      <c r="CF275" s="50">
        <v>0</v>
      </c>
      <c r="CG275" s="50"/>
      <c r="CH275" s="50">
        <v>0</v>
      </c>
      <c r="CI275" s="50">
        <v>0</v>
      </c>
      <c r="CJ275" s="50">
        <v>0</v>
      </c>
      <c r="CK275" s="50">
        <v>0</v>
      </c>
      <c r="CL275" s="50">
        <v>29</v>
      </c>
      <c r="CM275" s="50">
        <v>0</v>
      </c>
      <c r="CN275" s="51">
        <v>0</v>
      </c>
      <c r="CO275" s="51">
        <v>0</v>
      </c>
      <c r="CP275" s="51">
        <v>0</v>
      </c>
      <c r="CQ275" s="51">
        <v>0</v>
      </c>
      <c r="CR275" s="51">
        <v>0</v>
      </c>
      <c r="CS275" s="51">
        <v>0</v>
      </c>
      <c r="CT275" s="51">
        <v>20</v>
      </c>
      <c r="CU275" s="51">
        <v>0</v>
      </c>
      <c r="CV275" s="51">
        <v>0</v>
      </c>
      <c r="CW275" s="51">
        <v>0</v>
      </c>
      <c r="CX275" s="51">
        <v>58</v>
      </c>
      <c r="CY275" s="51">
        <v>0</v>
      </c>
      <c r="CZ275" s="51">
        <v>0</v>
      </c>
      <c r="DA275" s="51">
        <v>0</v>
      </c>
      <c r="DB275" s="51">
        <v>2</v>
      </c>
      <c r="DC275" s="51">
        <v>0</v>
      </c>
      <c r="DD275" s="51">
        <v>0</v>
      </c>
      <c r="DE275" s="51">
        <v>81</v>
      </c>
      <c r="DF275" s="52">
        <v>13</v>
      </c>
      <c r="DG275" s="52">
        <v>0</v>
      </c>
      <c r="DH275" s="52">
        <v>0</v>
      </c>
      <c r="DI275" s="52">
        <v>0</v>
      </c>
      <c r="DJ275" s="52">
        <v>0</v>
      </c>
      <c r="DK275" s="52">
        <v>0</v>
      </c>
      <c r="DL275" s="52">
        <v>0</v>
      </c>
      <c r="DM275" s="52">
        <v>0</v>
      </c>
      <c r="DN275" s="52">
        <v>0</v>
      </c>
      <c r="DO275" s="52">
        <v>0</v>
      </c>
      <c r="DP275" s="52">
        <v>0</v>
      </c>
      <c r="DQ275" s="52">
        <v>0</v>
      </c>
      <c r="DR275" s="52">
        <v>0</v>
      </c>
      <c r="DS275" s="53">
        <v>0</v>
      </c>
      <c r="DT275" s="53">
        <v>0</v>
      </c>
      <c r="DU275" s="53">
        <v>0</v>
      </c>
      <c r="DV275" s="53">
        <v>0</v>
      </c>
      <c r="DW275" s="53">
        <v>0</v>
      </c>
      <c r="DX275" s="2"/>
      <c r="DY275" s="2"/>
      <c r="DZ275" s="46">
        <f t="shared" si="69"/>
        <v>0</v>
      </c>
      <c r="EA275" s="46">
        <f t="shared" si="70"/>
        <v>0</v>
      </c>
      <c r="EB275" s="46">
        <f t="shared" si="71"/>
        <v>6332</v>
      </c>
      <c r="EC275" s="46">
        <f t="shared" si="72"/>
        <v>1203</v>
      </c>
      <c r="ED275" s="46">
        <f t="shared" si="73"/>
        <v>0</v>
      </c>
      <c r="EE275" s="46">
        <f t="shared" si="74"/>
        <v>0</v>
      </c>
      <c r="EF275" s="46">
        <f t="shared" si="75"/>
        <v>29</v>
      </c>
      <c r="EG275" s="46">
        <f t="shared" si="76"/>
        <v>78</v>
      </c>
      <c r="EH275" s="46">
        <f t="shared" si="79"/>
        <v>96</v>
      </c>
      <c r="EI275" s="46">
        <f t="shared" si="78"/>
        <v>0</v>
      </c>
    </row>
    <row r="276" spans="3:139" ht="12">
      <c r="C276" s="36" t="s">
        <v>462</v>
      </c>
      <c r="D276" s="36" t="s">
        <v>437</v>
      </c>
      <c r="E276" s="36" t="s">
        <v>437</v>
      </c>
      <c r="F276" s="38">
        <f t="shared" si="77"/>
        <v>3749</v>
      </c>
      <c r="G276" s="37" t="s">
        <v>438</v>
      </c>
      <c r="H276" s="47"/>
      <c r="I276" s="48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8"/>
      <c r="U276" s="48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8"/>
      <c r="AG276" s="48"/>
      <c r="AH276" s="49"/>
      <c r="AI276" s="49">
        <v>199</v>
      </c>
      <c r="AJ276" s="49">
        <v>497</v>
      </c>
      <c r="AK276" s="49">
        <v>700</v>
      </c>
      <c r="AL276" s="49">
        <v>540</v>
      </c>
      <c r="AM276" s="49">
        <v>360</v>
      </c>
      <c r="AN276" s="49">
        <v>99</v>
      </c>
      <c r="AO276" s="49">
        <v>700</v>
      </c>
      <c r="AP276" s="49">
        <v>300</v>
      </c>
      <c r="AQ276" s="49">
        <v>100</v>
      </c>
      <c r="AR276" s="49">
        <v>200</v>
      </c>
      <c r="AS276" s="49">
        <v>0</v>
      </c>
      <c r="AT276" s="49"/>
      <c r="AU276" s="49">
        <v>0</v>
      </c>
      <c r="AV276" s="49">
        <v>0</v>
      </c>
      <c r="AW276" s="49"/>
      <c r="AX276" s="49">
        <v>0</v>
      </c>
      <c r="AY276" s="49"/>
      <c r="AZ276" s="49">
        <v>0</v>
      </c>
      <c r="BA276" s="49">
        <v>0</v>
      </c>
      <c r="BB276" s="49">
        <v>0</v>
      </c>
      <c r="BC276" s="49">
        <v>0</v>
      </c>
      <c r="BD276" s="49">
        <v>0</v>
      </c>
      <c r="BE276" s="49">
        <v>0</v>
      </c>
      <c r="BF276" s="49"/>
      <c r="BG276" s="49"/>
      <c r="BH276" s="49">
        <v>20</v>
      </c>
      <c r="BI276" s="49">
        <v>0</v>
      </c>
      <c r="BJ276" s="49"/>
      <c r="BK276" s="49"/>
      <c r="BL276" s="49">
        <v>0</v>
      </c>
      <c r="BM276" s="49"/>
      <c r="BN276" s="49">
        <v>0</v>
      </c>
      <c r="BO276" s="49"/>
      <c r="BP276" s="50">
        <v>0</v>
      </c>
      <c r="BQ276" s="50">
        <v>0</v>
      </c>
      <c r="BR276" s="50"/>
      <c r="BS276" s="50">
        <v>0</v>
      </c>
      <c r="BT276" s="50">
        <v>0</v>
      </c>
      <c r="BU276" s="50">
        <v>0</v>
      </c>
      <c r="BV276" s="50"/>
      <c r="BW276" s="50">
        <v>0</v>
      </c>
      <c r="BX276" s="50"/>
      <c r="BY276" s="50"/>
      <c r="BZ276" s="50"/>
      <c r="CA276" s="50">
        <v>0</v>
      </c>
      <c r="CB276" s="50">
        <v>0</v>
      </c>
      <c r="CC276" s="50">
        <v>0</v>
      </c>
      <c r="CD276" s="50">
        <v>0</v>
      </c>
      <c r="CE276" s="50">
        <v>0</v>
      </c>
      <c r="CF276" s="50">
        <v>0</v>
      </c>
      <c r="CG276" s="50"/>
      <c r="CH276" s="50">
        <v>0</v>
      </c>
      <c r="CI276" s="50">
        <v>0</v>
      </c>
      <c r="CJ276" s="50">
        <v>0</v>
      </c>
      <c r="CK276" s="50">
        <v>0</v>
      </c>
      <c r="CL276" s="50">
        <v>0</v>
      </c>
      <c r="CM276" s="50">
        <v>0</v>
      </c>
      <c r="CN276" s="51">
        <v>0</v>
      </c>
      <c r="CO276" s="51">
        <v>0</v>
      </c>
      <c r="CP276" s="51">
        <v>0</v>
      </c>
      <c r="CQ276" s="51">
        <v>0</v>
      </c>
      <c r="CR276" s="51">
        <v>0</v>
      </c>
      <c r="CS276" s="51">
        <v>0</v>
      </c>
      <c r="CT276" s="51">
        <v>0</v>
      </c>
      <c r="CU276" s="51">
        <v>0</v>
      </c>
      <c r="CV276" s="51">
        <v>0</v>
      </c>
      <c r="CW276" s="51">
        <v>0</v>
      </c>
      <c r="CX276" s="51">
        <v>0</v>
      </c>
      <c r="CY276" s="51">
        <v>0</v>
      </c>
      <c r="CZ276" s="51">
        <v>0</v>
      </c>
      <c r="DA276" s="51">
        <v>9</v>
      </c>
      <c r="DB276" s="51">
        <v>0</v>
      </c>
      <c r="DC276" s="51">
        <v>0</v>
      </c>
      <c r="DD276" s="51">
        <v>0</v>
      </c>
      <c r="DE276" s="51">
        <v>0</v>
      </c>
      <c r="DF276" s="52">
        <v>0</v>
      </c>
      <c r="DG276" s="52">
        <v>0</v>
      </c>
      <c r="DH276" s="52">
        <v>0</v>
      </c>
      <c r="DI276" s="52">
        <v>0</v>
      </c>
      <c r="DJ276" s="52">
        <v>0</v>
      </c>
      <c r="DK276" s="52">
        <v>0</v>
      </c>
      <c r="DL276" s="52">
        <v>0</v>
      </c>
      <c r="DM276" s="52">
        <v>25</v>
      </c>
      <c r="DN276" s="52">
        <v>0</v>
      </c>
      <c r="DO276" s="52">
        <v>0</v>
      </c>
      <c r="DP276" s="52">
        <v>0</v>
      </c>
      <c r="DQ276" s="52">
        <v>0</v>
      </c>
      <c r="DR276" s="52">
        <v>0</v>
      </c>
      <c r="DS276" s="53">
        <v>0</v>
      </c>
      <c r="DT276" s="53">
        <v>0</v>
      </c>
      <c r="DU276" s="53">
        <v>0</v>
      </c>
      <c r="DV276" s="53">
        <v>0</v>
      </c>
      <c r="DW276" s="53">
        <v>0</v>
      </c>
      <c r="DX276" s="2"/>
      <c r="DY276" s="2"/>
      <c r="DZ276" s="46">
        <f t="shared" si="69"/>
        <v>0</v>
      </c>
      <c r="EA276" s="46">
        <f t="shared" si="70"/>
        <v>0</v>
      </c>
      <c r="EB276" s="46">
        <f t="shared" si="71"/>
        <v>3495</v>
      </c>
      <c r="EC276" s="46">
        <f t="shared" si="72"/>
        <v>200</v>
      </c>
      <c r="ED276" s="46">
        <f t="shared" si="73"/>
        <v>20</v>
      </c>
      <c r="EE276" s="46">
        <f t="shared" si="74"/>
        <v>0</v>
      </c>
      <c r="EF276" s="46">
        <f t="shared" si="75"/>
        <v>0</v>
      </c>
      <c r="EG276" s="46">
        <f t="shared" si="76"/>
        <v>0</v>
      </c>
      <c r="EH276" s="46">
        <f t="shared" si="79"/>
        <v>9</v>
      </c>
      <c r="EI276" s="46">
        <f t="shared" si="78"/>
        <v>25</v>
      </c>
    </row>
    <row r="277" spans="3:139" ht="12">
      <c r="C277" s="36" t="s">
        <v>463</v>
      </c>
      <c r="D277" s="36" t="s">
        <v>437</v>
      </c>
      <c r="E277" s="36" t="s">
        <v>437</v>
      </c>
      <c r="F277" s="38">
        <f t="shared" si="77"/>
        <v>2239</v>
      </c>
      <c r="G277" s="37" t="s">
        <v>438</v>
      </c>
      <c r="H277" s="47"/>
      <c r="I277" s="48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8"/>
      <c r="U277" s="48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8"/>
      <c r="AG277" s="48"/>
      <c r="AH277" s="49"/>
      <c r="AI277" s="49"/>
      <c r="AJ277" s="49"/>
      <c r="AK277" s="49"/>
      <c r="AL277" s="49"/>
      <c r="AM277" s="49">
        <v>200</v>
      </c>
      <c r="AN277" s="49">
        <v>200</v>
      </c>
      <c r="AO277" s="49">
        <v>320</v>
      </c>
      <c r="AP277" s="49">
        <v>900</v>
      </c>
      <c r="AQ277" s="49">
        <v>300</v>
      </c>
      <c r="AR277" s="49">
        <v>0</v>
      </c>
      <c r="AS277" s="49">
        <v>249</v>
      </c>
      <c r="AT277" s="49">
        <v>9</v>
      </c>
      <c r="AU277" s="49">
        <v>48</v>
      </c>
      <c r="AV277" s="49">
        <v>0</v>
      </c>
      <c r="AW277" s="49"/>
      <c r="AX277" s="49">
        <v>0</v>
      </c>
      <c r="AY277" s="49"/>
      <c r="AZ277" s="49">
        <v>0</v>
      </c>
      <c r="BA277" s="49">
        <v>0</v>
      </c>
      <c r="BB277" s="49">
        <v>0</v>
      </c>
      <c r="BC277" s="49">
        <v>0</v>
      </c>
      <c r="BD277" s="49">
        <v>0</v>
      </c>
      <c r="BE277" s="49">
        <v>0</v>
      </c>
      <c r="BF277" s="49"/>
      <c r="BG277" s="49"/>
      <c r="BH277" s="49"/>
      <c r="BI277" s="49">
        <v>0</v>
      </c>
      <c r="BJ277" s="49">
        <v>9</v>
      </c>
      <c r="BK277" s="49"/>
      <c r="BL277" s="49">
        <v>0</v>
      </c>
      <c r="BM277" s="49"/>
      <c r="BN277" s="49">
        <v>0</v>
      </c>
      <c r="BO277" s="49"/>
      <c r="BP277" s="50">
        <v>0</v>
      </c>
      <c r="BQ277" s="50">
        <v>0</v>
      </c>
      <c r="BR277" s="50"/>
      <c r="BS277" s="50">
        <v>0</v>
      </c>
      <c r="BT277" s="50">
        <v>4</v>
      </c>
      <c r="BU277" s="50">
        <v>0</v>
      </c>
      <c r="BV277" s="50"/>
      <c r="BW277" s="50">
        <v>0</v>
      </c>
      <c r="BX277" s="50"/>
      <c r="BY277" s="50"/>
      <c r="BZ277" s="50"/>
      <c r="CA277" s="50">
        <v>0</v>
      </c>
      <c r="CB277" s="50">
        <v>0</v>
      </c>
      <c r="CC277" s="50">
        <v>0</v>
      </c>
      <c r="CD277" s="50">
        <v>0</v>
      </c>
      <c r="CE277" s="50">
        <v>0</v>
      </c>
      <c r="CF277" s="50">
        <v>0</v>
      </c>
      <c r="CG277" s="50"/>
      <c r="CH277" s="50">
        <v>0</v>
      </c>
      <c r="CI277" s="50">
        <v>0</v>
      </c>
      <c r="CJ277" s="50">
        <v>0</v>
      </c>
      <c r="CK277" s="50">
        <v>0</v>
      </c>
      <c r="CL277" s="50">
        <v>0</v>
      </c>
      <c r="CM277" s="50">
        <v>0</v>
      </c>
      <c r="CN277" s="51">
        <v>0</v>
      </c>
      <c r="CO277" s="51">
        <v>0</v>
      </c>
      <c r="CP277" s="51">
        <v>0</v>
      </c>
      <c r="CQ277" s="51">
        <v>0</v>
      </c>
      <c r="CR277" s="51">
        <v>0</v>
      </c>
      <c r="CS277" s="51">
        <v>0</v>
      </c>
      <c r="CT277" s="51">
        <v>0</v>
      </c>
      <c r="CU277" s="51">
        <v>0</v>
      </c>
      <c r="CV277" s="51">
        <v>0</v>
      </c>
      <c r="CW277" s="51">
        <v>0</v>
      </c>
      <c r="CX277" s="51">
        <v>0</v>
      </c>
      <c r="CY277" s="51">
        <v>0</v>
      </c>
      <c r="CZ277" s="51">
        <v>0</v>
      </c>
      <c r="DA277" s="51">
        <v>0</v>
      </c>
      <c r="DB277" s="51">
        <v>0</v>
      </c>
      <c r="DC277" s="51">
        <v>0</v>
      </c>
      <c r="DD277" s="51">
        <v>0</v>
      </c>
      <c r="DE277" s="51">
        <v>0</v>
      </c>
      <c r="DF277" s="52">
        <v>0</v>
      </c>
      <c r="DG277" s="52">
        <v>0</v>
      </c>
      <c r="DH277" s="52">
        <v>0</v>
      </c>
      <c r="DI277" s="52">
        <v>0</v>
      </c>
      <c r="DJ277" s="52">
        <v>0</v>
      </c>
      <c r="DK277" s="52">
        <v>0</v>
      </c>
      <c r="DL277" s="52">
        <v>0</v>
      </c>
      <c r="DM277" s="52">
        <v>0</v>
      </c>
      <c r="DN277" s="52">
        <v>0</v>
      </c>
      <c r="DO277" s="52">
        <v>0</v>
      </c>
      <c r="DP277" s="52">
        <v>0</v>
      </c>
      <c r="DQ277" s="52">
        <v>0</v>
      </c>
      <c r="DR277" s="52">
        <v>0</v>
      </c>
      <c r="DS277" s="53">
        <v>0</v>
      </c>
      <c r="DT277" s="53">
        <v>0</v>
      </c>
      <c r="DU277" s="53">
        <v>0</v>
      </c>
      <c r="DV277" s="53">
        <v>0</v>
      </c>
      <c r="DW277" s="53">
        <v>0</v>
      </c>
      <c r="DX277" s="2"/>
      <c r="DY277" s="2"/>
      <c r="DZ277" s="46">
        <f t="shared" si="69"/>
        <v>0</v>
      </c>
      <c r="EA277" s="46">
        <f t="shared" si="70"/>
        <v>0</v>
      </c>
      <c r="EB277" s="46">
        <f t="shared" si="71"/>
        <v>1920</v>
      </c>
      <c r="EC277" s="46">
        <f t="shared" si="72"/>
        <v>306</v>
      </c>
      <c r="ED277" s="46">
        <f t="shared" si="73"/>
        <v>9</v>
      </c>
      <c r="EE277" s="46">
        <f t="shared" si="74"/>
        <v>4</v>
      </c>
      <c r="EF277" s="46">
        <f t="shared" si="75"/>
        <v>0</v>
      </c>
      <c r="EG277" s="46">
        <f t="shared" si="76"/>
        <v>0</v>
      </c>
      <c r="EH277" s="46">
        <f t="shared" si="79"/>
        <v>0</v>
      </c>
      <c r="EI277" s="46">
        <f t="shared" si="78"/>
        <v>0</v>
      </c>
    </row>
    <row r="278" spans="3:139" ht="12">
      <c r="C278" s="36" t="s">
        <v>464</v>
      </c>
      <c r="D278" s="36" t="s">
        <v>437</v>
      </c>
      <c r="E278" s="36" t="s">
        <v>437</v>
      </c>
      <c r="F278" s="38">
        <f t="shared" si="77"/>
        <v>9184</v>
      </c>
      <c r="G278" s="37" t="s">
        <v>438</v>
      </c>
      <c r="H278" s="47"/>
      <c r="I278" s="48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8"/>
      <c r="U278" s="48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8"/>
      <c r="AG278" s="48"/>
      <c r="AH278" s="49"/>
      <c r="AI278" s="49">
        <v>438</v>
      </c>
      <c r="AJ278" s="49">
        <v>1480</v>
      </c>
      <c r="AK278" s="49">
        <v>584</v>
      </c>
      <c r="AL278" s="49">
        <v>1503</v>
      </c>
      <c r="AM278" s="49">
        <v>600</v>
      </c>
      <c r="AN278" s="49">
        <v>499</v>
      </c>
      <c r="AO278" s="49">
        <v>1240</v>
      </c>
      <c r="AP278" s="49">
        <v>500</v>
      </c>
      <c r="AQ278" s="49">
        <v>500</v>
      </c>
      <c r="AR278" s="49">
        <v>1099</v>
      </c>
      <c r="AS278" s="49">
        <v>200</v>
      </c>
      <c r="AT278" s="49">
        <v>400</v>
      </c>
      <c r="AU278" s="49">
        <v>1</v>
      </c>
      <c r="AV278" s="49">
        <v>0</v>
      </c>
      <c r="AW278" s="49"/>
      <c r="AX278" s="49">
        <v>0</v>
      </c>
      <c r="AY278" s="49"/>
      <c r="AZ278" s="49">
        <v>140</v>
      </c>
      <c r="BA278" s="49">
        <v>0</v>
      </c>
      <c r="BB278" s="49">
        <v>0</v>
      </c>
      <c r="BC278" s="49">
        <v>0</v>
      </c>
      <c r="BD278" s="49">
        <v>0</v>
      </c>
      <c r="BE278" s="49">
        <v>0</v>
      </c>
      <c r="BF278" s="49"/>
      <c r="BG278" s="49"/>
      <c r="BH278" s="49"/>
      <c r="BI278" s="49">
        <v>0</v>
      </c>
      <c r="BJ278" s="49"/>
      <c r="BK278" s="49"/>
      <c r="BL278" s="49">
        <v>0</v>
      </c>
      <c r="BM278" s="49"/>
      <c r="BN278" s="49">
        <v>0</v>
      </c>
      <c r="BO278" s="49"/>
      <c r="BP278" s="50">
        <v>0</v>
      </c>
      <c r="BQ278" s="50">
        <v>0</v>
      </c>
      <c r="BR278" s="50"/>
      <c r="BS278" s="50">
        <v>0</v>
      </c>
      <c r="BT278" s="50">
        <v>0</v>
      </c>
      <c r="BU278" s="50">
        <v>0</v>
      </c>
      <c r="BV278" s="50"/>
      <c r="BW278" s="50">
        <v>0</v>
      </c>
      <c r="BX278" s="50"/>
      <c r="BY278" s="50"/>
      <c r="BZ278" s="50"/>
      <c r="CA278" s="50">
        <v>0</v>
      </c>
      <c r="CB278" s="50">
        <v>0</v>
      </c>
      <c r="CC278" s="50">
        <v>0</v>
      </c>
      <c r="CD278" s="50">
        <v>0</v>
      </c>
      <c r="CE278" s="50">
        <v>0</v>
      </c>
      <c r="CF278" s="50">
        <v>0</v>
      </c>
      <c r="CG278" s="50"/>
      <c r="CH278" s="50">
        <v>0</v>
      </c>
      <c r="CI278" s="50">
        <v>0</v>
      </c>
      <c r="CJ278" s="50">
        <v>0</v>
      </c>
      <c r="CK278" s="50">
        <v>0</v>
      </c>
      <c r="CL278" s="50">
        <v>0</v>
      </c>
      <c r="CM278" s="50">
        <v>0</v>
      </c>
      <c r="CN278" s="51">
        <v>0</v>
      </c>
      <c r="CO278" s="51">
        <v>0</v>
      </c>
      <c r="CP278" s="51">
        <v>0</v>
      </c>
      <c r="CQ278" s="51">
        <v>0</v>
      </c>
      <c r="CR278" s="51">
        <v>0</v>
      </c>
      <c r="CS278" s="51">
        <v>0</v>
      </c>
      <c r="CT278" s="51">
        <v>0</v>
      </c>
      <c r="CU278" s="51">
        <v>0</v>
      </c>
      <c r="CV278" s="51">
        <v>0</v>
      </c>
      <c r="CW278" s="51">
        <v>0</v>
      </c>
      <c r="CX278" s="51">
        <v>0</v>
      </c>
      <c r="CY278" s="51">
        <v>0</v>
      </c>
      <c r="CZ278" s="51">
        <v>0</v>
      </c>
      <c r="DA278" s="51">
        <v>0</v>
      </c>
      <c r="DB278" s="51">
        <v>0</v>
      </c>
      <c r="DC278" s="51">
        <v>0</v>
      </c>
      <c r="DD278" s="51">
        <v>0</v>
      </c>
      <c r="DE278" s="51">
        <v>0</v>
      </c>
      <c r="DF278" s="52">
        <v>0</v>
      </c>
      <c r="DG278" s="52">
        <v>0</v>
      </c>
      <c r="DH278" s="52">
        <v>0</v>
      </c>
      <c r="DI278" s="52">
        <v>0</v>
      </c>
      <c r="DJ278" s="52">
        <v>0</v>
      </c>
      <c r="DK278" s="52">
        <v>0</v>
      </c>
      <c r="DL278" s="52">
        <v>0</v>
      </c>
      <c r="DM278" s="52">
        <v>0</v>
      </c>
      <c r="DN278" s="52">
        <v>0</v>
      </c>
      <c r="DO278" s="52">
        <v>0</v>
      </c>
      <c r="DP278" s="52">
        <v>0</v>
      </c>
      <c r="DQ278" s="52">
        <v>0</v>
      </c>
      <c r="DR278" s="52">
        <v>0</v>
      </c>
      <c r="DS278" s="53">
        <v>0</v>
      </c>
      <c r="DT278" s="53">
        <v>0</v>
      </c>
      <c r="DU278" s="53">
        <v>0</v>
      </c>
      <c r="DV278" s="53">
        <v>0</v>
      </c>
      <c r="DW278" s="53">
        <v>0</v>
      </c>
      <c r="DX278" s="2"/>
      <c r="DY278" s="2"/>
      <c r="DZ278" s="46">
        <f t="shared" si="69"/>
        <v>0</v>
      </c>
      <c r="EA278" s="46">
        <f t="shared" si="70"/>
        <v>0</v>
      </c>
      <c r="EB278" s="46">
        <f t="shared" si="71"/>
        <v>7344</v>
      </c>
      <c r="EC278" s="46">
        <f t="shared" si="72"/>
        <v>1840</v>
      </c>
      <c r="ED278" s="46">
        <f t="shared" si="73"/>
        <v>0</v>
      </c>
      <c r="EE278" s="46">
        <f t="shared" si="74"/>
        <v>0</v>
      </c>
      <c r="EF278" s="46">
        <f t="shared" si="75"/>
        <v>0</v>
      </c>
      <c r="EG278" s="46">
        <f t="shared" si="76"/>
        <v>0</v>
      </c>
      <c r="EH278" s="46">
        <f t="shared" si="79"/>
        <v>0</v>
      </c>
      <c r="EI278" s="46">
        <f t="shared" si="78"/>
        <v>0</v>
      </c>
    </row>
    <row r="279" spans="3:139" ht="12">
      <c r="C279" s="36" t="s">
        <v>465</v>
      </c>
      <c r="D279" s="36" t="s">
        <v>437</v>
      </c>
      <c r="E279" s="36" t="s">
        <v>437</v>
      </c>
      <c r="F279" s="38">
        <f t="shared" si="77"/>
        <v>0</v>
      </c>
      <c r="G279" s="37" t="s">
        <v>438</v>
      </c>
      <c r="H279" s="47"/>
      <c r="I279" s="48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8"/>
      <c r="U279" s="48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8"/>
      <c r="AG279" s="48"/>
      <c r="AH279" s="49"/>
      <c r="AI279" s="49"/>
      <c r="AJ279" s="49"/>
      <c r="AK279" s="49"/>
      <c r="AL279" s="49"/>
      <c r="AM279" s="49"/>
      <c r="AN279" s="49">
        <v>0</v>
      </c>
      <c r="AO279" s="49"/>
      <c r="AP279" s="49"/>
      <c r="AQ279" s="49"/>
      <c r="AR279" s="49">
        <v>0</v>
      </c>
      <c r="AS279" s="49">
        <v>0</v>
      </c>
      <c r="AT279" s="49"/>
      <c r="AU279" s="49">
        <v>0</v>
      </c>
      <c r="AV279" s="49">
        <v>0</v>
      </c>
      <c r="AW279" s="49"/>
      <c r="AX279" s="49">
        <v>0</v>
      </c>
      <c r="AY279" s="49"/>
      <c r="AZ279" s="49">
        <v>0</v>
      </c>
      <c r="BA279" s="49">
        <v>0</v>
      </c>
      <c r="BB279" s="49">
        <v>0</v>
      </c>
      <c r="BC279" s="49">
        <v>0</v>
      </c>
      <c r="BD279" s="49">
        <v>0</v>
      </c>
      <c r="BE279" s="49">
        <v>0</v>
      </c>
      <c r="BF279" s="49"/>
      <c r="BG279" s="49"/>
      <c r="BH279" s="49"/>
      <c r="BI279" s="49">
        <v>0</v>
      </c>
      <c r="BJ279" s="49"/>
      <c r="BK279" s="49"/>
      <c r="BL279" s="49">
        <v>0</v>
      </c>
      <c r="BM279" s="49"/>
      <c r="BN279" s="49">
        <v>0</v>
      </c>
      <c r="BO279" s="49"/>
      <c r="BP279" s="50">
        <v>0</v>
      </c>
      <c r="BQ279" s="50">
        <v>0</v>
      </c>
      <c r="BR279" s="50"/>
      <c r="BS279" s="50">
        <v>0</v>
      </c>
      <c r="BT279" s="50">
        <v>0</v>
      </c>
      <c r="BU279" s="50">
        <v>0</v>
      </c>
      <c r="BV279" s="50"/>
      <c r="BW279" s="50">
        <v>0</v>
      </c>
      <c r="BX279" s="50"/>
      <c r="BY279" s="50"/>
      <c r="BZ279" s="50"/>
      <c r="CA279" s="50">
        <v>0</v>
      </c>
      <c r="CB279" s="50">
        <v>0</v>
      </c>
      <c r="CC279" s="50">
        <v>0</v>
      </c>
      <c r="CD279" s="50">
        <v>0</v>
      </c>
      <c r="CE279" s="50">
        <v>0</v>
      </c>
      <c r="CF279" s="50">
        <v>0</v>
      </c>
      <c r="CG279" s="50"/>
      <c r="CH279" s="50">
        <v>0</v>
      </c>
      <c r="CI279" s="50">
        <v>0</v>
      </c>
      <c r="CJ279" s="50">
        <v>0</v>
      </c>
      <c r="CK279" s="50">
        <v>0</v>
      </c>
      <c r="CL279" s="50">
        <v>0</v>
      </c>
      <c r="CM279" s="50">
        <v>0</v>
      </c>
      <c r="CN279" s="51">
        <v>0</v>
      </c>
      <c r="CO279" s="51">
        <v>0</v>
      </c>
      <c r="CP279" s="51">
        <v>0</v>
      </c>
      <c r="CQ279" s="51">
        <v>0</v>
      </c>
      <c r="CR279" s="51">
        <v>0</v>
      </c>
      <c r="CS279" s="51">
        <v>0</v>
      </c>
      <c r="CT279" s="51">
        <v>0</v>
      </c>
      <c r="CU279" s="51">
        <v>0</v>
      </c>
      <c r="CV279" s="51">
        <v>0</v>
      </c>
      <c r="CW279" s="51">
        <v>0</v>
      </c>
      <c r="CX279" s="51">
        <v>0</v>
      </c>
      <c r="CY279" s="51">
        <v>0</v>
      </c>
      <c r="CZ279" s="51">
        <v>0</v>
      </c>
      <c r="DA279" s="51">
        <v>0</v>
      </c>
      <c r="DB279" s="51">
        <v>0</v>
      </c>
      <c r="DC279" s="51">
        <v>0</v>
      </c>
      <c r="DD279" s="51">
        <v>0</v>
      </c>
      <c r="DE279" s="51">
        <v>0</v>
      </c>
      <c r="DF279" s="52">
        <v>0</v>
      </c>
      <c r="DG279" s="52">
        <v>0</v>
      </c>
      <c r="DH279" s="52">
        <v>0</v>
      </c>
      <c r="DI279" s="52">
        <v>0</v>
      </c>
      <c r="DJ279" s="52">
        <v>0</v>
      </c>
      <c r="DK279" s="52">
        <v>0</v>
      </c>
      <c r="DL279" s="52">
        <v>0</v>
      </c>
      <c r="DM279" s="52">
        <v>0</v>
      </c>
      <c r="DN279" s="52">
        <v>0</v>
      </c>
      <c r="DO279" s="52">
        <v>0</v>
      </c>
      <c r="DP279" s="52">
        <v>0</v>
      </c>
      <c r="DQ279" s="52">
        <v>0</v>
      </c>
      <c r="DR279" s="52">
        <v>0</v>
      </c>
      <c r="DS279" s="53">
        <v>0</v>
      </c>
      <c r="DT279" s="53">
        <v>0</v>
      </c>
      <c r="DU279" s="53">
        <v>0</v>
      </c>
      <c r="DV279" s="53">
        <v>0</v>
      </c>
      <c r="DW279" s="53">
        <v>0</v>
      </c>
      <c r="DX279" s="2"/>
      <c r="DY279" s="2"/>
      <c r="DZ279" s="46">
        <f t="shared" si="69"/>
        <v>0</v>
      </c>
      <c r="EA279" s="46">
        <f t="shared" si="70"/>
        <v>0</v>
      </c>
      <c r="EB279" s="46">
        <f t="shared" si="71"/>
        <v>0</v>
      </c>
      <c r="EC279" s="46">
        <f t="shared" si="72"/>
        <v>0</v>
      </c>
      <c r="ED279" s="46">
        <f t="shared" si="73"/>
        <v>0</v>
      </c>
      <c r="EE279" s="46">
        <f t="shared" si="74"/>
        <v>0</v>
      </c>
      <c r="EF279" s="46">
        <f t="shared" si="75"/>
        <v>0</v>
      </c>
      <c r="EG279" s="46">
        <f t="shared" si="76"/>
        <v>0</v>
      </c>
      <c r="EH279" s="46">
        <f t="shared" si="79"/>
        <v>0</v>
      </c>
      <c r="EI279" s="46">
        <f t="shared" si="78"/>
        <v>0</v>
      </c>
    </row>
    <row r="280" spans="3:139" ht="12">
      <c r="C280" s="36" t="s">
        <v>466</v>
      </c>
      <c r="D280" s="36" t="s">
        <v>437</v>
      </c>
      <c r="E280" s="36" t="s">
        <v>437</v>
      </c>
      <c r="F280" s="38">
        <f t="shared" si="77"/>
        <v>351</v>
      </c>
      <c r="G280" s="37" t="s">
        <v>438</v>
      </c>
      <c r="H280" s="47"/>
      <c r="I280" s="48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8"/>
      <c r="U280" s="48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8"/>
      <c r="AG280" s="48"/>
      <c r="AH280" s="49"/>
      <c r="AI280" s="49">
        <v>60</v>
      </c>
      <c r="AJ280" s="49"/>
      <c r="AK280" s="49"/>
      <c r="AL280" s="49">
        <v>140</v>
      </c>
      <c r="AM280" s="49"/>
      <c r="AN280" s="49">
        <v>0</v>
      </c>
      <c r="AO280" s="49">
        <v>140</v>
      </c>
      <c r="AP280" s="49"/>
      <c r="AQ280" s="49"/>
      <c r="AR280" s="49">
        <v>0</v>
      </c>
      <c r="AS280" s="49">
        <v>0</v>
      </c>
      <c r="AT280" s="49"/>
      <c r="AU280" s="49">
        <v>6</v>
      </c>
      <c r="AV280" s="49">
        <v>0</v>
      </c>
      <c r="AW280" s="49"/>
      <c r="AX280" s="49">
        <v>0</v>
      </c>
      <c r="AY280" s="49"/>
      <c r="AZ280" s="49">
        <v>0</v>
      </c>
      <c r="BA280" s="49">
        <v>0</v>
      </c>
      <c r="BB280" s="49">
        <v>0</v>
      </c>
      <c r="BC280" s="49">
        <v>0</v>
      </c>
      <c r="BD280" s="49">
        <v>0</v>
      </c>
      <c r="BE280" s="49">
        <v>0</v>
      </c>
      <c r="BF280" s="49"/>
      <c r="BG280" s="49"/>
      <c r="BH280" s="49"/>
      <c r="BI280" s="49">
        <v>0</v>
      </c>
      <c r="BJ280" s="49"/>
      <c r="BK280" s="49"/>
      <c r="BL280" s="49">
        <v>0</v>
      </c>
      <c r="BM280" s="49"/>
      <c r="BN280" s="49">
        <v>0</v>
      </c>
      <c r="BO280" s="49"/>
      <c r="BP280" s="50">
        <v>0</v>
      </c>
      <c r="BQ280" s="50">
        <v>0</v>
      </c>
      <c r="BR280" s="50"/>
      <c r="BS280" s="50">
        <v>0</v>
      </c>
      <c r="BT280" s="50">
        <v>0</v>
      </c>
      <c r="BU280" s="50">
        <v>0</v>
      </c>
      <c r="BV280" s="50"/>
      <c r="BW280" s="50">
        <v>0</v>
      </c>
      <c r="BX280" s="50"/>
      <c r="BY280" s="50"/>
      <c r="BZ280" s="50"/>
      <c r="CA280" s="50">
        <v>0</v>
      </c>
      <c r="CB280" s="50">
        <v>0</v>
      </c>
      <c r="CC280" s="50">
        <v>0</v>
      </c>
      <c r="CD280" s="50">
        <v>0</v>
      </c>
      <c r="CE280" s="50">
        <v>5</v>
      </c>
      <c r="CF280" s="50">
        <v>0</v>
      </c>
      <c r="CG280" s="50"/>
      <c r="CH280" s="50">
        <v>0</v>
      </c>
      <c r="CI280" s="50">
        <v>0</v>
      </c>
      <c r="CJ280" s="50">
        <v>0</v>
      </c>
      <c r="CK280" s="50">
        <v>0</v>
      </c>
      <c r="CL280" s="50">
        <v>0</v>
      </c>
      <c r="CM280" s="50">
        <v>0</v>
      </c>
      <c r="CN280" s="51">
        <v>0</v>
      </c>
      <c r="CO280" s="51">
        <v>0</v>
      </c>
      <c r="CP280" s="51">
        <v>0</v>
      </c>
      <c r="CQ280" s="51">
        <v>0</v>
      </c>
      <c r="CR280" s="51">
        <v>0</v>
      </c>
      <c r="CS280" s="51">
        <v>0</v>
      </c>
      <c r="CT280" s="51">
        <v>0</v>
      </c>
      <c r="CU280" s="51">
        <v>0</v>
      </c>
      <c r="CV280" s="51">
        <v>0</v>
      </c>
      <c r="CW280" s="51">
        <v>0</v>
      </c>
      <c r="CX280" s="51">
        <v>0</v>
      </c>
      <c r="CY280" s="51">
        <v>0</v>
      </c>
      <c r="CZ280" s="51">
        <v>0</v>
      </c>
      <c r="DA280" s="51">
        <v>0</v>
      </c>
      <c r="DB280" s="51">
        <v>0</v>
      </c>
      <c r="DC280" s="51">
        <v>0</v>
      </c>
      <c r="DD280" s="51">
        <v>0</v>
      </c>
      <c r="DE280" s="51">
        <v>0</v>
      </c>
      <c r="DF280" s="52">
        <v>0</v>
      </c>
      <c r="DG280" s="52">
        <v>0</v>
      </c>
      <c r="DH280" s="52">
        <v>0</v>
      </c>
      <c r="DI280" s="52">
        <v>0</v>
      </c>
      <c r="DJ280" s="52">
        <v>0</v>
      </c>
      <c r="DK280" s="52">
        <v>0</v>
      </c>
      <c r="DL280" s="52">
        <v>0</v>
      </c>
      <c r="DM280" s="52">
        <v>0</v>
      </c>
      <c r="DN280" s="52">
        <v>0</v>
      </c>
      <c r="DO280" s="52">
        <v>0</v>
      </c>
      <c r="DP280" s="52">
        <v>0</v>
      </c>
      <c r="DQ280" s="52">
        <v>0</v>
      </c>
      <c r="DR280" s="52">
        <v>0</v>
      </c>
      <c r="DS280" s="53">
        <v>0</v>
      </c>
      <c r="DT280" s="53">
        <v>0</v>
      </c>
      <c r="DU280" s="53">
        <v>0</v>
      </c>
      <c r="DV280" s="53">
        <v>0</v>
      </c>
      <c r="DW280" s="53">
        <v>0</v>
      </c>
      <c r="DX280" s="2"/>
      <c r="DY280" s="2"/>
      <c r="DZ280" s="46">
        <f t="shared" si="69"/>
        <v>0</v>
      </c>
      <c r="EA280" s="46">
        <f t="shared" si="70"/>
        <v>0</v>
      </c>
      <c r="EB280" s="46">
        <f t="shared" si="71"/>
        <v>340</v>
      </c>
      <c r="EC280" s="46">
        <f t="shared" si="72"/>
        <v>6</v>
      </c>
      <c r="ED280" s="46">
        <f t="shared" si="73"/>
        <v>0</v>
      </c>
      <c r="EE280" s="46">
        <f t="shared" si="74"/>
        <v>0</v>
      </c>
      <c r="EF280" s="46">
        <f t="shared" si="75"/>
        <v>5</v>
      </c>
      <c r="EG280" s="46">
        <f t="shared" si="76"/>
        <v>0</v>
      </c>
      <c r="EH280" s="46">
        <f t="shared" si="79"/>
        <v>0</v>
      </c>
      <c r="EI280" s="46">
        <f t="shared" si="78"/>
        <v>0</v>
      </c>
    </row>
    <row r="281" spans="3:139" ht="12">
      <c r="C281" s="36" t="s">
        <v>467</v>
      </c>
      <c r="D281" s="36" t="s">
        <v>437</v>
      </c>
      <c r="E281" s="36" t="s">
        <v>437</v>
      </c>
      <c r="F281" s="38">
        <f t="shared" si="77"/>
        <v>1761</v>
      </c>
      <c r="G281" s="37" t="s">
        <v>438</v>
      </c>
      <c r="H281" s="47"/>
      <c r="I281" s="48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8"/>
      <c r="U281" s="48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8"/>
      <c r="AG281" s="48"/>
      <c r="AH281" s="49"/>
      <c r="AI281" s="49"/>
      <c r="AJ281" s="49"/>
      <c r="AK281" s="49"/>
      <c r="AL281" s="49"/>
      <c r="AM281" s="49">
        <v>200</v>
      </c>
      <c r="AN281" s="49">
        <v>300</v>
      </c>
      <c r="AO281" s="49">
        <v>620</v>
      </c>
      <c r="AP281" s="49">
        <v>500</v>
      </c>
      <c r="AQ281" s="49"/>
      <c r="AR281" s="49">
        <v>0</v>
      </c>
      <c r="AS281" s="49">
        <v>100</v>
      </c>
      <c r="AT281" s="49"/>
      <c r="AU281" s="49">
        <v>1</v>
      </c>
      <c r="AV281" s="49">
        <v>0</v>
      </c>
      <c r="AW281" s="49"/>
      <c r="AX281" s="49">
        <v>0</v>
      </c>
      <c r="AY281" s="49"/>
      <c r="AZ281" s="49">
        <v>20</v>
      </c>
      <c r="BA281" s="49">
        <v>0</v>
      </c>
      <c r="BB281" s="49">
        <v>0</v>
      </c>
      <c r="BC281" s="49">
        <v>0</v>
      </c>
      <c r="BD281" s="49">
        <v>0</v>
      </c>
      <c r="BE281" s="49">
        <v>0</v>
      </c>
      <c r="BF281" s="49"/>
      <c r="BG281" s="49"/>
      <c r="BH281" s="49"/>
      <c r="BI281" s="49">
        <v>0</v>
      </c>
      <c r="BJ281" s="49"/>
      <c r="BK281" s="49"/>
      <c r="BL281" s="49">
        <v>0</v>
      </c>
      <c r="BM281" s="49"/>
      <c r="BN281" s="49">
        <v>0</v>
      </c>
      <c r="BO281" s="49"/>
      <c r="BP281" s="50">
        <v>0</v>
      </c>
      <c r="BQ281" s="50">
        <v>20</v>
      </c>
      <c r="BR281" s="50"/>
      <c r="BS281" s="50">
        <v>0</v>
      </c>
      <c r="BT281" s="50">
        <v>0</v>
      </c>
      <c r="BU281" s="50">
        <v>0</v>
      </c>
      <c r="BV281" s="50"/>
      <c r="BW281" s="50">
        <v>0</v>
      </c>
      <c r="BX281" s="50"/>
      <c r="BY281" s="50"/>
      <c r="BZ281" s="50"/>
      <c r="CA281" s="50">
        <v>0</v>
      </c>
      <c r="CB281" s="50">
        <v>0</v>
      </c>
      <c r="CC281" s="50">
        <v>0</v>
      </c>
      <c r="CD281" s="50">
        <v>0</v>
      </c>
      <c r="CE281" s="50">
        <v>0</v>
      </c>
      <c r="CF281" s="50">
        <v>0</v>
      </c>
      <c r="CG281" s="50"/>
      <c r="CH281" s="50">
        <v>0</v>
      </c>
      <c r="CI281" s="50">
        <v>0</v>
      </c>
      <c r="CJ281" s="50">
        <v>0</v>
      </c>
      <c r="CK281" s="50">
        <v>0</v>
      </c>
      <c r="CL281" s="50">
        <v>0</v>
      </c>
      <c r="CM281" s="50">
        <v>0</v>
      </c>
      <c r="CN281" s="51">
        <v>0</v>
      </c>
      <c r="CO281" s="51">
        <v>0</v>
      </c>
      <c r="CP281" s="51">
        <v>0</v>
      </c>
      <c r="CQ281" s="51">
        <v>0</v>
      </c>
      <c r="CR281" s="51">
        <v>0</v>
      </c>
      <c r="CS281" s="51">
        <v>0</v>
      </c>
      <c r="CT281" s="51">
        <v>0</v>
      </c>
      <c r="CU281" s="51">
        <v>0</v>
      </c>
      <c r="CV281" s="51">
        <v>0</v>
      </c>
      <c r="CW281" s="51">
        <v>0</v>
      </c>
      <c r="CX281" s="51">
        <v>0</v>
      </c>
      <c r="CY281" s="51">
        <v>0</v>
      </c>
      <c r="CZ281" s="51">
        <v>0</v>
      </c>
      <c r="DA281" s="51">
        <v>0</v>
      </c>
      <c r="DB281" s="51">
        <v>0</v>
      </c>
      <c r="DC281" s="51">
        <v>0</v>
      </c>
      <c r="DD281" s="51">
        <v>0</v>
      </c>
      <c r="DE281" s="51">
        <v>0</v>
      </c>
      <c r="DF281" s="52">
        <v>0</v>
      </c>
      <c r="DG281" s="52">
        <v>0</v>
      </c>
      <c r="DH281" s="52">
        <v>0</v>
      </c>
      <c r="DI281" s="52">
        <v>0</v>
      </c>
      <c r="DJ281" s="52">
        <v>0</v>
      </c>
      <c r="DK281" s="52">
        <v>0</v>
      </c>
      <c r="DL281" s="52">
        <v>0</v>
      </c>
      <c r="DM281" s="52">
        <v>0</v>
      </c>
      <c r="DN281" s="52">
        <v>0</v>
      </c>
      <c r="DO281" s="52">
        <v>0</v>
      </c>
      <c r="DP281" s="52">
        <v>0</v>
      </c>
      <c r="DQ281" s="52">
        <v>0</v>
      </c>
      <c r="DR281" s="52">
        <v>0</v>
      </c>
      <c r="DS281" s="53">
        <v>0</v>
      </c>
      <c r="DT281" s="53">
        <v>0</v>
      </c>
      <c r="DU281" s="53">
        <v>0</v>
      </c>
      <c r="DV281" s="53">
        <v>0</v>
      </c>
      <c r="DW281" s="53">
        <v>0</v>
      </c>
      <c r="DX281" s="2"/>
      <c r="DY281" s="2"/>
      <c r="DZ281" s="46">
        <f t="shared" si="69"/>
        <v>0</v>
      </c>
      <c r="EA281" s="46">
        <f t="shared" si="70"/>
        <v>0</v>
      </c>
      <c r="EB281" s="46">
        <f t="shared" si="71"/>
        <v>1620</v>
      </c>
      <c r="EC281" s="46">
        <f t="shared" si="72"/>
        <v>121</v>
      </c>
      <c r="ED281" s="46">
        <f t="shared" si="73"/>
        <v>0</v>
      </c>
      <c r="EE281" s="46">
        <f t="shared" si="74"/>
        <v>20</v>
      </c>
      <c r="EF281" s="46">
        <f t="shared" si="75"/>
        <v>0</v>
      </c>
      <c r="EG281" s="46">
        <f t="shared" si="76"/>
        <v>0</v>
      </c>
      <c r="EH281" s="46">
        <f t="shared" si="79"/>
        <v>0</v>
      </c>
      <c r="EI281" s="46">
        <f t="shared" si="78"/>
        <v>0</v>
      </c>
    </row>
    <row r="282" spans="3:139" ht="12">
      <c r="C282" s="36" t="s">
        <v>468</v>
      </c>
      <c r="D282" s="36" t="s">
        <v>437</v>
      </c>
      <c r="E282" s="36" t="s">
        <v>437</v>
      </c>
      <c r="F282" s="38">
        <f t="shared" si="77"/>
        <v>2476</v>
      </c>
      <c r="G282" s="37" t="s">
        <v>438</v>
      </c>
      <c r="H282" s="47"/>
      <c r="I282" s="48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8"/>
      <c r="U282" s="48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8"/>
      <c r="AG282" s="48"/>
      <c r="AH282" s="49"/>
      <c r="AI282" s="49">
        <v>2357</v>
      </c>
      <c r="AJ282" s="49"/>
      <c r="AK282" s="49"/>
      <c r="AL282" s="49">
        <v>0</v>
      </c>
      <c r="AM282" s="49"/>
      <c r="AN282" s="49">
        <v>0</v>
      </c>
      <c r="AO282" s="49"/>
      <c r="AP282" s="49"/>
      <c r="AQ282" s="49"/>
      <c r="AR282" s="49">
        <v>0</v>
      </c>
      <c r="AS282" s="49">
        <v>0</v>
      </c>
      <c r="AT282" s="49"/>
      <c r="AU282" s="49">
        <v>0</v>
      </c>
      <c r="AV282" s="49">
        <v>0</v>
      </c>
      <c r="AW282" s="49"/>
      <c r="AX282" s="49">
        <v>0</v>
      </c>
      <c r="AY282" s="49"/>
      <c r="AZ282" s="49">
        <v>0</v>
      </c>
      <c r="BA282" s="49">
        <v>0</v>
      </c>
      <c r="BB282" s="49">
        <v>0</v>
      </c>
      <c r="BC282" s="49">
        <v>0</v>
      </c>
      <c r="BD282" s="49">
        <v>0</v>
      </c>
      <c r="BE282" s="49">
        <v>0</v>
      </c>
      <c r="BF282" s="49"/>
      <c r="BG282" s="49"/>
      <c r="BH282" s="49"/>
      <c r="BI282" s="49">
        <v>0</v>
      </c>
      <c r="BJ282" s="49">
        <v>10</v>
      </c>
      <c r="BK282" s="49"/>
      <c r="BL282" s="49">
        <v>0</v>
      </c>
      <c r="BM282" s="49"/>
      <c r="BN282" s="49">
        <v>0</v>
      </c>
      <c r="BO282" s="49"/>
      <c r="BP282" s="50">
        <v>0</v>
      </c>
      <c r="BQ282" s="50">
        <v>0</v>
      </c>
      <c r="BR282" s="50"/>
      <c r="BS282" s="50">
        <v>0</v>
      </c>
      <c r="BT282" s="50">
        <v>0</v>
      </c>
      <c r="BU282" s="50">
        <v>0</v>
      </c>
      <c r="BV282" s="50"/>
      <c r="BW282" s="50">
        <v>0</v>
      </c>
      <c r="BX282" s="50"/>
      <c r="BY282" s="50"/>
      <c r="BZ282" s="50"/>
      <c r="CA282" s="50">
        <v>0</v>
      </c>
      <c r="CB282" s="50">
        <v>0</v>
      </c>
      <c r="CC282" s="50">
        <v>0</v>
      </c>
      <c r="CD282" s="50">
        <v>0</v>
      </c>
      <c r="CE282" s="50">
        <v>8</v>
      </c>
      <c r="CF282" s="50">
        <v>0</v>
      </c>
      <c r="CG282" s="50"/>
      <c r="CH282" s="50">
        <v>15</v>
      </c>
      <c r="CI282" s="50">
        <v>0</v>
      </c>
      <c r="CJ282" s="50">
        <v>25</v>
      </c>
      <c r="CK282" s="50">
        <v>0</v>
      </c>
      <c r="CL282" s="50">
        <v>0</v>
      </c>
      <c r="CM282" s="50">
        <v>0</v>
      </c>
      <c r="CN282" s="51">
        <v>5</v>
      </c>
      <c r="CO282" s="51">
        <v>0</v>
      </c>
      <c r="CP282" s="51">
        <v>20</v>
      </c>
      <c r="CQ282" s="51">
        <v>0</v>
      </c>
      <c r="CR282" s="51">
        <v>0</v>
      </c>
      <c r="CS282" s="51">
        <v>0</v>
      </c>
      <c r="CT282" s="51">
        <v>0</v>
      </c>
      <c r="CU282" s="51">
        <v>0</v>
      </c>
      <c r="CV282" s="51">
        <v>0</v>
      </c>
      <c r="CW282" s="51">
        <v>0</v>
      </c>
      <c r="CX282" s="51">
        <v>24</v>
      </c>
      <c r="CY282" s="51">
        <v>0</v>
      </c>
      <c r="CZ282" s="51">
        <v>0</v>
      </c>
      <c r="DA282" s="51">
        <v>0</v>
      </c>
      <c r="DB282" s="51">
        <v>0</v>
      </c>
      <c r="DC282" s="51">
        <v>12</v>
      </c>
      <c r="DD282" s="51">
        <v>0</v>
      </c>
      <c r="DE282" s="51">
        <v>0</v>
      </c>
      <c r="DF282" s="52">
        <v>0</v>
      </c>
      <c r="DG282" s="52">
        <v>0</v>
      </c>
      <c r="DH282" s="52">
        <v>0</v>
      </c>
      <c r="DI282" s="52">
        <v>0</v>
      </c>
      <c r="DJ282" s="52">
        <v>0</v>
      </c>
      <c r="DK282" s="52">
        <v>0</v>
      </c>
      <c r="DL282" s="52">
        <v>0</v>
      </c>
      <c r="DM282" s="52">
        <v>0</v>
      </c>
      <c r="DN282" s="52">
        <v>0</v>
      </c>
      <c r="DO282" s="52">
        <v>0</v>
      </c>
      <c r="DP282" s="52">
        <v>0</v>
      </c>
      <c r="DQ282" s="52">
        <v>0</v>
      </c>
      <c r="DR282" s="52">
        <v>0</v>
      </c>
      <c r="DS282" s="53">
        <v>0</v>
      </c>
      <c r="DT282" s="53">
        <v>0</v>
      </c>
      <c r="DU282" s="53">
        <v>0</v>
      </c>
      <c r="DV282" s="53">
        <v>0</v>
      </c>
      <c r="DW282" s="53">
        <v>0</v>
      </c>
      <c r="DX282" s="2"/>
      <c r="DY282" s="2"/>
      <c r="DZ282" s="46">
        <f t="shared" si="69"/>
        <v>0</v>
      </c>
      <c r="EA282" s="46">
        <f t="shared" si="70"/>
        <v>0</v>
      </c>
      <c r="EB282" s="46">
        <f t="shared" si="71"/>
        <v>2357</v>
      </c>
      <c r="EC282" s="46">
        <f t="shared" si="72"/>
        <v>0</v>
      </c>
      <c r="ED282" s="46">
        <f t="shared" si="73"/>
        <v>10</v>
      </c>
      <c r="EE282" s="46">
        <f t="shared" si="74"/>
        <v>0</v>
      </c>
      <c r="EF282" s="46">
        <f t="shared" si="75"/>
        <v>48</v>
      </c>
      <c r="EG282" s="46">
        <f t="shared" si="76"/>
        <v>49</v>
      </c>
      <c r="EH282" s="46">
        <f t="shared" si="79"/>
        <v>12</v>
      </c>
      <c r="EI282" s="46">
        <f t="shared" si="78"/>
        <v>0</v>
      </c>
    </row>
    <row r="283" spans="3:139" ht="12">
      <c r="C283" s="36" t="s">
        <v>469</v>
      </c>
      <c r="D283" s="36" t="s">
        <v>437</v>
      </c>
      <c r="E283" s="36" t="s">
        <v>437</v>
      </c>
      <c r="F283" s="38">
        <f t="shared" si="77"/>
        <v>1240</v>
      </c>
      <c r="G283" s="37" t="s">
        <v>438</v>
      </c>
      <c r="H283" s="47"/>
      <c r="I283" s="48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8"/>
      <c r="U283" s="48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8"/>
      <c r="AG283" s="48"/>
      <c r="AH283" s="49"/>
      <c r="AI283" s="49">
        <v>1180</v>
      </c>
      <c r="AJ283" s="49"/>
      <c r="AK283" s="49"/>
      <c r="AL283" s="49">
        <v>0</v>
      </c>
      <c r="AM283" s="49"/>
      <c r="AN283" s="49">
        <v>0</v>
      </c>
      <c r="AO283" s="49"/>
      <c r="AP283" s="49"/>
      <c r="AQ283" s="49"/>
      <c r="AR283" s="49">
        <v>0</v>
      </c>
      <c r="AS283" s="49">
        <v>0</v>
      </c>
      <c r="AT283" s="49"/>
      <c r="AU283" s="49">
        <v>0</v>
      </c>
      <c r="AV283" s="49">
        <v>0</v>
      </c>
      <c r="AW283" s="49"/>
      <c r="AX283" s="49">
        <v>0</v>
      </c>
      <c r="AY283" s="49"/>
      <c r="AZ283" s="49">
        <v>20</v>
      </c>
      <c r="BA283" s="49">
        <v>0</v>
      </c>
      <c r="BB283" s="49">
        <v>0</v>
      </c>
      <c r="BC283" s="49">
        <v>0</v>
      </c>
      <c r="BD283" s="49">
        <v>0</v>
      </c>
      <c r="BE283" s="49">
        <v>0</v>
      </c>
      <c r="BF283" s="49"/>
      <c r="BG283" s="49"/>
      <c r="BH283" s="49"/>
      <c r="BI283" s="49">
        <v>0</v>
      </c>
      <c r="BJ283" s="49"/>
      <c r="BK283" s="49"/>
      <c r="BL283" s="49">
        <v>0</v>
      </c>
      <c r="BM283" s="49"/>
      <c r="BN283" s="49">
        <v>0</v>
      </c>
      <c r="BO283" s="49"/>
      <c r="BP283" s="50">
        <v>0</v>
      </c>
      <c r="BQ283" s="50">
        <v>0</v>
      </c>
      <c r="BR283" s="50"/>
      <c r="BS283" s="50">
        <v>0</v>
      </c>
      <c r="BT283" s="50">
        <v>0</v>
      </c>
      <c r="BU283" s="50">
        <v>0</v>
      </c>
      <c r="BV283" s="50"/>
      <c r="BW283" s="50">
        <v>0</v>
      </c>
      <c r="BX283" s="50"/>
      <c r="BY283" s="50"/>
      <c r="BZ283" s="50"/>
      <c r="CA283" s="50">
        <v>0</v>
      </c>
      <c r="CB283" s="50">
        <v>0</v>
      </c>
      <c r="CC283" s="50">
        <v>0</v>
      </c>
      <c r="CD283" s="50">
        <v>0</v>
      </c>
      <c r="CE283" s="50">
        <v>0</v>
      </c>
      <c r="CF283" s="50">
        <v>0</v>
      </c>
      <c r="CG283" s="50"/>
      <c r="CH283" s="50">
        <v>0</v>
      </c>
      <c r="CI283" s="50">
        <v>0</v>
      </c>
      <c r="CJ283" s="50">
        <v>0</v>
      </c>
      <c r="CK283" s="50">
        <v>0</v>
      </c>
      <c r="CL283" s="50">
        <v>0</v>
      </c>
      <c r="CM283" s="50">
        <v>0</v>
      </c>
      <c r="CN283" s="51">
        <v>0</v>
      </c>
      <c r="CO283" s="51">
        <v>0</v>
      </c>
      <c r="CP283" s="51">
        <v>40</v>
      </c>
      <c r="CQ283" s="51">
        <v>0</v>
      </c>
      <c r="CR283" s="51">
        <v>0</v>
      </c>
      <c r="CS283" s="51">
        <v>0</v>
      </c>
      <c r="CT283" s="51">
        <v>0</v>
      </c>
      <c r="CU283" s="51">
        <v>0</v>
      </c>
      <c r="CV283" s="51">
        <v>0</v>
      </c>
      <c r="CW283" s="51">
        <v>0</v>
      </c>
      <c r="CX283" s="51">
        <v>0</v>
      </c>
      <c r="CY283" s="51">
        <v>0</v>
      </c>
      <c r="CZ283" s="51">
        <v>0</v>
      </c>
      <c r="DA283" s="51">
        <v>0</v>
      </c>
      <c r="DB283" s="51">
        <v>0</v>
      </c>
      <c r="DC283" s="51">
        <v>0</v>
      </c>
      <c r="DD283" s="51">
        <v>0</v>
      </c>
      <c r="DE283" s="51">
        <v>0</v>
      </c>
      <c r="DF283" s="52">
        <v>0</v>
      </c>
      <c r="DG283" s="52">
        <v>0</v>
      </c>
      <c r="DH283" s="52">
        <v>0</v>
      </c>
      <c r="DI283" s="52">
        <v>0</v>
      </c>
      <c r="DJ283" s="52">
        <v>0</v>
      </c>
      <c r="DK283" s="52">
        <v>0</v>
      </c>
      <c r="DL283" s="52">
        <v>0</v>
      </c>
      <c r="DM283" s="52">
        <v>0</v>
      </c>
      <c r="DN283" s="52">
        <v>0</v>
      </c>
      <c r="DO283" s="52">
        <v>0</v>
      </c>
      <c r="DP283" s="52">
        <v>0</v>
      </c>
      <c r="DQ283" s="52">
        <v>0</v>
      </c>
      <c r="DR283" s="52">
        <v>0</v>
      </c>
      <c r="DS283" s="53">
        <v>0</v>
      </c>
      <c r="DT283" s="53">
        <v>0</v>
      </c>
      <c r="DU283" s="53">
        <v>0</v>
      </c>
      <c r="DV283" s="53">
        <v>0</v>
      </c>
      <c r="DW283" s="53">
        <v>0</v>
      </c>
      <c r="DX283" s="2"/>
      <c r="DY283" s="2"/>
      <c r="DZ283" s="46">
        <f t="shared" si="69"/>
        <v>0</v>
      </c>
      <c r="EA283" s="46">
        <f t="shared" si="70"/>
        <v>0</v>
      </c>
      <c r="EB283" s="46">
        <f t="shared" si="71"/>
        <v>1180</v>
      </c>
      <c r="EC283" s="46">
        <f t="shared" si="72"/>
        <v>20</v>
      </c>
      <c r="ED283" s="46">
        <f t="shared" si="73"/>
        <v>0</v>
      </c>
      <c r="EE283" s="46">
        <f t="shared" si="74"/>
        <v>0</v>
      </c>
      <c r="EF283" s="46">
        <f t="shared" si="75"/>
        <v>0</v>
      </c>
      <c r="EG283" s="46">
        <f t="shared" si="76"/>
        <v>40</v>
      </c>
      <c r="EH283" s="46">
        <f t="shared" si="79"/>
        <v>0</v>
      </c>
      <c r="EI283" s="46">
        <f t="shared" si="78"/>
        <v>0</v>
      </c>
    </row>
    <row r="284" spans="3:139" ht="12">
      <c r="C284" s="36" t="s">
        <v>470</v>
      </c>
      <c r="D284" s="36" t="s">
        <v>437</v>
      </c>
      <c r="E284" s="36" t="s">
        <v>437</v>
      </c>
      <c r="F284" s="38">
        <f t="shared" si="77"/>
        <v>9208</v>
      </c>
      <c r="G284" s="37" t="s">
        <v>438</v>
      </c>
      <c r="H284" s="47"/>
      <c r="I284" s="48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8"/>
      <c r="U284" s="48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8"/>
      <c r="AG284" s="48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>
        <v>4151</v>
      </c>
      <c r="AT284" s="49">
        <v>4419</v>
      </c>
      <c r="AU284" s="49">
        <v>500</v>
      </c>
      <c r="AV284" s="49">
        <v>0</v>
      </c>
      <c r="AW284" s="49"/>
      <c r="AX284" s="49">
        <v>0</v>
      </c>
      <c r="AY284" s="49"/>
      <c r="AZ284" s="49">
        <v>0</v>
      </c>
      <c r="BA284" s="49">
        <v>0</v>
      </c>
      <c r="BB284" s="49">
        <v>19</v>
      </c>
      <c r="BC284" s="49">
        <v>0</v>
      </c>
      <c r="BD284" s="49">
        <v>0</v>
      </c>
      <c r="BE284" s="49">
        <v>0</v>
      </c>
      <c r="BF284" s="49"/>
      <c r="BG284" s="49"/>
      <c r="BH284" s="49">
        <v>20</v>
      </c>
      <c r="BI284" s="49">
        <v>0</v>
      </c>
      <c r="BJ284" s="49"/>
      <c r="BK284" s="49"/>
      <c r="BL284" s="49">
        <v>0</v>
      </c>
      <c r="BM284" s="49"/>
      <c r="BN284" s="49">
        <v>0</v>
      </c>
      <c r="BO284" s="49"/>
      <c r="BP284" s="50">
        <v>0</v>
      </c>
      <c r="BQ284" s="50">
        <v>0</v>
      </c>
      <c r="BR284" s="50"/>
      <c r="BS284" s="50">
        <v>0</v>
      </c>
      <c r="BT284" s="50">
        <v>0</v>
      </c>
      <c r="BU284" s="50">
        <v>0</v>
      </c>
      <c r="BV284" s="50"/>
      <c r="BW284" s="50">
        <v>0</v>
      </c>
      <c r="BX284" s="50"/>
      <c r="BY284" s="50"/>
      <c r="BZ284" s="50">
        <v>9</v>
      </c>
      <c r="CA284" s="50">
        <v>0</v>
      </c>
      <c r="CB284" s="50">
        <v>0</v>
      </c>
      <c r="CC284" s="50">
        <v>0</v>
      </c>
      <c r="CD284" s="50">
        <v>0</v>
      </c>
      <c r="CE284" s="50">
        <v>6</v>
      </c>
      <c r="CF284" s="50">
        <v>5</v>
      </c>
      <c r="CG284" s="50"/>
      <c r="CH284" s="50">
        <v>0</v>
      </c>
      <c r="CI284" s="50">
        <v>0</v>
      </c>
      <c r="CJ284" s="50">
        <v>0</v>
      </c>
      <c r="CK284" s="50">
        <v>0</v>
      </c>
      <c r="CL284" s="50">
        <v>0</v>
      </c>
      <c r="CM284" s="50">
        <v>0</v>
      </c>
      <c r="CN284" s="51">
        <v>0</v>
      </c>
      <c r="CO284" s="51">
        <v>0</v>
      </c>
      <c r="CP284" s="51">
        <v>20</v>
      </c>
      <c r="CQ284" s="51">
        <v>0</v>
      </c>
      <c r="CR284" s="51">
        <v>0</v>
      </c>
      <c r="CS284" s="51">
        <v>0</v>
      </c>
      <c r="CT284" s="51">
        <v>0</v>
      </c>
      <c r="CU284" s="51">
        <v>0</v>
      </c>
      <c r="CV284" s="51">
        <v>0</v>
      </c>
      <c r="CW284" s="51">
        <v>0</v>
      </c>
      <c r="CX284" s="51">
        <v>23</v>
      </c>
      <c r="CY284" s="51">
        <v>0</v>
      </c>
      <c r="CZ284" s="51">
        <v>0</v>
      </c>
      <c r="DA284" s="51">
        <v>0</v>
      </c>
      <c r="DB284" s="51">
        <v>0</v>
      </c>
      <c r="DC284" s="51">
        <v>0</v>
      </c>
      <c r="DD284" s="51">
        <v>36</v>
      </c>
      <c r="DE284" s="51">
        <v>0</v>
      </c>
      <c r="DF284" s="52">
        <v>0</v>
      </c>
      <c r="DG284" s="52">
        <v>0</v>
      </c>
      <c r="DH284" s="52">
        <v>0</v>
      </c>
      <c r="DI284" s="52">
        <v>0</v>
      </c>
      <c r="DJ284" s="52">
        <v>0</v>
      </c>
      <c r="DK284" s="52">
        <v>0</v>
      </c>
      <c r="DL284" s="52">
        <v>0</v>
      </c>
      <c r="DM284" s="52">
        <v>0</v>
      </c>
      <c r="DN284" s="52">
        <v>0</v>
      </c>
      <c r="DO284" s="52">
        <v>0</v>
      </c>
      <c r="DP284" s="52">
        <v>0</v>
      </c>
      <c r="DQ284" s="52">
        <v>0</v>
      </c>
      <c r="DR284" s="52">
        <v>0</v>
      </c>
      <c r="DS284" s="53">
        <v>0</v>
      </c>
      <c r="DT284" s="53">
        <v>0</v>
      </c>
      <c r="DU284" s="53">
        <v>0</v>
      </c>
      <c r="DV284" s="53">
        <v>0</v>
      </c>
      <c r="DW284" s="53">
        <v>0</v>
      </c>
      <c r="DX284" s="2"/>
      <c r="DY284" s="2"/>
      <c r="DZ284" s="46">
        <f t="shared" si="69"/>
        <v>0</v>
      </c>
      <c r="EA284" s="46">
        <f t="shared" si="70"/>
        <v>0</v>
      </c>
      <c r="EB284" s="46">
        <f t="shared" si="71"/>
        <v>0</v>
      </c>
      <c r="EC284" s="46">
        <f t="shared" si="72"/>
        <v>9089</v>
      </c>
      <c r="ED284" s="46">
        <f t="shared" si="73"/>
        <v>20</v>
      </c>
      <c r="EE284" s="46">
        <f t="shared" si="74"/>
        <v>9</v>
      </c>
      <c r="EF284" s="46">
        <f t="shared" si="75"/>
        <v>11</v>
      </c>
      <c r="EG284" s="46">
        <f t="shared" si="76"/>
        <v>43</v>
      </c>
      <c r="EH284" s="46">
        <f t="shared" si="79"/>
        <v>36</v>
      </c>
      <c r="EI284" s="46">
        <f t="shared" si="78"/>
        <v>0</v>
      </c>
    </row>
    <row r="285" spans="3:139" ht="12">
      <c r="C285" s="36" t="s">
        <v>471</v>
      </c>
      <c r="D285" s="36" t="s">
        <v>437</v>
      </c>
      <c r="E285" s="36" t="s">
        <v>437</v>
      </c>
      <c r="F285" s="38">
        <f t="shared" si="77"/>
        <v>0</v>
      </c>
      <c r="G285" s="37" t="s">
        <v>438</v>
      </c>
      <c r="H285" s="47"/>
      <c r="I285" s="48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8"/>
      <c r="U285" s="48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8"/>
      <c r="AG285" s="48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>
        <v>0</v>
      </c>
      <c r="AT285" s="49"/>
      <c r="AU285" s="49">
        <v>0</v>
      </c>
      <c r="AV285" s="49">
        <v>0</v>
      </c>
      <c r="AW285" s="49"/>
      <c r="AX285" s="49">
        <v>0</v>
      </c>
      <c r="AY285" s="49"/>
      <c r="AZ285" s="49">
        <v>0</v>
      </c>
      <c r="BA285" s="49">
        <v>0</v>
      </c>
      <c r="BB285" s="49">
        <v>0</v>
      </c>
      <c r="BC285" s="49">
        <v>0</v>
      </c>
      <c r="BD285" s="49">
        <v>0</v>
      </c>
      <c r="BE285" s="49">
        <v>0</v>
      </c>
      <c r="BF285" s="49"/>
      <c r="BG285" s="49"/>
      <c r="BH285" s="49"/>
      <c r="BI285" s="49">
        <v>0</v>
      </c>
      <c r="BJ285" s="49"/>
      <c r="BK285" s="49"/>
      <c r="BL285" s="49">
        <v>0</v>
      </c>
      <c r="BM285" s="49"/>
      <c r="BN285" s="49">
        <v>0</v>
      </c>
      <c r="BO285" s="49"/>
      <c r="BP285" s="50">
        <v>0</v>
      </c>
      <c r="BQ285" s="50">
        <v>0</v>
      </c>
      <c r="BR285" s="50"/>
      <c r="BS285" s="50">
        <v>0</v>
      </c>
      <c r="BT285" s="50">
        <v>0</v>
      </c>
      <c r="BU285" s="50">
        <v>0</v>
      </c>
      <c r="BV285" s="50"/>
      <c r="BW285" s="50">
        <v>0</v>
      </c>
      <c r="BX285" s="50"/>
      <c r="BY285" s="50"/>
      <c r="BZ285" s="50"/>
      <c r="CA285" s="50">
        <v>0</v>
      </c>
      <c r="CB285" s="50">
        <v>0</v>
      </c>
      <c r="CC285" s="50">
        <v>0</v>
      </c>
      <c r="CD285" s="50">
        <v>0</v>
      </c>
      <c r="CE285" s="50">
        <v>0</v>
      </c>
      <c r="CF285" s="50">
        <v>0</v>
      </c>
      <c r="CG285" s="50"/>
      <c r="CH285" s="50">
        <v>0</v>
      </c>
      <c r="CI285" s="50">
        <v>0</v>
      </c>
      <c r="CJ285" s="50">
        <v>0</v>
      </c>
      <c r="CK285" s="50">
        <v>0</v>
      </c>
      <c r="CL285" s="50">
        <v>0</v>
      </c>
      <c r="CM285" s="50">
        <v>0</v>
      </c>
      <c r="CN285" s="51">
        <v>0</v>
      </c>
      <c r="CO285" s="51">
        <v>0</v>
      </c>
      <c r="CP285" s="51">
        <v>0</v>
      </c>
      <c r="CQ285" s="51">
        <v>0</v>
      </c>
      <c r="CR285" s="51">
        <v>0</v>
      </c>
      <c r="CS285" s="51">
        <v>0</v>
      </c>
      <c r="CT285" s="51">
        <v>0</v>
      </c>
      <c r="CU285" s="51">
        <v>0</v>
      </c>
      <c r="CV285" s="51">
        <v>0</v>
      </c>
      <c r="CW285" s="51">
        <v>0</v>
      </c>
      <c r="CX285" s="51">
        <v>0</v>
      </c>
      <c r="CY285" s="51">
        <v>0</v>
      </c>
      <c r="CZ285" s="51">
        <v>0</v>
      </c>
      <c r="DA285" s="51">
        <v>0</v>
      </c>
      <c r="DB285" s="51">
        <v>0</v>
      </c>
      <c r="DC285" s="51">
        <v>0</v>
      </c>
      <c r="DD285" s="51">
        <v>0</v>
      </c>
      <c r="DE285" s="51">
        <v>0</v>
      </c>
      <c r="DF285" s="52">
        <v>0</v>
      </c>
      <c r="DG285" s="52">
        <v>0</v>
      </c>
      <c r="DH285" s="52">
        <v>0</v>
      </c>
      <c r="DI285" s="52">
        <v>0</v>
      </c>
      <c r="DJ285" s="52">
        <v>0</v>
      </c>
      <c r="DK285" s="52">
        <v>0</v>
      </c>
      <c r="DL285" s="52">
        <v>0</v>
      </c>
      <c r="DM285" s="52">
        <v>0</v>
      </c>
      <c r="DN285" s="52">
        <v>0</v>
      </c>
      <c r="DO285" s="52">
        <v>0</v>
      </c>
      <c r="DP285" s="52">
        <v>0</v>
      </c>
      <c r="DQ285" s="52">
        <v>0</v>
      </c>
      <c r="DR285" s="52">
        <v>0</v>
      </c>
      <c r="DS285" s="53">
        <v>0</v>
      </c>
      <c r="DT285" s="53">
        <v>0</v>
      </c>
      <c r="DU285" s="53">
        <v>0</v>
      </c>
      <c r="DV285" s="53">
        <v>0</v>
      </c>
      <c r="DW285" s="53">
        <v>0</v>
      </c>
      <c r="DX285" s="2"/>
      <c r="DY285" s="2"/>
      <c r="DZ285" s="46">
        <f t="shared" si="69"/>
        <v>0</v>
      </c>
      <c r="EA285" s="46">
        <f t="shared" si="70"/>
        <v>0</v>
      </c>
      <c r="EB285" s="46">
        <f t="shared" si="71"/>
        <v>0</v>
      </c>
      <c r="EC285" s="46">
        <f t="shared" si="72"/>
        <v>0</v>
      </c>
      <c r="ED285" s="46">
        <f t="shared" si="73"/>
        <v>0</v>
      </c>
      <c r="EE285" s="46">
        <f t="shared" si="74"/>
        <v>0</v>
      </c>
      <c r="EF285" s="46">
        <f t="shared" si="75"/>
        <v>0</v>
      </c>
      <c r="EG285" s="46">
        <f t="shared" si="76"/>
        <v>0</v>
      </c>
      <c r="EH285" s="46">
        <f t="shared" si="79"/>
        <v>0</v>
      </c>
      <c r="EI285" s="46">
        <f t="shared" si="78"/>
        <v>0</v>
      </c>
    </row>
    <row r="286" spans="3:139" ht="12">
      <c r="C286" s="36" t="s">
        <v>472</v>
      </c>
      <c r="D286" s="36" t="s">
        <v>412</v>
      </c>
      <c r="E286" s="36" t="s">
        <v>413</v>
      </c>
      <c r="F286" s="38">
        <f t="shared" si="77"/>
        <v>3467</v>
      </c>
      <c r="G286" s="37" t="s">
        <v>473</v>
      </c>
      <c r="H286" s="47"/>
      <c r="I286" s="48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8"/>
      <c r="U286" s="48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8"/>
      <c r="AG286" s="48"/>
      <c r="AH286" s="49"/>
      <c r="AI286" s="49"/>
      <c r="AJ286" s="49"/>
      <c r="AK286" s="49"/>
      <c r="AL286" s="49">
        <v>10</v>
      </c>
      <c r="AM286" s="49"/>
      <c r="AN286" s="49">
        <v>0</v>
      </c>
      <c r="AO286" s="49"/>
      <c r="AP286" s="49">
        <v>175</v>
      </c>
      <c r="AQ286" s="49">
        <v>300</v>
      </c>
      <c r="AR286" s="49">
        <v>400</v>
      </c>
      <c r="AS286" s="49">
        <v>0</v>
      </c>
      <c r="AT286" s="49">
        <v>200</v>
      </c>
      <c r="AU286" s="49">
        <v>147</v>
      </c>
      <c r="AV286" s="49">
        <v>0</v>
      </c>
      <c r="AW286" s="49"/>
      <c r="AX286" s="49">
        <v>315</v>
      </c>
      <c r="AY286" s="49">
        <v>100</v>
      </c>
      <c r="AZ286" s="49">
        <v>200</v>
      </c>
      <c r="BA286" s="49">
        <v>360</v>
      </c>
      <c r="BB286" s="49">
        <v>300</v>
      </c>
      <c r="BC286" s="49">
        <v>100</v>
      </c>
      <c r="BD286" s="49">
        <v>0</v>
      </c>
      <c r="BE286" s="49">
        <v>240</v>
      </c>
      <c r="BF286" s="49">
        <v>160</v>
      </c>
      <c r="BG286" s="49">
        <v>360</v>
      </c>
      <c r="BH286" s="49">
        <v>100</v>
      </c>
      <c r="BI286" s="49">
        <v>0</v>
      </c>
      <c r="BJ286" s="49"/>
      <c r="BK286" s="49"/>
      <c r="BL286" s="49">
        <v>0</v>
      </c>
      <c r="BM286" s="49"/>
      <c r="BN286" s="49">
        <v>0</v>
      </c>
      <c r="BO286" s="49"/>
      <c r="BP286" s="50">
        <v>0</v>
      </c>
      <c r="BQ286" s="50">
        <v>0</v>
      </c>
      <c r="BR286" s="50"/>
      <c r="BS286" s="50">
        <v>0</v>
      </c>
      <c r="BT286" s="50">
        <v>0</v>
      </c>
      <c r="BU286" s="50">
        <v>0</v>
      </c>
      <c r="BV286" s="50"/>
      <c r="BW286" s="50">
        <v>0</v>
      </c>
      <c r="BX286" s="50"/>
      <c r="BY286" s="50"/>
      <c r="BZ286" s="50"/>
      <c r="CA286" s="50">
        <v>0</v>
      </c>
      <c r="CB286" s="50">
        <v>0</v>
      </c>
      <c r="CC286" s="50">
        <v>0</v>
      </c>
      <c r="CD286" s="50">
        <v>0</v>
      </c>
      <c r="CE286" s="50">
        <v>0</v>
      </c>
      <c r="CF286" s="50">
        <v>0</v>
      </c>
      <c r="CG286" s="50"/>
      <c r="CH286" s="50">
        <v>0</v>
      </c>
      <c r="CI286" s="50">
        <v>0</v>
      </c>
      <c r="CJ286" s="50">
        <v>0</v>
      </c>
      <c r="CK286" s="50">
        <v>0</v>
      </c>
      <c r="CL286" s="50">
        <v>0</v>
      </c>
      <c r="CM286" s="50">
        <v>0</v>
      </c>
      <c r="CN286" s="51">
        <v>0</v>
      </c>
      <c r="CO286" s="51">
        <v>0</v>
      </c>
      <c r="CP286" s="51">
        <v>0</v>
      </c>
      <c r="CQ286" s="51">
        <v>0</v>
      </c>
      <c r="CR286" s="51">
        <v>0</v>
      </c>
      <c r="CS286" s="51">
        <v>0</v>
      </c>
      <c r="CT286" s="51">
        <v>0</v>
      </c>
      <c r="CU286" s="51">
        <v>0</v>
      </c>
      <c r="CV286" s="51">
        <v>0</v>
      </c>
      <c r="CW286" s="51">
        <v>0</v>
      </c>
      <c r="CX286" s="51">
        <v>0</v>
      </c>
      <c r="CY286" s="51">
        <v>0</v>
      </c>
      <c r="CZ286" s="51">
        <v>0</v>
      </c>
      <c r="DA286" s="51">
        <v>0</v>
      </c>
      <c r="DB286" s="51">
        <v>0</v>
      </c>
      <c r="DC286" s="51">
        <v>0</v>
      </c>
      <c r="DD286" s="51">
        <v>0</v>
      </c>
      <c r="DE286" s="51">
        <v>0</v>
      </c>
      <c r="DF286" s="52">
        <v>0</v>
      </c>
      <c r="DG286" s="52">
        <v>0</v>
      </c>
      <c r="DH286" s="52">
        <v>0</v>
      </c>
      <c r="DI286" s="52">
        <v>0</v>
      </c>
      <c r="DJ286" s="52">
        <v>0</v>
      </c>
      <c r="DK286" s="52">
        <v>0</v>
      </c>
      <c r="DL286" s="52">
        <v>0</v>
      </c>
      <c r="DM286" s="52">
        <v>0</v>
      </c>
      <c r="DN286" s="52">
        <v>0</v>
      </c>
      <c r="DO286" s="52">
        <v>0</v>
      </c>
      <c r="DP286" s="52">
        <v>0</v>
      </c>
      <c r="DQ286" s="52">
        <v>0</v>
      </c>
      <c r="DR286" s="52">
        <v>0</v>
      </c>
      <c r="DS286" s="53">
        <v>0</v>
      </c>
      <c r="DT286" s="53">
        <v>0</v>
      </c>
      <c r="DU286" s="53">
        <v>0</v>
      </c>
      <c r="DV286" s="53">
        <v>0</v>
      </c>
      <c r="DW286" s="53">
        <v>0</v>
      </c>
      <c r="DX286" s="2"/>
      <c r="DY286" s="2"/>
      <c r="DZ286" s="46">
        <f t="shared" si="69"/>
        <v>0</v>
      </c>
      <c r="EA286" s="46">
        <f t="shared" si="70"/>
        <v>0</v>
      </c>
      <c r="EB286" s="46">
        <f t="shared" si="71"/>
        <v>485</v>
      </c>
      <c r="EC286" s="46">
        <f t="shared" si="72"/>
        <v>2122</v>
      </c>
      <c r="ED286" s="46">
        <f t="shared" si="73"/>
        <v>860</v>
      </c>
      <c r="EE286" s="46">
        <f t="shared" si="74"/>
        <v>0</v>
      </c>
      <c r="EF286" s="46">
        <f t="shared" si="75"/>
        <v>0</v>
      </c>
      <c r="EG286" s="46">
        <f t="shared" si="76"/>
        <v>0</v>
      </c>
      <c r="EH286" s="46">
        <f t="shared" si="79"/>
        <v>0</v>
      </c>
      <c r="EI286" s="46">
        <f t="shared" si="78"/>
        <v>0</v>
      </c>
    </row>
    <row r="287" spans="3:139" ht="12">
      <c r="C287" s="36" t="s">
        <v>474</v>
      </c>
      <c r="D287" s="36" t="s">
        <v>412</v>
      </c>
      <c r="E287" s="36" t="s">
        <v>413</v>
      </c>
      <c r="F287" s="38">
        <f t="shared" si="77"/>
        <v>5585</v>
      </c>
      <c r="G287" s="37" t="s">
        <v>473</v>
      </c>
      <c r="H287" s="47"/>
      <c r="I287" s="48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8"/>
      <c r="U287" s="48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8"/>
      <c r="AG287" s="48"/>
      <c r="AH287" s="49"/>
      <c r="AI287" s="49"/>
      <c r="AJ287" s="49"/>
      <c r="AK287" s="49"/>
      <c r="AL287" s="49">
        <v>210</v>
      </c>
      <c r="AM287" s="49"/>
      <c r="AN287" s="49">
        <v>600</v>
      </c>
      <c r="AO287" s="49">
        <v>200</v>
      </c>
      <c r="AP287" s="49">
        <v>400</v>
      </c>
      <c r="AQ287" s="49">
        <v>200</v>
      </c>
      <c r="AR287" s="49">
        <v>300</v>
      </c>
      <c r="AS287" s="49">
        <v>200</v>
      </c>
      <c r="AT287" s="49">
        <v>100</v>
      </c>
      <c r="AU287" s="49">
        <v>150</v>
      </c>
      <c r="AV287" s="49">
        <v>0</v>
      </c>
      <c r="AW287" s="49">
        <v>300</v>
      </c>
      <c r="AX287" s="49">
        <v>205</v>
      </c>
      <c r="AY287" s="49">
        <v>300</v>
      </c>
      <c r="AZ287" s="49">
        <v>98</v>
      </c>
      <c r="BA287" s="49">
        <v>320</v>
      </c>
      <c r="BB287" s="49">
        <v>200</v>
      </c>
      <c r="BC287" s="49">
        <v>300</v>
      </c>
      <c r="BD287" s="49">
        <v>300</v>
      </c>
      <c r="BE287" s="49">
        <v>440</v>
      </c>
      <c r="BF287" s="49"/>
      <c r="BG287" s="49">
        <v>460</v>
      </c>
      <c r="BH287" s="49">
        <v>300</v>
      </c>
      <c r="BI287" s="49">
        <v>0</v>
      </c>
      <c r="BJ287" s="49"/>
      <c r="BK287" s="49"/>
      <c r="BL287" s="49">
        <v>0</v>
      </c>
      <c r="BM287" s="49"/>
      <c r="BN287" s="49">
        <v>0</v>
      </c>
      <c r="BO287" s="49"/>
      <c r="BP287" s="50">
        <v>0</v>
      </c>
      <c r="BQ287" s="50">
        <v>0</v>
      </c>
      <c r="BR287" s="50"/>
      <c r="BS287" s="50">
        <v>0</v>
      </c>
      <c r="BT287" s="50">
        <v>0</v>
      </c>
      <c r="BU287" s="50">
        <v>0</v>
      </c>
      <c r="BV287" s="50"/>
      <c r="BW287" s="50">
        <v>0</v>
      </c>
      <c r="BX287" s="50"/>
      <c r="BY287" s="50"/>
      <c r="BZ287" s="50"/>
      <c r="CA287" s="50">
        <v>0</v>
      </c>
      <c r="CB287" s="50">
        <v>0</v>
      </c>
      <c r="CC287" s="50">
        <v>0</v>
      </c>
      <c r="CD287" s="50">
        <v>0</v>
      </c>
      <c r="CE287" s="50">
        <v>0</v>
      </c>
      <c r="CF287" s="50">
        <v>0</v>
      </c>
      <c r="CG287" s="50"/>
      <c r="CH287" s="50">
        <v>0</v>
      </c>
      <c r="CI287" s="50">
        <v>0</v>
      </c>
      <c r="CJ287" s="50">
        <v>0</v>
      </c>
      <c r="CK287" s="50">
        <v>0</v>
      </c>
      <c r="CL287" s="50">
        <v>0</v>
      </c>
      <c r="CM287" s="50">
        <v>0</v>
      </c>
      <c r="CN287" s="51">
        <v>0</v>
      </c>
      <c r="CO287" s="51">
        <v>0</v>
      </c>
      <c r="CP287" s="51">
        <v>0</v>
      </c>
      <c r="CQ287" s="51">
        <v>0</v>
      </c>
      <c r="CR287" s="51">
        <v>0</v>
      </c>
      <c r="CS287" s="51">
        <v>0</v>
      </c>
      <c r="CT287" s="51">
        <v>0</v>
      </c>
      <c r="CU287" s="51">
        <v>0</v>
      </c>
      <c r="CV287" s="51">
        <v>0</v>
      </c>
      <c r="CW287" s="51">
        <v>0</v>
      </c>
      <c r="CX287" s="51">
        <v>0</v>
      </c>
      <c r="CY287" s="51">
        <v>0</v>
      </c>
      <c r="CZ287" s="51">
        <v>0</v>
      </c>
      <c r="DA287" s="51">
        <v>0</v>
      </c>
      <c r="DB287" s="51">
        <v>0</v>
      </c>
      <c r="DC287" s="51">
        <v>0</v>
      </c>
      <c r="DD287" s="51">
        <v>0</v>
      </c>
      <c r="DE287" s="51">
        <v>0</v>
      </c>
      <c r="DF287" s="52">
        <v>0</v>
      </c>
      <c r="DG287" s="52">
        <v>0</v>
      </c>
      <c r="DH287" s="52">
        <v>0</v>
      </c>
      <c r="DI287" s="52">
        <v>0</v>
      </c>
      <c r="DJ287" s="52">
        <v>0</v>
      </c>
      <c r="DK287" s="52">
        <v>0</v>
      </c>
      <c r="DL287" s="52">
        <v>0</v>
      </c>
      <c r="DM287" s="52">
        <v>2</v>
      </c>
      <c r="DN287" s="52">
        <v>0</v>
      </c>
      <c r="DO287" s="52">
        <v>0</v>
      </c>
      <c r="DP287" s="52">
        <v>0</v>
      </c>
      <c r="DQ287" s="52">
        <v>0</v>
      </c>
      <c r="DR287" s="52">
        <v>3</v>
      </c>
      <c r="DS287" s="53">
        <v>0</v>
      </c>
      <c r="DT287" s="53">
        <v>0</v>
      </c>
      <c r="DU287" s="53">
        <v>0</v>
      </c>
      <c r="DV287" s="53">
        <v>0</v>
      </c>
      <c r="DW287" s="53">
        <v>0</v>
      </c>
      <c r="DX287" s="2"/>
      <c r="DY287" s="2"/>
      <c r="DZ287" s="46">
        <f t="shared" si="69"/>
        <v>0</v>
      </c>
      <c r="EA287" s="46">
        <f t="shared" si="70"/>
        <v>0</v>
      </c>
      <c r="EB287" s="46">
        <f t="shared" si="71"/>
        <v>1610</v>
      </c>
      <c r="EC287" s="46">
        <f t="shared" si="72"/>
        <v>2473</v>
      </c>
      <c r="ED287" s="46">
        <f t="shared" si="73"/>
        <v>1500</v>
      </c>
      <c r="EE287" s="46">
        <f t="shared" si="74"/>
        <v>0</v>
      </c>
      <c r="EF287" s="46">
        <f t="shared" si="75"/>
        <v>0</v>
      </c>
      <c r="EG287" s="46">
        <f t="shared" si="76"/>
        <v>0</v>
      </c>
      <c r="EH287" s="46">
        <f t="shared" si="79"/>
        <v>0</v>
      </c>
      <c r="EI287" s="46">
        <f t="shared" si="78"/>
        <v>2</v>
      </c>
    </row>
    <row r="288" spans="3:139" ht="12">
      <c r="C288" s="36" t="s">
        <v>475</v>
      </c>
      <c r="D288" s="36" t="s">
        <v>412</v>
      </c>
      <c r="E288" s="36" t="s">
        <v>413</v>
      </c>
      <c r="F288" s="38">
        <f t="shared" si="77"/>
        <v>2161</v>
      </c>
      <c r="G288" s="37" t="s">
        <v>473</v>
      </c>
      <c r="H288" s="47"/>
      <c r="I288" s="48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8"/>
      <c r="U288" s="48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8"/>
      <c r="AG288" s="48"/>
      <c r="AH288" s="49"/>
      <c r="AI288" s="49"/>
      <c r="AJ288" s="49"/>
      <c r="AK288" s="49"/>
      <c r="AL288" s="49">
        <v>10</v>
      </c>
      <c r="AM288" s="49"/>
      <c r="AN288" s="49">
        <v>0</v>
      </c>
      <c r="AO288" s="49">
        <v>200</v>
      </c>
      <c r="AP288" s="49"/>
      <c r="AQ288" s="49"/>
      <c r="AR288" s="49">
        <v>200</v>
      </c>
      <c r="AS288" s="49">
        <v>0</v>
      </c>
      <c r="AT288" s="49"/>
      <c r="AU288" s="49">
        <v>96</v>
      </c>
      <c r="AV288" s="49">
        <v>0</v>
      </c>
      <c r="AW288" s="49"/>
      <c r="AX288" s="49">
        <v>100</v>
      </c>
      <c r="AY288" s="49">
        <v>100</v>
      </c>
      <c r="AZ288" s="49">
        <v>95</v>
      </c>
      <c r="BA288" s="49">
        <v>0</v>
      </c>
      <c r="BB288" s="49">
        <v>80</v>
      </c>
      <c r="BC288" s="49">
        <v>200</v>
      </c>
      <c r="BD288" s="49">
        <v>0</v>
      </c>
      <c r="BE288" s="49">
        <v>0</v>
      </c>
      <c r="BF288" s="49">
        <v>300</v>
      </c>
      <c r="BG288" s="49">
        <v>300</v>
      </c>
      <c r="BH288" s="49"/>
      <c r="BI288" s="49">
        <v>0</v>
      </c>
      <c r="BJ288" s="49"/>
      <c r="BK288" s="49">
        <v>220</v>
      </c>
      <c r="BL288" s="49">
        <v>200</v>
      </c>
      <c r="BM288" s="49">
        <v>60</v>
      </c>
      <c r="BN288" s="49">
        <v>0</v>
      </c>
      <c r="BO288" s="49"/>
      <c r="BP288" s="50">
        <v>0</v>
      </c>
      <c r="BQ288" s="50">
        <v>0</v>
      </c>
      <c r="BR288" s="50"/>
      <c r="BS288" s="50">
        <v>0</v>
      </c>
      <c r="BT288" s="50">
        <v>0</v>
      </c>
      <c r="BU288" s="50">
        <v>0</v>
      </c>
      <c r="BV288" s="50"/>
      <c r="BW288" s="50">
        <v>0</v>
      </c>
      <c r="BX288" s="50"/>
      <c r="BY288" s="50"/>
      <c r="BZ288" s="50"/>
      <c r="CA288" s="50">
        <v>0</v>
      </c>
      <c r="CB288" s="50">
        <v>0</v>
      </c>
      <c r="CC288" s="50">
        <v>0</v>
      </c>
      <c r="CD288" s="50">
        <v>0</v>
      </c>
      <c r="CE288" s="50">
        <v>0</v>
      </c>
      <c r="CF288" s="50">
        <v>0</v>
      </c>
      <c r="CG288" s="50"/>
      <c r="CH288" s="50">
        <v>0</v>
      </c>
      <c r="CI288" s="50">
        <v>0</v>
      </c>
      <c r="CJ288" s="50">
        <v>0</v>
      </c>
      <c r="CK288" s="50">
        <v>0</v>
      </c>
      <c r="CL288" s="50">
        <v>0</v>
      </c>
      <c r="CM288" s="50">
        <v>0</v>
      </c>
      <c r="CN288" s="51">
        <v>0</v>
      </c>
      <c r="CO288" s="51">
        <v>0</v>
      </c>
      <c r="CP288" s="51">
        <v>0</v>
      </c>
      <c r="CQ288" s="51">
        <v>0</v>
      </c>
      <c r="CR288" s="51">
        <v>0</v>
      </c>
      <c r="CS288" s="51">
        <v>0</v>
      </c>
      <c r="CT288" s="51">
        <v>0</v>
      </c>
      <c r="CU288" s="51">
        <v>0</v>
      </c>
      <c r="CV288" s="51">
        <v>0</v>
      </c>
      <c r="CW288" s="51">
        <v>0</v>
      </c>
      <c r="CX288" s="51">
        <v>0</v>
      </c>
      <c r="CY288" s="51">
        <v>0</v>
      </c>
      <c r="CZ288" s="51">
        <v>0</v>
      </c>
      <c r="DA288" s="51">
        <v>0</v>
      </c>
      <c r="DB288" s="51">
        <v>0</v>
      </c>
      <c r="DC288" s="51">
        <v>0</v>
      </c>
      <c r="DD288" s="51">
        <v>0</v>
      </c>
      <c r="DE288" s="51">
        <v>0</v>
      </c>
      <c r="DF288" s="52">
        <v>0</v>
      </c>
      <c r="DG288" s="52">
        <v>0</v>
      </c>
      <c r="DH288" s="52">
        <v>0</v>
      </c>
      <c r="DI288" s="52">
        <v>0</v>
      </c>
      <c r="DJ288" s="52">
        <v>0</v>
      </c>
      <c r="DK288" s="52">
        <v>0</v>
      </c>
      <c r="DL288" s="52">
        <v>0</v>
      </c>
      <c r="DM288" s="52">
        <v>0</v>
      </c>
      <c r="DN288" s="52">
        <v>0</v>
      </c>
      <c r="DO288" s="52">
        <v>0</v>
      </c>
      <c r="DP288" s="52">
        <v>0</v>
      </c>
      <c r="DQ288" s="52">
        <v>0</v>
      </c>
      <c r="DR288" s="52">
        <v>0</v>
      </c>
      <c r="DS288" s="53">
        <v>0</v>
      </c>
      <c r="DT288" s="53">
        <v>0</v>
      </c>
      <c r="DU288" s="53">
        <v>0</v>
      </c>
      <c r="DV288" s="53">
        <v>0</v>
      </c>
      <c r="DW288" s="53">
        <v>0</v>
      </c>
      <c r="DX288" s="2"/>
      <c r="DY288" s="2"/>
      <c r="DZ288" s="46">
        <f t="shared" si="69"/>
        <v>0</v>
      </c>
      <c r="EA288" s="46">
        <f t="shared" si="70"/>
        <v>0</v>
      </c>
      <c r="EB288" s="46">
        <f t="shared" si="71"/>
        <v>210</v>
      </c>
      <c r="EC288" s="46">
        <f t="shared" si="72"/>
        <v>871</v>
      </c>
      <c r="ED288" s="46">
        <f t="shared" si="73"/>
        <v>1080</v>
      </c>
      <c r="EE288" s="46">
        <f t="shared" si="74"/>
        <v>0</v>
      </c>
      <c r="EF288" s="46">
        <f t="shared" si="75"/>
        <v>0</v>
      </c>
      <c r="EG288" s="46">
        <f t="shared" si="76"/>
        <v>0</v>
      </c>
      <c r="EH288" s="46">
        <f t="shared" si="79"/>
        <v>0</v>
      </c>
      <c r="EI288" s="46">
        <f t="shared" si="78"/>
        <v>0</v>
      </c>
    </row>
    <row r="289" spans="3:139" ht="12">
      <c r="C289" s="36" t="s">
        <v>476</v>
      </c>
      <c r="D289" s="36" t="s">
        <v>412</v>
      </c>
      <c r="E289" s="36" t="s">
        <v>413</v>
      </c>
      <c r="F289" s="38">
        <f t="shared" si="77"/>
        <v>385</v>
      </c>
      <c r="G289" s="37" t="s">
        <v>473</v>
      </c>
      <c r="H289" s="47"/>
      <c r="I289" s="48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8"/>
      <c r="U289" s="48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8"/>
      <c r="AG289" s="48"/>
      <c r="AH289" s="49"/>
      <c r="AI289" s="49"/>
      <c r="AJ289" s="49"/>
      <c r="AK289" s="49"/>
      <c r="AL289" s="49">
        <v>10</v>
      </c>
      <c r="AM289" s="49"/>
      <c r="AN289" s="49">
        <v>160</v>
      </c>
      <c r="AO289" s="49"/>
      <c r="AP289" s="49"/>
      <c r="AQ289" s="49"/>
      <c r="AR289" s="49">
        <v>0</v>
      </c>
      <c r="AS289" s="49">
        <v>0</v>
      </c>
      <c r="AT289" s="49"/>
      <c r="AU289" s="49">
        <v>15</v>
      </c>
      <c r="AV289" s="49">
        <v>0</v>
      </c>
      <c r="AW289" s="49"/>
      <c r="AX289" s="49">
        <v>0</v>
      </c>
      <c r="AY289" s="49"/>
      <c r="AZ289" s="49">
        <v>0</v>
      </c>
      <c r="BA289" s="49">
        <v>100</v>
      </c>
      <c r="BB289" s="49">
        <v>0</v>
      </c>
      <c r="BC289" s="49">
        <v>0</v>
      </c>
      <c r="BD289" s="49">
        <v>0</v>
      </c>
      <c r="BE289" s="49">
        <v>100</v>
      </c>
      <c r="BF289" s="49"/>
      <c r="BG289" s="49"/>
      <c r="BH289" s="49"/>
      <c r="BI289" s="49">
        <v>0</v>
      </c>
      <c r="BJ289" s="49"/>
      <c r="BK289" s="49"/>
      <c r="BL289" s="49">
        <v>0</v>
      </c>
      <c r="BM289" s="49"/>
      <c r="BN289" s="49">
        <v>0</v>
      </c>
      <c r="BO289" s="49"/>
      <c r="BP289" s="50">
        <v>0</v>
      </c>
      <c r="BQ289" s="50">
        <v>0</v>
      </c>
      <c r="BR289" s="50"/>
      <c r="BS289" s="50">
        <v>0</v>
      </c>
      <c r="BT289" s="50">
        <v>0</v>
      </c>
      <c r="BU289" s="50">
        <v>0</v>
      </c>
      <c r="BV289" s="50"/>
      <c r="BW289" s="50">
        <v>0</v>
      </c>
      <c r="BX289" s="50"/>
      <c r="BY289" s="50"/>
      <c r="BZ289" s="50"/>
      <c r="CA289" s="50">
        <v>0</v>
      </c>
      <c r="CB289" s="50">
        <v>0</v>
      </c>
      <c r="CC289" s="50">
        <v>0</v>
      </c>
      <c r="CD289" s="50">
        <v>0</v>
      </c>
      <c r="CE289" s="50">
        <v>0</v>
      </c>
      <c r="CF289" s="50">
        <v>0</v>
      </c>
      <c r="CG289" s="50"/>
      <c r="CH289" s="50">
        <v>0</v>
      </c>
      <c r="CI289" s="50">
        <v>0</v>
      </c>
      <c r="CJ289" s="50">
        <v>0</v>
      </c>
      <c r="CK289" s="50">
        <v>0</v>
      </c>
      <c r="CL289" s="50">
        <v>0</v>
      </c>
      <c r="CM289" s="50">
        <v>0</v>
      </c>
      <c r="CN289" s="51">
        <v>0</v>
      </c>
      <c r="CO289" s="51">
        <v>0</v>
      </c>
      <c r="CP289" s="51">
        <v>0</v>
      </c>
      <c r="CQ289" s="51">
        <v>0</v>
      </c>
      <c r="CR289" s="51">
        <v>0</v>
      </c>
      <c r="CS289" s="51">
        <v>0</v>
      </c>
      <c r="CT289" s="51">
        <v>0</v>
      </c>
      <c r="CU289" s="51">
        <v>0</v>
      </c>
      <c r="CV289" s="51">
        <v>0</v>
      </c>
      <c r="CW289" s="51">
        <v>0</v>
      </c>
      <c r="CX289" s="51">
        <v>0</v>
      </c>
      <c r="CY289" s="51">
        <v>0</v>
      </c>
      <c r="CZ289" s="51">
        <v>0</v>
      </c>
      <c r="DA289" s="51">
        <v>0</v>
      </c>
      <c r="DB289" s="51">
        <v>0</v>
      </c>
      <c r="DC289" s="51">
        <v>0</v>
      </c>
      <c r="DD289" s="51">
        <v>0</v>
      </c>
      <c r="DE289" s="51">
        <v>0</v>
      </c>
      <c r="DF289" s="52">
        <v>0</v>
      </c>
      <c r="DG289" s="52">
        <v>0</v>
      </c>
      <c r="DH289" s="52">
        <v>0</v>
      </c>
      <c r="DI289" s="52">
        <v>0</v>
      </c>
      <c r="DJ289" s="52">
        <v>0</v>
      </c>
      <c r="DK289" s="52">
        <v>0</v>
      </c>
      <c r="DL289" s="52">
        <v>0</v>
      </c>
      <c r="DM289" s="52">
        <v>0</v>
      </c>
      <c r="DN289" s="52">
        <v>0</v>
      </c>
      <c r="DO289" s="52">
        <v>0</v>
      </c>
      <c r="DP289" s="52">
        <v>0</v>
      </c>
      <c r="DQ289" s="52">
        <v>0</v>
      </c>
      <c r="DR289" s="52">
        <v>0</v>
      </c>
      <c r="DS289" s="53">
        <v>0</v>
      </c>
      <c r="DT289" s="53">
        <v>0</v>
      </c>
      <c r="DU289" s="53">
        <v>0</v>
      </c>
      <c r="DV289" s="53">
        <v>0</v>
      </c>
      <c r="DW289" s="53">
        <v>0</v>
      </c>
      <c r="DX289" s="2"/>
      <c r="DY289" s="2"/>
      <c r="DZ289" s="46">
        <f t="shared" si="69"/>
        <v>0</v>
      </c>
      <c r="EA289" s="46">
        <f t="shared" si="70"/>
        <v>0</v>
      </c>
      <c r="EB289" s="46">
        <f t="shared" si="71"/>
        <v>170</v>
      </c>
      <c r="EC289" s="46">
        <f t="shared" si="72"/>
        <v>115</v>
      </c>
      <c r="ED289" s="46">
        <f t="shared" si="73"/>
        <v>100</v>
      </c>
      <c r="EE289" s="46">
        <f t="shared" si="74"/>
        <v>0</v>
      </c>
      <c r="EF289" s="46">
        <f t="shared" si="75"/>
        <v>0</v>
      </c>
      <c r="EG289" s="46">
        <f t="shared" si="76"/>
        <v>0</v>
      </c>
      <c r="EH289" s="46">
        <f t="shared" si="79"/>
        <v>0</v>
      </c>
      <c r="EI289" s="46">
        <f t="shared" si="78"/>
        <v>0</v>
      </c>
    </row>
    <row r="290" spans="3:139" ht="12">
      <c r="C290" s="36" t="s">
        <v>477</v>
      </c>
      <c r="D290" s="36" t="s">
        <v>412</v>
      </c>
      <c r="E290" s="36" t="s">
        <v>413</v>
      </c>
      <c r="F290" s="38">
        <f t="shared" si="77"/>
        <v>13159</v>
      </c>
      <c r="G290" s="37" t="s">
        <v>473</v>
      </c>
      <c r="H290" s="47"/>
      <c r="I290" s="48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8"/>
      <c r="U290" s="48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8"/>
      <c r="AG290" s="48"/>
      <c r="AH290" s="49"/>
      <c r="AI290" s="49"/>
      <c r="AJ290" s="49"/>
      <c r="AK290" s="49"/>
      <c r="AL290" s="49">
        <v>10</v>
      </c>
      <c r="AM290" s="49"/>
      <c r="AN290" s="49">
        <v>440</v>
      </c>
      <c r="AO290" s="49">
        <v>100</v>
      </c>
      <c r="AP290" s="49">
        <v>100</v>
      </c>
      <c r="AQ290" s="49">
        <v>400</v>
      </c>
      <c r="AR290" s="49">
        <v>900</v>
      </c>
      <c r="AS290" s="49">
        <v>685</v>
      </c>
      <c r="AT290" s="49">
        <v>1160</v>
      </c>
      <c r="AU290" s="49">
        <v>0</v>
      </c>
      <c r="AV290" s="49">
        <v>60</v>
      </c>
      <c r="AW290" s="49">
        <v>700</v>
      </c>
      <c r="AX290" s="49">
        <v>880</v>
      </c>
      <c r="AY290" s="49">
        <v>700</v>
      </c>
      <c r="AZ290" s="49">
        <v>999</v>
      </c>
      <c r="BA290" s="49">
        <v>1100</v>
      </c>
      <c r="BB290" s="49">
        <v>1000</v>
      </c>
      <c r="BC290" s="49">
        <v>598</v>
      </c>
      <c r="BD290" s="49">
        <v>1300</v>
      </c>
      <c r="BE290" s="49">
        <v>440</v>
      </c>
      <c r="BF290" s="49">
        <v>1056</v>
      </c>
      <c r="BG290" s="49">
        <v>100</v>
      </c>
      <c r="BH290" s="49"/>
      <c r="BI290" s="49">
        <v>0</v>
      </c>
      <c r="BJ290" s="49"/>
      <c r="BK290" s="49"/>
      <c r="BL290" s="49">
        <v>0</v>
      </c>
      <c r="BM290" s="49">
        <v>19</v>
      </c>
      <c r="BN290" s="49">
        <v>0</v>
      </c>
      <c r="BO290" s="49"/>
      <c r="BP290" s="50">
        <v>0</v>
      </c>
      <c r="BQ290" s="50">
        <v>56</v>
      </c>
      <c r="BR290" s="50"/>
      <c r="BS290" s="50">
        <v>0</v>
      </c>
      <c r="BT290" s="50">
        <v>0</v>
      </c>
      <c r="BU290" s="50">
        <v>0</v>
      </c>
      <c r="BV290" s="50"/>
      <c r="BW290" s="50">
        <v>0</v>
      </c>
      <c r="BX290" s="50">
        <v>8</v>
      </c>
      <c r="BY290" s="50">
        <v>22</v>
      </c>
      <c r="BZ290" s="50"/>
      <c r="CA290" s="50">
        <v>0</v>
      </c>
      <c r="CB290" s="50">
        <v>0</v>
      </c>
      <c r="CC290" s="50">
        <v>0</v>
      </c>
      <c r="CD290" s="50">
        <v>0</v>
      </c>
      <c r="CE290" s="50">
        <v>30</v>
      </c>
      <c r="CF290" s="50">
        <v>0</v>
      </c>
      <c r="CG290" s="50"/>
      <c r="CH290" s="50">
        <v>8</v>
      </c>
      <c r="CI290" s="50">
        <v>0</v>
      </c>
      <c r="CJ290" s="50">
        <v>0</v>
      </c>
      <c r="CK290" s="50">
        <v>0</v>
      </c>
      <c r="CL290" s="50">
        <v>23</v>
      </c>
      <c r="CM290" s="50">
        <v>0</v>
      </c>
      <c r="CN290" s="51">
        <v>0</v>
      </c>
      <c r="CO290" s="51">
        <v>0</v>
      </c>
      <c r="CP290" s="51">
        <v>40</v>
      </c>
      <c r="CQ290" s="51">
        <v>0</v>
      </c>
      <c r="CR290" s="51">
        <v>0</v>
      </c>
      <c r="CS290" s="51">
        <v>0</v>
      </c>
      <c r="CT290" s="51">
        <v>20</v>
      </c>
      <c r="CU290" s="51">
        <v>0</v>
      </c>
      <c r="CV290" s="51">
        <v>0</v>
      </c>
      <c r="CW290" s="51">
        <v>0</v>
      </c>
      <c r="CX290" s="51">
        <v>37</v>
      </c>
      <c r="CY290" s="51">
        <v>0</v>
      </c>
      <c r="CZ290" s="51">
        <v>0</v>
      </c>
      <c r="DA290" s="51">
        <v>39</v>
      </c>
      <c r="DB290" s="51">
        <v>0</v>
      </c>
      <c r="DC290" s="51">
        <v>0</v>
      </c>
      <c r="DD290" s="51">
        <v>0</v>
      </c>
      <c r="DE290" s="51">
        <v>0</v>
      </c>
      <c r="DF290" s="52">
        <v>19</v>
      </c>
      <c r="DG290" s="52">
        <v>0</v>
      </c>
      <c r="DH290" s="52">
        <v>0</v>
      </c>
      <c r="DI290" s="52">
        <v>0</v>
      </c>
      <c r="DJ290" s="52">
        <v>0</v>
      </c>
      <c r="DK290" s="52">
        <v>100</v>
      </c>
      <c r="DL290" s="52">
        <v>0</v>
      </c>
      <c r="DM290" s="52">
        <v>0</v>
      </c>
      <c r="DN290" s="52">
        <v>0</v>
      </c>
      <c r="DO290" s="52">
        <v>10</v>
      </c>
      <c r="DP290" s="52">
        <v>0</v>
      </c>
      <c r="DQ290" s="52">
        <v>0</v>
      </c>
      <c r="DR290" s="52">
        <v>0</v>
      </c>
      <c r="DS290" s="53">
        <v>0</v>
      </c>
      <c r="DT290" s="53">
        <v>0</v>
      </c>
      <c r="DU290" s="53">
        <v>0</v>
      </c>
      <c r="DV290" s="53">
        <v>0</v>
      </c>
      <c r="DW290" s="53">
        <v>0</v>
      </c>
      <c r="DX290" s="2"/>
      <c r="DY290" s="2"/>
      <c r="DZ290" s="46">
        <f t="shared" si="69"/>
        <v>0</v>
      </c>
      <c r="EA290" s="46">
        <f t="shared" si="70"/>
        <v>0</v>
      </c>
      <c r="EB290" s="46">
        <f t="shared" si="71"/>
        <v>1050</v>
      </c>
      <c r="EC290" s="46">
        <f t="shared" si="72"/>
        <v>8782</v>
      </c>
      <c r="ED290" s="46">
        <f t="shared" si="73"/>
        <v>2915</v>
      </c>
      <c r="EE290" s="46">
        <f t="shared" si="74"/>
        <v>86</v>
      </c>
      <c r="EF290" s="46">
        <f t="shared" si="75"/>
        <v>61</v>
      </c>
      <c r="EG290" s="46">
        <f t="shared" si="76"/>
        <v>97</v>
      </c>
      <c r="EH290" s="46">
        <f t="shared" si="79"/>
        <v>58</v>
      </c>
      <c r="EI290" s="46">
        <f t="shared" si="78"/>
        <v>10</v>
      </c>
    </row>
    <row r="291" spans="3:139" ht="12">
      <c r="C291" s="36" t="s">
        <v>478</v>
      </c>
      <c r="D291" s="36" t="s">
        <v>412</v>
      </c>
      <c r="E291" s="36" t="s">
        <v>413</v>
      </c>
      <c r="F291" s="38">
        <f t="shared" si="77"/>
        <v>18283</v>
      </c>
      <c r="G291" s="37" t="s">
        <v>473</v>
      </c>
      <c r="H291" s="47"/>
      <c r="I291" s="48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8"/>
      <c r="U291" s="48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8"/>
      <c r="AG291" s="48"/>
      <c r="AH291" s="49"/>
      <c r="AI291" s="49"/>
      <c r="AJ291" s="49"/>
      <c r="AK291" s="49"/>
      <c r="AL291" s="49">
        <v>10</v>
      </c>
      <c r="AM291" s="49">
        <v>500</v>
      </c>
      <c r="AN291" s="49">
        <v>1100</v>
      </c>
      <c r="AO291" s="49">
        <v>1500</v>
      </c>
      <c r="AP291" s="49">
        <v>200</v>
      </c>
      <c r="AQ291" s="49"/>
      <c r="AR291" s="49">
        <v>699</v>
      </c>
      <c r="AS291" s="49">
        <v>300</v>
      </c>
      <c r="AT291" s="49">
        <v>500</v>
      </c>
      <c r="AU291" s="49">
        <v>206</v>
      </c>
      <c r="AV291" s="49">
        <v>500</v>
      </c>
      <c r="AW291" s="49">
        <v>896</v>
      </c>
      <c r="AX291" s="49">
        <v>200</v>
      </c>
      <c r="AY291" s="49">
        <v>1807</v>
      </c>
      <c r="AZ291" s="49">
        <v>1091</v>
      </c>
      <c r="BA291" s="49">
        <v>1900</v>
      </c>
      <c r="BB291" s="49">
        <v>1900</v>
      </c>
      <c r="BC291" s="49">
        <v>800</v>
      </c>
      <c r="BD291" s="49">
        <v>500</v>
      </c>
      <c r="BE291" s="49">
        <v>700</v>
      </c>
      <c r="BF291" s="49">
        <v>1617</v>
      </c>
      <c r="BG291" s="49">
        <v>140</v>
      </c>
      <c r="BH291" s="49">
        <v>300</v>
      </c>
      <c r="BI291" s="49">
        <v>600</v>
      </c>
      <c r="BJ291" s="49"/>
      <c r="BK291" s="49"/>
      <c r="BL291" s="49">
        <v>0</v>
      </c>
      <c r="BM291" s="49"/>
      <c r="BN291" s="49">
        <v>0</v>
      </c>
      <c r="BO291" s="49"/>
      <c r="BP291" s="50">
        <v>0</v>
      </c>
      <c r="BQ291" s="50">
        <v>0</v>
      </c>
      <c r="BR291" s="50"/>
      <c r="BS291" s="50">
        <v>0</v>
      </c>
      <c r="BT291" s="50">
        <v>0</v>
      </c>
      <c r="BU291" s="50">
        <v>0</v>
      </c>
      <c r="BV291" s="50"/>
      <c r="BW291" s="50">
        <v>0</v>
      </c>
      <c r="BX291" s="50"/>
      <c r="BY291" s="50"/>
      <c r="BZ291" s="50"/>
      <c r="CA291" s="50">
        <v>0</v>
      </c>
      <c r="CB291" s="50">
        <v>0</v>
      </c>
      <c r="CC291" s="50">
        <v>20</v>
      </c>
      <c r="CD291" s="50">
        <v>0</v>
      </c>
      <c r="CE291" s="50">
        <v>0</v>
      </c>
      <c r="CF291" s="50">
        <v>28</v>
      </c>
      <c r="CG291" s="50"/>
      <c r="CH291" s="50">
        <v>0</v>
      </c>
      <c r="CI291" s="50">
        <v>28</v>
      </c>
      <c r="CJ291" s="50">
        <v>0</v>
      </c>
      <c r="CK291" s="50">
        <v>0</v>
      </c>
      <c r="CL291" s="50">
        <v>27</v>
      </c>
      <c r="CM291" s="50">
        <v>0</v>
      </c>
      <c r="CN291" s="51">
        <v>0</v>
      </c>
      <c r="CO291" s="51">
        <v>0</v>
      </c>
      <c r="CP291" s="51">
        <v>48</v>
      </c>
      <c r="CQ291" s="51">
        <v>0</v>
      </c>
      <c r="CR291" s="51">
        <v>0</v>
      </c>
      <c r="CS291" s="51">
        <v>0</v>
      </c>
      <c r="CT291" s="51">
        <v>38</v>
      </c>
      <c r="CU291" s="51">
        <v>11</v>
      </c>
      <c r="CV291" s="51">
        <v>0</v>
      </c>
      <c r="CW291" s="51">
        <v>0</v>
      </c>
      <c r="CX291" s="51">
        <v>17</v>
      </c>
      <c r="CY291" s="51">
        <v>0</v>
      </c>
      <c r="CZ291" s="51">
        <v>0</v>
      </c>
      <c r="DA291" s="51">
        <v>0</v>
      </c>
      <c r="DB291" s="51">
        <v>6</v>
      </c>
      <c r="DC291" s="51">
        <v>0</v>
      </c>
      <c r="DD291" s="51">
        <v>0</v>
      </c>
      <c r="DE291" s="51">
        <v>13</v>
      </c>
      <c r="DF291" s="52">
        <v>0</v>
      </c>
      <c r="DG291" s="52">
        <v>0</v>
      </c>
      <c r="DH291" s="52">
        <v>0</v>
      </c>
      <c r="DI291" s="52">
        <v>0</v>
      </c>
      <c r="DJ291" s="52">
        <v>4</v>
      </c>
      <c r="DK291" s="52">
        <v>27</v>
      </c>
      <c r="DL291" s="52">
        <v>0</v>
      </c>
      <c r="DM291" s="52">
        <v>50</v>
      </c>
      <c r="DN291" s="52">
        <v>0</v>
      </c>
      <c r="DO291" s="52">
        <v>0</v>
      </c>
      <c r="DP291" s="52">
        <v>0</v>
      </c>
      <c r="DQ291" s="52">
        <v>0</v>
      </c>
      <c r="DR291" s="52">
        <v>4</v>
      </c>
      <c r="DS291" s="53">
        <v>0</v>
      </c>
      <c r="DT291" s="53">
        <v>0</v>
      </c>
      <c r="DU291" s="53">
        <v>0</v>
      </c>
      <c r="DV291" s="53">
        <v>0</v>
      </c>
      <c r="DW291" s="53">
        <v>0</v>
      </c>
      <c r="DX291" s="2"/>
      <c r="DY291" s="2"/>
      <c r="DZ291" s="46">
        <f t="shared" si="69"/>
        <v>0</v>
      </c>
      <c r="EA291" s="46">
        <f t="shared" si="70"/>
        <v>0</v>
      </c>
      <c r="EB291" s="46">
        <f t="shared" si="71"/>
        <v>3310</v>
      </c>
      <c r="EC291" s="46">
        <f t="shared" si="72"/>
        <v>10799</v>
      </c>
      <c r="ED291" s="46">
        <f t="shared" si="73"/>
        <v>3857</v>
      </c>
      <c r="EE291" s="46">
        <f t="shared" si="74"/>
        <v>0</v>
      </c>
      <c r="EF291" s="46">
        <f t="shared" si="75"/>
        <v>103</v>
      </c>
      <c r="EG291" s="46">
        <f t="shared" si="76"/>
        <v>114</v>
      </c>
      <c r="EH291" s="46">
        <f t="shared" si="79"/>
        <v>23</v>
      </c>
      <c r="EI291" s="46">
        <f t="shared" si="78"/>
        <v>50</v>
      </c>
    </row>
    <row r="292" spans="3:139" ht="12">
      <c r="C292" s="36" t="s">
        <v>479</v>
      </c>
      <c r="D292" s="36" t="s">
        <v>412</v>
      </c>
      <c r="E292" s="36" t="s">
        <v>413</v>
      </c>
      <c r="F292" s="38">
        <f t="shared" si="77"/>
        <v>209</v>
      </c>
      <c r="G292" s="37" t="s">
        <v>473</v>
      </c>
      <c r="H292" s="47"/>
      <c r="I292" s="48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8"/>
      <c r="U292" s="48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8"/>
      <c r="AG292" s="48"/>
      <c r="AH292" s="49"/>
      <c r="AI292" s="49"/>
      <c r="AJ292" s="49"/>
      <c r="AK292" s="49"/>
      <c r="AL292" s="49">
        <v>10</v>
      </c>
      <c r="AM292" s="49"/>
      <c r="AN292" s="49">
        <v>0</v>
      </c>
      <c r="AO292" s="49">
        <v>80</v>
      </c>
      <c r="AP292" s="49"/>
      <c r="AQ292" s="49"/>
      <c r="AR292" s="49">
        <v>0</v>
      </c>
      <c r="AS292" s="49">
        <v>0</v>
      </c>
      <c r="AT292" s="49">
        <v>100</v>
      </c>
      <c r="AU292" s="49">
        <v>19</v>
      </c>
      <c r="AV292" s="49">
        <v>0</v>
      </c>
      <c r="AW292" s="49"/>
      <c r="AX292" s="49">
        <v>0</v>
      </c>
      <c r="AY292" s="49"/>
      <c r="AZ292" s="49">
        <v>0</v>
      </c>
      <c r="BA292" s="49">
        <v>0</v>
      </c>
      <c r="BB292" s="49">
        <v>0</v>
      </c>
      <c r="BC292" s="49">
        <v>0</v>
      </c>
      <c r="BD292" s="49">
        <v>0</v>
      </c>
      <c r="BE292" s="49">
        <v>0</v>
      </c>
      <c r="BF292" s="49"/>
      <c r="BG292" s="49"/>
      <c r="BH292" s="49"/>
      <c r="BI292" s="49">
        <v>0</v>
      </c>
      <c r="BJ292" s="49"/>
      <c r="BK292" s="49"/>
      <c r="BL292" s="49">
        <v>0</v>
      </c>
      <c r="BM292" s="49"/>
      <c r="BN292" s="49">
        <v>0</v>
      </c>
      <c r="BO292" s="49"/>
      <c r="BP292" s="50">
        <v>0</v>
      </c>
      <c r="BQ292" s="50">
        <v>0</v>
      </c>
      <c r="BR292" s="50"/>
      <c r="BS292" s="50">
        <v>0</v>
      </c>
      <c r="BT292" s="50">
        <v>0</v>
      </c>
      <c r="BU292" s="50">
        <v>0</v>
      </c>
      <c r="BV292" s="50"/>
      <c r="BW292" s="50">
        <v>0</v>
      </c>
      <c r="BX292" s="50"/>
      <c r="BY292" s="50"/>
      <c r="BZ292" s="50"/>
      <c r="CA292" s="50">
        <v>0</v>
      </c>
      <c r="CB292" s="50">
        <v>0</v>
      </c>
      <c r="CC292" s="50">
        <v>0</v>
      </c>
      <c r="CD292" s="50">
        <v>0</v>
      </c>
      <c r="CE292" s="50">
        <v>0</v>
      </c>
      <c r="CF292" s="50">
        <v>0</v>
      </c>
      <c r="CG292" s="50"/>
      <c r="CH292" s="50">
        <v>0</v>
      </c>
      <c r="CI292" s="50">
        <v>0</v>
      </c>
      <c r="CJ292" s="50">
        <v>0</v>
      </c>
      <c r="CK292" s="50">
        <v>0</v>
      </c>
      <c r="CL292" s="50">
        <v>0</v>
      </c>
      <c r="CM292" s="50">
        <v>0</v>
      </c>
      <c r="CN292" s="51">
        <v>0</v>
      </c>
      <c r="CO292" s="51">
        <v>0</v>
      </c>
      <c r="CP292" s="51">
        <v>0</v>
      </c>
      <c r="CQ292" s="51">
        <v>0</v>
      </c>
      <c r="CR292" s="51">
        <v>0</v>
      </c>
      <c r="CS292" s="51">
        <v>0</v>
      </c>
      <c r="CT292" s="51">
        <v>0</v>
      </c>
      <c r="CU292" s="51">
        <v>0</v>
      </c>
      <c r="CV292" s="51">
        <v>0</v>
      </c>
      <c r="CW292" s="51">
        <v>0</v>
      </c>
      <c r="CX292" s="51">
        <v>0</v>
      </c>
      <c r="CY292" s="51">
        <v>0</v>
      </c>
      <c r="CZ292" s="51">
        <v>0</v>
      </c>
      <c r="DA292" s="51">
        <v>0</v>
      </c>
      <c r="DB292" s="51">
        <v>0</v>
      </c>
      <c r="DC292" s="51">
        <v>0</v>
      </c>
      <c r="DD292" s="51">
        <v>0</v>
      </c>
      <c r="DE292" s="51">
        <v>0</v>
      </c>
      <c r="DF292" s="52">
        <v>0</v>
      </c>
      <c r="DG292" s="52">
        <v>0</v>
      </c>
      <c r="DH292" s="52">
        <v>0</v>
      </c>
      <c r="DI292" s="52">
        <v>0</v>
      </c>
      <c r="DJ292" s="52">
        <v>0</v>
      </c>
      <c r="DK292" s="52">
        <v>0</v>
      </c>
      <c r="DL292" s="52">
        <v>0</v>
      </c>
      <c r="DM292" s="52">
        <v>0</v>
      </c>
      <c r="DN292" s="52">
        <v>0</v>
      </c>
      <c r="DO292" s="52">
        <v>0</v>
      </c>
      <c r="DP292" s="52">
        <v>0</v>
      </c>
      <c r="DQ292" s="52">
        <v>0</v>
      </c>
      <c r="DR292" s="52">
        <v>0</v>
      </c>
      <c r="DS292" s="53">
        <v>0</v>
      </c>
      <c r="DT292" s="53">
        <v>0</v>
      </c>
      <c r="DU292" s="53">
        <v>0</v>
      </c>
      <c r="DV292" s="53">
        <v>0</v>
      </c>
      <c r="DW292" s="53">
        <v>0</v>
      </c>
      <c r="DX292" s="2"/>
      <c r="DY292" s="2"/>
      <c r="DZ292" s="46">
        <f t="shared" si="69"/>
        <v>0</v>
      </c>
      <c r="EA292" s="46">
        <f t="shared" si="70"/>
        <v>0</v>
      </c>
      <c r="EB292" s="46">
        <f t="shared" si="71"/>
        <v>90</v>
      </c>
      <c r="EC292" s="46">
        <f t="shared" si="72"/>
        <v>119</v>
      </c>
      <c r="ED292" s="46">
        <f t="shared" si="73"/>
        <v>0</v>
      </c>
      <c r="EE292" s="46">
        <f t="shared" si="74"/>
        <v>0</v>
      </c>
      <c r="EF292" s="46">
        <f t="shared" si="75"/>
        <v>0</v>
      </c>
      <c r="EG292" s="46">
        <f t="shared" si="76"/>
        <v>0</v>
      </c>
      <c r="EH292" s="46">
        <f t="shared" si="79"/>
        <v>0</v>
      </c>
      <c r="EI292" s="46">
        <f t="shared" si="78"/>
        <v>0</v>
      </c>
    </row>
    <row r="293" spans="3:139" ht="12">
      <c r="C293" s="36" t="s">
        <v>480</v>
      </c>
      <c r="D293" s="36" t="s">
        <v>412</v>
      </c>
      <c r="E293" s="36" t="s">
        <v>413</v>
      </c>
      <c r="F293" s="38">
        <f t="shared" si="77"/>
        <v>54555</v>
      </c>
      <c r="G293" s="37" t="s">
        <v>473</v>
      </c>
      <c r="H293" s="47"/>
      <c r="I293" s="48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8"/>
      <c r="U293" s="48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8"/>
      <c r="AG293" s="48"/>
      <c r="AH293" s="49"/>
      <c r="AI293" s="49"/>
      <c r="AJ293" s="49"/>
      <c r="AK293" s="49"/>
      <c r="AL293" s="49">
        <v>10</v>
      </c>
      <c r="AM293" s="49"/>
      <c r="AN293" s="49">
        <v>0</v>
      </c>
      <c r="AO293" s="49">
        <v>80</v>
      </c>
      <c r="AP293" s="49"/>
      <c r="AQ293" s="49"/>
      <c r="AR293" s="49">
        <v>2400</v>
      </c>
      <c r="AS293" s="49">
        <v>3560</v>
      </c>
      <c r="AT293" s="49">
        <v>2940</v>
      </c>
      <c r="AU293" s="49">
        <v>3319</v>
      </c>
      <c r="AV293" s="49">
        <v>5900</v>
      </c>
      <c r="AW293" s="49">
        <v>3946</v>
      </c>
      <c r="AX293" s="49">
        <v>3098</v>
      </c>
      <c r="AY293" s="49">
        <v>3697</v>
      </c>
      <c r="AZ293" s="49">
        <v>5283</v>
      </c>
      <c r="BA293" s="49">
        <v>2599</v>
      </c>
      <c r="BB293" s="49">
        <v>3078</v>
      </c>
      <c r="BC293" s="49">
        <v>5700</v>
      </c>
      <c r="BD293" s="49">
        <v>1800</v>
      </c>
      <c r="BE293" s="49">
        <v>4480</v>
      </c>
      <c r="BF293" s="49">
        <v>1440</v>
      </c>
      <c r="BG293" s="49"/>
      <c r="BH293" s="49"/>
      <c r="BI293" s="49">
        <v>118</v>
      </c>
      <c r="BJ293" s="49">
        <v>99</v>
      </c>
      <c r="BK293" s="49"/>
      <c r="BL293" s="49">
        <v>0</v>
      </c>
      <c r="BM293" s="49"/>
      <c r="BN293" s="49">
        <v>207</v>
      </c>
      <c r="BO293" s="49"/>
      <c r="BP293" s="50">
        <v>0</v>
      </c>
      <c r="BQ293" s="50">
        <v>0</v>
      </c>
      <c r="BR293" s="50"/>
      <c r="BS293" s="50">
        <v>15</v>
      </c>
      <c r="BT293" s="50">
        <v>90</v>
      </c>
      <c r="BU293" s="50">
        <v>10</v>
      </c>
      <c r="BV293" s="50"/>
      <c r="BW293" s="50">
        <v>0</v>
      </c>
      <c r="BX293" s="50"/>
      <c r="BY293" s="50"/>
      <c r="BZ293" s="50">
        <v>0</v>
      </c>
      <c r="CA293" s="50">
        <v>100</v>
      </c>
      <c r="CB293" s="50">
        <v>0</v>
      </c>
      <c r="CC293" s="50">
        <v>0</v>
      </c>
      <c r="CD293" s="50">
        <v>0</v>
      </c>
      <c r="CE293" s="50">
        <v>0</v>
      </c>
      <c r="CF293" s="50">
        <v>0</v>
      </c>
      <c r="CG293" s="50"/>
      <c r="CH293" s="50">
        <v>10</v>
      </c>
      <c r="CI293" s="50">
        <v>32</v>
      </c>
      <c r="CJ293" s="50">
        <v>0</v>
      </c>
      <c r="CK293" s="50">
        <v>0</v>
      </c>
      <c r="CL293" s="50">
        <v>57</v>
      </c>
      <c r="CM293" s="50">
        <v>0</v>
      </c>
      <c r="CN293" s="51">
        <v>36</v>
      </c>
      <c r="CO293" s="51">
        <v>0</v>
      </c>
      <c r="CP293" s="51">
        <v>27</v>
      </c>
      <c r="CQ293" s="51">
        <v>55</v>
      </c>
      <c r="CR293" s="51">
        <v>0</v>
      </c>
      <c r="CS293" s="51">
        <v>0</v>
      </c>
      <c r="CT293" s="51">
        <v>19</v>
      </c>
      <c r="CU293" s="51">
        <v>0</v>
      </c>
      <c r="CV293" s="51">
        <v>0</v>
      </c>
      <c r="CW293" s="51">
        <v>0</v>
      </c>
      <c r="CX293" s="51">
        <v>43</v>
      </c>
      <c r="CY293" s="51">
        <v>54</v>
      </c>
      <c r="CZ293" s="51">
        <v>0</v>
      </c>
      <c r="DA293" s="51">
        <v>0</v>
      </c>
      <c r="DB293" s="51">
        <v>0</v>
      </c>
      <c r="DC293" s="51">
        <v>0</v>
      </c>
      <c r="DD293" s="51">
        <v>0</v>
      </c>
      <c r="DE293" s="51">
        <v>83</v>
      </c>
      <c r="DF293" s="52">
        <v>0</v>
      </c>
      <c r="DG293" s="52">
        <v>0</v>
      </c>
      <c r="DH293" s="52">
        <v>0</v>
      </c>
      <c r="DI293" s="52">
        <v>0</v>
      </c>
      <c r="DJ293" s="52">
        <v>0</v>
      </c>
      <c r="DK293" s="52">
        <v>82</v>
      </c>
      <c r="DL293" s="52">
        <v>4</v>
      </c>
      <c r="DM293" s="52">
        <v>0</v>
      </c>
      <c r="DN293" s="52">
        <v>0</v>
      </c>
      <c r="DO293" s="52">
        <v>0</v>
      </c>
      <c r="DP293" s="52">
        <v>0</v>
      </c>
      <c r="DQ293" s="52">
        <v>84</v>
      </c>
      <c r="DR293" s="52">
        <v>0</v>
      </c>
      <c r="DS293" s="53">
        <v>0</v>
      </c>
      <c r="DT293" s="53">
        <v>0</v>
      </c>
      <c r="DU293" s="53">
        <v>0</v>
      </c>
      <c r="DV293" s="53">
        <v>0</v>
      </c>
      <c r="DW293" s="53">
        <v>0</v>
      </c>
      <c r="DX293" s="2"/>
      <c r="DY293" s="2"/>
      <c r="DZ293" s="46">
        <f t="shared" si="69"/>
        <v>0</v>
      </c>
      <c r="EA293" s="46">
        <f t="shared" si="70"/>
        <v>0</v>
      </c>
      <c r="EB293" s="46">
        <f t="shared" si="71"/>
        <v>90</v>
      </c>
      <c r="EC293" s="46">
        <f t="shared" si="72"/>
        <v>45520</v>
      </c>
      <c r="ED293" s="46">
        <f t="shared" si="73"/>
        <v>8144</v>
      </c>
      <c r="EE293" s="46">
        <f t="shared" si="74"/>
        <v>215</v>
      </c>
      <c r="EF293" s="46">
        <f t="shared" si="75"/>
        <v>99</v>
      </c>
      <c r="EG293" s="46">
        <f t="shared" si="76"/>
        <v>234</v>
      </c>
      <c r="EH293" s="46">
        <f t="shared" si="79"/>
        <v>83</v>
      </c>
      <c r="EI293" s="46">
        <f t="shared" si="78"/>
        <v>4</v>
      </c>
    </row>
    <row r="294" spans="3:139" ht="12">
      <c r="C294" s="36" t="s">
        <v>481</v>
      </c>
      <c r="D294" s="36" t="s">
        <v>412</v>
      </c>
      <c r="E294" s="36" t="s">
        <v>413</v>
      </c>
      <c r="F294" s="38">
        <f t="shared" si="77"/>
        <v>3276</v>
      </c>
      <c r="G294" s="37" t="s">
        <v>473</v>
      </c>
      <c r="H294" s="47"/>
      <c r="I294" s="48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8"/>
      <c r="U294" s="48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8"/>
      <c r="AG294" s="48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>
        <v>35</v>
      </c>
      <c r="AT294" s="49">
        <v>0</v>
      </c>
      <c r="AU294" s="49">
        <v>499</v>
      </c>
      <c r="AV294" s="49">
        <v>200</v>
      </c>
      <c r="AW294" s="49">
        <v>305</v>
      </c>
      <c r="AX294" s="49">
        <v>100</v>
      </c>
      <c r="AY294" s="49"/>
      <c r="AZ294" s="49">
        <v>299</v>
      </c>
      <c r="BA294" s="49">
        <v>480</v>
      </c>
      <c r="BB294" s="49">
        <v>400</v>
      </c>
      <c r="BC294" s="49">
        <v>0</v>
      </c>
      <c r="BD294" s="49">
        <v>500</v>
      </c>
      <c r="BE294" s="49">
        <v>300</v>
      </c>
      <c r="BF294" s="49"/>
      <c r="BG294" s="49"/>
      <c r="BH294" s="49"/>
      <c r="BI294" s="49">
        <v>59</v>
      </c>
      <c r="BJ294" s="49">
        <v>25</v>
      </c>
      <c r="BK294" s="49"/>
      <c r="BL294" s="49">
        <v>0</v>
      </c>
      <c r="BM294" s="49"/>
      <c r="BN294" s="49">
        <v>0</v>
      </c>
      <c r="BO294" s="49"/>
      <c r="BP294" s="50">
        <v>0</v>
      </c>
      <c r="BQ294" s="50">
        <v>38</v>
      </c>
      <c r="BR294" s="50"/>
      <c r="BS294" s="50">
        <v>0</v>
      </c>
      <c r="BT294" s="50">
        <v>0</v>
      </c>
      <c r="BU294" s="50">
        <v>0</v>
      </c>
      <c r="BV294" s="50"/>
      <c r="BW294" s="50">
        <v>0</v>
      </c>
      <c r="BX294" s="50"/>
      <c r="BY294" s="50"/>
      <c r="BZ294" s="50"/>
      <c r="CA294" s="50">
        <v>0</v>
      </c>
      <c r="CB294" s="50">
        <v>0</v>
      </c>
      <c r="CC294" s="50">
        <v>0</v>
      </c>
      <c r="CD294" s="50">
        <v>0</v>
      </c>
      <c r="CE294" s="50">
        <v>0</v>
      </c>
      <c r="CF294" s="50">
        <v>0</v>
      </c>
      <c r="CG294" s="50"/>
      <c r="CH294" s="50">
        <v>0</v>
      </c>
      <c r="CI294" s="50">
        <v>0</v>
      </c>
      <c r="CJ294" s="50">
        <v>0</v>
      </c>
      <c r="CK294" s="50">
        <v>0</v>
      </c>
      <c r="CL294" s="50">
        <v>0</v>
      </c>
      <c r="CM294" s="50">
        <v>0</v>
      </c>
      <c r="CN294" s="51">
        <v>0</v>
      </c>
      <c r="CO294" s="51">
        <v>0</v>
      </c>
      <c r="CP294" s="51">
        <v>0</v>
      </c>
      <c r="CQ294" s="51">
        <v>0</v>
      </c>
      <c r="CR294" s="51">
        <v>0</v>
      </c>
      <c r="CS294" s="51">
        <v>0</v>
      </c>
      <c r="CT294" s="51">
        <v>0</v>
      </c>
      <c r="CU294" s="51">
        <v>0</v>
      </c>
      <c r="CV294" s="51">
        <v>0</v>
      </c>
      <c r="CW294" s="51">
        <v>0</v>
      </c>
      <c r="CX294" s="51">
        <v>0</v>
      </c>
      <c r="CY294" s="51">
        <v>0</v>
      </c>
      <c r="CZ294" s="51">
        <v>0</v>
      </c>
      <c r="DA294" s="51">
        <v>0</v>
      </c>
      <c r="DB294" s="51">
        <v>0</v>
      </c>
      <c r="DC294" s="51">
        <v>0</v>
      </c>
      <c r="DD294" s="51">
        <v>0</v>
      </c>
      <c r="DE294" s="51">
        <v>0</v>
      </c>
      <c r="DF294" s="52">
        <v>0</v>
      </c>
      <c r="DG294" s="52">
        <v>0</v>
      </c>
      <c r="DH294" s="52">
        <v>0</v>
      </c>
      <c r="DI294" s="52">
        <v>36</v>
      </c>
      <c r="DJ294" s="52">
        <v>0</v>
      </c>
      <c r="DK294" s="52">
        <v>0</v>
      </c>
      <c r="DL294" s="52">
        <v>0</v>
      </c>
      <c r="DM294" s="52">
        <v>0</v>
      </c>
      <c r="DN294" s="52">
        <v>0</v>
      </c>
      <c r="DO294" s="52">
        <v>0</v>
      </c>
      <c r="DP294" s="52">
        <v>0</v>
      </c>
      <c r="DQ294" s="52">
        <v>0</v>
      </c>
      <c r="DR294" s="52">
        <v>0</v>
      </c>
      <c r="DS294" s="53">
        <v>0</v>
      </c>
      <c r="DT294" s="53">
        <v>0</v>
      </c>
      <c r="DU294" s="53">
        <v>0</v>
      </c>
      <c r="DV294" s="53">
        <v>0</v>
      </c>
      <c r="DW294" s="53">
        <v>0</v>
      </c>
      <c r="DX294" s="2"/>
      <c r="DY294" s="2"/>
      <c r="DZ294" s="46">
        <f t="shared" si="69"/>
        <v>0</v>
      </c>
      <c r="EA294" s="46">
        <f t="shared" si="70"/>
        <v>0</v>
      </c>
      <c r="EB294" s="46">
        <f t="shared" si="71"/>
        <v>0</v>
      </c>
      <c r="EC294" s="46">
        <f t="shared" si="72"/>
        <v>2318</v>
      </c>
      <c r="ED294" s="46">
        <f t="shared" si="73"/>
        <v>884</v>
      </c>
      <c r="EE294" s="46">
        <f t="shared" si="74"/>
        <v>38</v>
      </c>
      <c r="EF294" s="46">
        <f t="shared" si="75"/>
        <v>0</v>
      </c>
      <c r="EG294" s="46">
        <f t="shared" si="76"/>
        <v>0</v>
      </c>
      <c r="EH294" s="46">
        <f t="shared" si="79"/>
        <v>36</v>
      </c>
      <c r="EI294" s="46">
        <f t="shared" si="78"/>
        <v>0</v>
      </c>
    </row>
    <row r="295" spans="3:139" ht="12">
      <c r="C295" s="36" t="s">
        <v>482</v>
      </c>
      <c r="D295" s="36" t="s">
        <v>412</v>
      </c>
      <c r="E295" s="36" t="s">
        <v>413</v>
      </c>
      <c r="F295" s="38">
        <f t="shared" si="77"/>
        <v>55561</v>
      </c>
      <c r="G295" s="37" t="s">
        <v>473</v>
      </c>
      <c r="H295" s="47"/>
      <c r="I295" s="48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8"/>
      <c r="U295" s="48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8"/>
      <c r="AG295" s="48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>
        <v>22</v>
      </c>
      <c r="AT295" s="49"/>
      <c r="AU295" s="49">
        <v>1000</v>
      </c>
      <c r="AV295" s="49">
        <v>3700</v>
      </c>
      <c r="AW295" s="49">
        <v>5771</v>
      </c>
      <c r="AX295" s="49">
        <v>8008</v>
      </c>
      <c r="AY295" s="49">
        <v>5299</v>
      </c>
      <c r="AZ295" s="49">
        <v>5479</v>
      </c>
      <c r="BA295" s="49">
        <v>2700</v>
      </c>
      <c r="BB295" s="49">
        <v>3600</v>
      </c>
      <c r="BC295" s="49">
        <f>4700+599</f>
        <v>5299</v>
      </c>
      <c r="BD295" s="49">
        <v>6100</v>
      </c>
      <c r="BE295" s="49">
        <v>5480</v>
      </c>
      <c r="BF295" s="49">
        <v>2000</v>
      </c>
      <c r="BG295" s="49"/>
      <c r="BH295" s="49"/>
      <c r="BI295" s="49">
        <v>80</v>
      </c>
      <c r="BJ295" s="49">
        <v>74</v>
      </c>
      <c r="BK295" s="49"/>
      <c r="BL295" s="49">
        <v>0</v>
      </c>
      <c r="BM295" s="49">
        <v>183</v>
      </c>
      <c r="BN295" s="49">
        <v>0</v>
      </c>
      <c r="BO295" s="49"/>
      <c r="BP295" s="50">
        <v>0</v>
      </c>
      <c r="BQ295" s="50">
        <v>0</v>
      </c>
      <c r="BR295" s="50">
        <v>0</v>
      </c>
      <c r="BS295" s="50">
        <v>25</v>
      </c>
      <c r="BT295" s="50">
        <v>85</v>
      </c>
      <c r="BU295" s="50">
        <v>0</v>
      </c>
      <c r="BV295" s="50"/>
      <c r="BW295" s="50">
        <v>0</v>
      </c>
      <c r="BX295" s="50"/>
      <c r="BY295" s="50"/>
      <c r="BZ295" s="50"/>
      <c r="CA295" s="50">
        <v>0</v>
      </c>
      <c r="CB295" s="50">
        <v>0</v>
      </c>
      <c r="CC295" s="50">
        <v>0</v>
      </c>
      <c r="CD295" s="50">
        <v>99</v>
      </c>
      <c r="CE295" s="50">
        <v>0</v>
      </c>
      <c r="CF295" s="50">
        <v>0</v>
      </c>
      <c r="CG295" s="50"/>
      <c r="CH295" s="50">
        <v>0</v>
      </c>
      <c r="CI295" s="50">
        <v>0</v>
      </c>
      <c r="CJ295" s="50">
        <v>0</v>
      </c>
      <c r="CK295" s="50">
        <v>70</v>
      </c>
      <c r="CL295" s="50">
        <v>0</v>
      </c>
      <c r="CM295" s="50">
        <v>0</v>
      </c>
      <c r="CN295" s="51">
        <v>6</v>
      </c>
      <c r="CO295" s="51">
        <v>0</v>
      </c>
      <c r="CP295" s="51">
        <v>109</v>
      </c>
      <c r="CQ295" s="51">
        <v>0</v>
      </c>
      <c r="CR295" s="51">
        <v>52</v>
      </c>
      <c r="CS295" s="51">
        <v>0</v>
      </c>
      <c r="CT295" s="51">
        <v>0</v>
      </c>
      <c r="CU295" s="51">
        <v>0</v>
      </c>
      <c r="CV295" s="51">
        <v>0</v>
      </c>
      <c r="CW295" s="51">
        <v>0</v>
      </c>
      <c r="CX295" s="51">
        <v>52</v>
      </c>
      <c r="CY295" s="51">
        <v>0</v>
      </c>
      <c r="CZ295" s="51">
        <v>0</v>
      </c>
      <c r="DA295" s="51">
        <v>57</v>
      </c>
      <c r="DB295" s="51">
        <v>8</v>
      </c>
      <c r="DC295" s="51">
        <v>0</v>
      </c>
      <c r="DD295" s="51">
        <v>0</v>
      </c>
      <c r="DE295" s="51">
        <v>45</v>
      </c>
      <c r="DF295" s="52">
        <v>13</v>
      </c>
      <c r="DG295" s="52">
        <v>0</v>
      </c>
      <c r="DH295" s="52">
        <v>70</v>
      </c>
      <c r="DI295" s="52">
        <v>0</v>
      </c>
      <c r="DJ295" s="52">
        <v>0</v>
      </c>
      <c r="DK295" s="52">
        <v>0</v>
      </c>
      <c r="DL295" s="52">
        <v>75</v>
      </c>
      <c r="DM295" s="52">
        <v>0</v>
      </c>
      <c r="DN295" s="52">
        <v>0</v>
      </c>
      <c r="DO295" s="52">
        <v>0</v>
      </c>
      <c r="DP295" s="52">
        <v>0</v>
      </c>
      <c r="DQ295" s="52">
        <v>0</v>
      </c>
      <c r="DR295" s="52">
        <v>0</v>
      </c>
      <c r="DS295" s="53">
        <v>0</v>
      </c>
      <c r="DT295" s="53">
        <v>0</v>
      </c>
      <c r="DU295" s="53">
        <v>0</v>
      </c>
      <c r="DV295" s="53">
        <v>0</v>
      </c>
      <c r="DW295" s="53">
        <v>0</v>
      </c>
      <c r="DX295" s="2"/>
      <c r="DY295" s="2"/>
      <c r="DZ295" s="46">
        <f t="shared" si="69"/>
        <v>0</v>
      </c>
      <c r="EA295" s="46">
        <f t="shared" si="70"/>
        <v>0</v>
      </c>
      <c r="EB295" s="46">
        <f t="shared" si="71"/>
        <v>0</v>
      </c>
      <c r="EC295" s="46">
        <f t="shared" si="72"/>
        <v>40878</v>
      </c>
      <c r="ED295" s="46">
        <f t="shared" si="73"/>
        <v>13917</v>
      </c>
      <c r="EE295" s="46">
        <f t="shared" si="74"/>
        <v>110</v>
      </c>
      <c r="EF295" s="46">
        <f t="shared" si="75"/>
        <v>169</v>
      </c>
      <c r="EG295" s="46">
        <f t="shared" si="76"/>
        <v>219</v>
      </c>
      <c r="EH295" s="46">
        <f t="shared" si="79"/>
        <v>193</v>
      </c>
      <c r="EI295" s="46">
        <f t="shared" si="78"/>
        <v>75</v>
      </c>
    </row>
    <row r="296" spans="3:139" ht="12">
      <c r="C296" s="36" t="s">
        <v>483</v>
      </c>
      <c r="D296" s="36" t="s">
        <v>412</v>
      </c>
      <c r="E296" s="36" t="s">
        <v>413</v>
      </c>
      <c r="F296" s="38">
        <f t="shared" si="77"/>
        <v>3580</v>
      </c>
      <c r="G296" s="37" t="s">
        <v>473</v>
      </c>
      <c r="H296" s="47"/>
      <c r="I296" s="48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8"/>
      <c r="U296" s="48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8"/>
      <c r="AG296" s="48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>
        <v>0</v>
      </c>
      <c r="BA296" s="49">
        <v>0</v>
      </c>
      <c r="BB296" s="49">
        <v>900</v>
      </c>
      <c r="BC296" s="49">
        <v>900</v>
      </c>
      <c r="BD296" s="49">
        <v>180</v>
      </c>
      <c r="BE296" s="49">
        <v>500</v>
      </c>
      <c r="BF296" s="49">
        <v>1100</v>
      </c>
      <c r="BG296" s="49"/>
      <c r="BH296" s="49"/>
      <c r="BI296" s="49">
        <v>0</v>
      </c>
      <c r="BJ296" s="49"/>
      <c r="BK296" s="49"/>
      <c r="BL296" s="49">
        <v>0</v>
      </c>
      <c r="BM296" s="49"/>
      <c r="BN296" s="49">
        <v>0</v>
      </c>
      <c r="BO296" s="49"/>
      <c r="BP296" s="50">
        <v>0</v>
      </c>
      <c r="BQ296" s="50">
        <v>0</v>
      </c>
      <c r="BR296" s="50"/>
      <c r="BS296" s="50">
        <v>0</v>
      </c>
      <c r="BT296" s="50">
        <v>0</v>
      </c>
      <c r="BU296" s="50">
        <v>0</v>
      </c>
      <c r="BV296" s="50"/>
      <c r="BW296" s="50">
        <v>0</v>
      </c>
      <c r="BX296" s="50"/>
      <c r="BY296" s="50"/>
      <c r="BZ296" s="50"/>
      <c r="CA296" s="50">
        <v>0</v>
      </c>
      <c r="CB296" s="50">
        <v>0</v>
      </c>
      <c r="CC296" s="50">
        <v>0</v>
      </c>
      <c r="CD296" s="50">
        <v>0</v>
      </c>
      <c r="CE296" s="50">
        <v>0</v>
      </c>
      <c r="CF296" s="50">
        <v>0</v>
      </c>
      <c r="CG296" s="50"/>
      <c r="CH296" s="50">
        <v>0</v>
      </c>
      <c r="CI296" s="50">
        <v>0</v>
      </c>
      <c r="CJ296" s="50">
        <v>0</v>
      </c>
      <c r="CK296" s="50">
        <v>0</v>
      </c>
      <c r="CL296" s="50">
        <v>0</v>
      </c>
      <c r="CM296" s="50">
        <v>0</v>
      </c>
      <c r="CN296" s="51">
        <v>0</v>
      </c>
      <c r="CO296" s="51">
        <v>0</v>
      </c>
      <c r="CP296" s="51">
        <v>0</v>
      </c>
      <c r="CQ296" s="51">
        <v>0</v>
      </c>
      <c r="CR296" s="51">
        <v>0</v>
      </c>
      <c r="CS296" s="51">
        <v>0</v>
      </c>
      <c r="CT296" s="51">
        <v>0</v>
      </c>
      <c r="CU296" s="51">
        <v>0</v>
      </c>
      <c r="CV296" s="51">
        <v>0</v>
      </c>
      <c r="CW296" s="51">
        <v>0</v>
      </c>
      <c r="CX296" s="51">
        <v>0</v>
      </c>
      <c r="CY296" s="51">
        <v>0</v>
      </c>
      <c r="CZ296" s="51">
        <v>0</v>
      </c>
      <c r="DA296" s="51">
        <v>0</v>
      </c>
      <c r="DB296" s="51">
        <v>0</v>
      </c>
      <c r="DC296" s="51">
        <v>0</v>
      </c>
      <c r="DD296" s="51">
        <v>0</v>
      </c>
      <c r="DE296" s="51">
        <v>0</v>
      </c>
      <c r="DF296" s="52">
        <v>0</v>
      </c>
      <c r="DG296" s="52">
        <v>0</v>
      </c>
      <c r="DH296" s="52">
        <v>0</v>
      </c>
      <c r="DI296" s="52">
        <v>0</v>
      </c>
      <c r="DJ296" s="52">
        <v>0</v>
      </c>
      <c r="DK296" s="52">
        <v>0</v>
      </c>
      <c r="DL296" s="52">
        <v>0</v>
      </c>
      <c r="DM296" s="52">
        <v>0</v>
      </c>
      <c r="DN296" s="52">
        <v>0</v>
      </c>
      <c r="DO296" s="52">
        <v>0</v>
      </c>
      <c r="DP296" s="52">
        <v>0</v>
      </c>
      <c r="DQ296" s="52">
        <v>0</v>
      </c>
      <c r="DR296" s="52">
        <v>0</v>
      </c>
      <c r="DS296" s="53">
        <v>0</v>
      </c>
      <c r="DT296" s="53">
        <v>0</v>
      </c>
      <c r="DU296" s="53">
        <v>0</v>
      </c>
      <c r="DV296" s="53">
        <v>0</v>
      </c>
      <c r="DW296" s="53">
        <v>0</v>
      </c>
      <c r="DX296" s="2"/>
      <c r="DY296" s="2"/>
      <c r="DZ296" s="46">
        <f t="shared" si="69"/>
        <v>0</v>
      </c>
      <c r="EA296" s="46">
        <f t="shared" si="70"/>
        <v>0</v>
      </c>
      <c r="EB296" s="46">
        <f t="shared" si="71"/>
        <v>0</v>
      </c>
      <c r="EC296" s="46">
        <f t="shared" si="72"/>
        <v>1800</v>
      </c>
      <c r="ED296" s="46">
        <f t="shared" si="73"/>
        <v>1780</v>
      </c>
      <c r="EE296" s="46">
        <f t="shared" si="74"/>
        <v>0</v>
      </c>
      <c r="EF296" s="46">
        <f t="shared" si="75"/>
        <v>0</v>
      </c>
      <c r="EG296" s="46">
        <f t="shared" si="76"/>
        <v>0</v>
      </c>
      <c r="EH296" s="46">
        <f t="shared" si="79"/>
        <v>0</v>
      </c>
      <c r="EI296" s="46">
        <f t="shared" si="78"/>
        <v>0</v>
      </c>
    </row>
    <row r="297" spans="3:139" ht="12">
      <c r="C297" s="36" t="s">
        <v>484</v>
      </c>
      <c r="D297" s="36" t="s">
        <v>412</v>
      </c>
      <c r="E297" s="36" t="s">
        <v>413</v>
      </c>
      <c r="F297" s="38">
        <f t="shared" si="77"/>
        <v>23443</v>
      </c>
      <c r="G297" s="37" t="s">
        <v>473</v>
      </c>
      <c r="H297" s="47"/>
      <c r="I297" s="48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8"/>
      <c r="U297" s="48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8"/>
      <c r="AG297" s="48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>
        <v>3</v>
      </c>
      <c r="AT297" s="49"/>
      <c r="AU297" s="49">
        <v>1999</v>
      </c>
      <c r="AV297" s="49">
        <v>6899</v>
      </c>
      <c r="AW297" s="49">
        <v>7004</v>
      </c>
      <c r="AX297" s="49">
        <v>6406</v>
      </c>
      <c r="AY297" s="49"/>
      <c r="AZ297" s="49">
        <v>-7</v>
      </c>
      <c r="BA297" s="49">
        <v>400</v>
      </c>
      <c r="BB297" s="49">
        <v>0</v>
      </c>
      <c r="BC297" s="49">
        <v>0</v>
      </c>
      <c r="BD297" s="49">
        <v>0</v>
      </c>
      <c r="BE297" s="49">
        <v>0</v>
      </c>
      <c r="BF297" s="49"/>
      <c r="BG297" s="49"/>
      <c r="BH297" s="49">
        <v>59</v>
      </c>
      <c r="BI297" s="49">
        <v>0</v>
      </c>
      <c r="BJ297" s="49">
        <v>73</v>
      </c>
      <c r="BK297" s="49"/>
      <c r="BL297" s="49">
        <v>0</v>
      </c>
      <c r="BM297" s="49">
        <v>74</v>
      </c>
      <c r="BN297" s="49">
        <v>0</v>
      </c>
      <c r="BO297" s="49"/>
      <c r="BP297" s="50">
        <v>0</v>
      </c>
      <c r="BQ297" s="50">
        <v>0</v>
      </c>
      <c r="BR297" s="50"/>
      <c r="BS297" s="50">
        <v>0</v>
      </c>
      <c r="BT297" s="50">
        <v>0</v>
      </c>
      <c r="BU297" s="50">
        <v>0</v>
      </c>
      <c r="BV297" s="50"/>
      <c r="BW297" s="50">
        <v>0</v>
      </c>
      <c r="BX297" s="50">
        <v>0</v>
      </c>
      <c r="BY297" s="50">
        <v>28</v>
      </c>
      <c r="BZ297" s="50"/>
      <c r="CA297" s="50">
        <v>0</v>
      </c>
      <c r="CB297" s="50">
        <v>25</v>
      </c>
      <c r="CC297" s="50">
        <v>0</v>
      </c>
      <c r="CD297" s="50">
        <v>24</v>
      </c>
      <c r="CE297" s="50">
        <v>34</v>
      </c>
      <c r="CF297" s="50">
        <v>0</v>
      </c>
      <c r="CG297" s="50"/>
      <c r="CH297" s="50">
        <v>28</v>
      </c>
      <c r="CI297" s="50">
        <v>0</v>
      </c>
      <c r="CJ297" s="50">
        <v>0</v>
      </c>
      <c r="CK297" s="50">
        <v>0</v>
      </c>
      <c r="CL297" s="50">
        <v>30</v>
      </c>
      <c r="CM297" s="50">
        <v>0</v>
      </c>
      <c r="CN297" s="51">
        <v>0</v>
      </c>
      <c r="CO297" s="51">
        <v>0</v>
      </c>
      <c r="CP297" s="51">
        <v>44</v>
      </c>
      <c r="CQ297" s="51">
        <v>50</v>
      </c>
      <c r="CR297" s="51">
        <v>0</v>
      </c>
      <c r="CS297" s="51">
        <v>0</v>
      </c>
      <c r="CT297" s="51">
        <v>0</v>
      </c>
      <c r="CU297" s="51">
        <v>0</v>
      </c>
      <c r="CV297" s="51">
        <v>0</v>
      </c>
      <c r="CW297" s="51">
        <v>0</v>
      </c>
      <c r="CX297" s="51">
        <v>0</v>
      </c>
      <c r="CY297" s="51">
        <v>74</v>
      </c>
      <c r="CZ297" s="51">
        <v>0</v>
      </c>
      <c r="DA297" s="51">
        <v>0</v>
      </c>
      <c r="DB297" s="51">
        <v>0</v>
      </c>
      <c r="DC297" s="51">
        <v>0</v>
      </c>
      <c r="DD297" s="51">
        <v>0</v>
      </c>
      <c r="DE297" s="51">
        <v>89</v>
      </c>
      <c r="DF297" s="52">
        <v>28</v>
      </c>
      <c r="DG297" s="52">
        <v>0</v>
      </c>
      <c r="DH297" s="52">
        <v>0</v>
      </c>
      <c r="DI297" s="52">
        <v>0</v>
      </c>
      <c r="DJ297" s="52">
        <v>2</v>
      </c>
      <c r="DK297" s="52">
        <v>60</v>
      </c>
      <c r="DL297" s="52">
        <v>17</v>
      </c>
      <c r="DM297" s="52">
        <v>0</v>
      </c>
      <c r="DN297" s="52">
        <v>0</v>
      </c>
      <c r="DO297" s="52">
        <v>0</v>
      </c>
      <c r="DP297" s="52">
        <v>0</v>
      </c>
      <c r="DQ297" s="52">
        <v>0</v>
      </c>
      <c r="DR297" s="52">
        <v>0</v>
      </c>
      <c r="DS297" s="53">
        <v>0</v>
      </c>
      <c r="DT297" s="53">
        <v>0</v>
      </c>
      <c r="DU297" s="53">
        <v>0</v>
      </c>
      <c r="DV297" s="53">
        <v>0</v>
      </c>
      <c r="DW297" s="53">
        <v>0</v>
      </c>
      <c r="DX297" s="2"/>
      <c r="DY297" s="2"/>
      <c r="DZ297" s="46">
        <f t="shared" si="69"/>
        <v>0</v>
      </c>
      <c r="EA297" s="46">
        <f t="shared" si="70"/>
        <v>0</v>
      </c>
      <c r="EB297" s="46">
        <f t="shared" si="71"/>
        <v>0</v>
      </c>
      <c r="EC297" s="46">
        <f t="shared" si="72"/>
        <v>22704</v>
      </c>
      <c r="ED297" s="46">
        <f t="shared" si="73"/>
        <v>206</v>
      </c>
      <c r="EE297" s="46">
        <f t="shared" si="74"/>
        <v>28</v>
      </c>
      <c r="EF297" s="46">
        <f t="shared" si="75"/>
        <v>141</v>
      </c>
      <c r="EG297" s="46">
        <f t="shared" si="76"/>
        <v>168</v>
      </c>
      <c r="EH297" s="46">
        <f t="shared" si="79"/>
        <v>119</v>
      </c>
      <c r="EI297" s="46">
        <f t="shared" si="78"/>
        <v>17</v>
      </c>
    </row>
    <row r="298" spans="3:139" ht="12">
      <c r="C298" s="36" t="s">
        <v>485</v>
      </c>
      <c r="D298" s="36" t="s">
        <v>412</v>
      </c>
      <c r="E298" s="36" t="s">
        <v>413</v>
      </c>
      <c r="F298" s="38">
        <f t="shared" si="77"/>
        <v>800</v>
      </c>
      <c r="G298" s="37" t="s">
        <v>473</v>
      </c>
      <c r="H298" s="47"/>
      <c r="I298" s="48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8"/>
      <c r="U298" s="48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8"/>
      <c r="AG298" s="48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>
        <v>0</v>
      </c>
      <c r="BA298" s="49">
        <v>100</v>
      </c>
      <c r="BB298" s="49">
        <v>200</v>
      </c>
      <c r="BC298" s="49">
        <v>100</v>
      </c>
      <c r="BD298" s="49">
        <v>200</v>
      </c>
      <c r="BE298" s="49">
        <v>200</v>
      </c>
      <c r="BF298" s="49"/>
      <c r="BG298" s="49"/>
      <c r="BH298" s="49"/>
      <c r="BI298" s="49">
        <v>0</v>
      </c>
      <c r="BJ298" s="49"/>
      <c r="BK298" s="49"/>
      <c r="BL298" s="49">
        <v>0</v>
      </c>
      <c r="BM298" s="49"/>
      <c r="BN298" s="49">
        <v>0</v>
      </c>
      <c r="BO298" s="49"/>
      <c r="BP298" s="50">
        <v>0</v>
      </c>
      <c r="BQ298" s="50">
        <v>0</v>
      </c>
      <c r="BR298" s="50"/>
      <c r="BS298" s="50">
        <v>0</v>
      </c>
      <c r="BT298" s="50">
        <v>0</v>
      </c>
      <c r="BU298" s="50">
        <v>0</v>
      </c>
      <c r="BV298" s="50"/>
      <c r="BW298" s="50">
        <v>0</v>
      </c>
      <c r="BX298" s="50"/>
      <c r="BY298" s="50"/>
      <c r="BZ298" s="50"/>
      <c r="CA298" s="50">
        <v>0</v>
      </c>
      <c r="CB298" s="50">
        <v>0</v>
      </c>
      <c r="CC298" s="50">
        <v>0</v>
      </c>
      <c r="CD298" s="50">
        <v>0</v>
      </c>
      <c r="CE298" s="50">
        <v>0</v>
      </c>
      <c r="CF298" s="50">
        <v>0</v>
      </c>
      <c r="CG298" s="50"/>
      <c r="CH298" s="50">
        <v>0</v>
      </c>
      <c r="CI298" s="50">
        <v>0</v>
      </c>
      <c r="CJ298" s="50">
        <v>0</v>
      </c>
      <c r="CK298" s="50">
        <v>0</v>
      </c>
      <c r="CL298" s="50">
        <v>0</v>
      </c>
      <c r="CM298" s="50">
        <v>0</v>
      </c>
      <c r="CN298" s="51">
        <v>0</v>
      </c>
      <c r="CO298" s="51">
        <v>0</v>
      </c>
      <c r="CP298" s="51">
        <v>0</v>
      </c>
      <c r="CQ298" s="51">
        <v>0</v>
      </c>
      <c r="CR298" s="51">
        <v>0</v>
      </c>
      <c r="CS298" s="51">
        <v>0</v>
      </c>
      <c r="CT298" s="51">
        <v>0</v>
      </c>
      <c r="CU298" s="51">
        <v>0</v>
      </c>
      <c r="CV298" s="51">
        <v>0</v>
      </c>
      <c r="CW298" s="51">
        <v>0</v>
      </c>
      <c r="CX298" s="51">
        <v>0</v>
      </c>
      <c r="CY298" s="51">
        <v>0</v>
      </c>
      <c r="CZ298" s="51">
        <v>0</v>
      </c>
      <c r="DA298" s="51">
        <v>0</v>
      </c>
      <c r="DB298" s="51">
        <v>0</v>
      </c>
      <c r="DC298" s="51">
        <v>0</v>
      </c>
      <c r="DD298" s="51">
        <v>0</v>
      </c>
      <c r="DE298" s="51">
        <v>0</v>
      </c>
      <c r="DF298" s="52">
        <v>0</v>
      </c>
      <c r="DG298" s="52">
        <v>0</v>
      </c>
      <c r="DH298" s="52">
        <v>0</v>
      </c>
      <c r="DI298" s="52">
        <v>0</v>
      </c>
      <c r="DJ298" s="52">
        <v>0</v>
      </c>
      <c r="DK298" s="52">
        <v>0</v>
      </c>
      <c r="DL298" s="52">
        <v>0</v>
      </c>
      <c r="DM298" s="52">
        <v>0</v>
      </c>
      <c r="DN298" s="52">
        <v>0</v>
      </c>
      <c r="DO298" s="52">
        <v>0</v>
      </c>
      <c r="DP298" s="52">
        <v>0</v>
      </c>
      <c r="DQ298" s="52">
        <v>0</v>
      </c>
      <c r="DR298" s="52">
        <v>0</v>
      </c>
      <c r="DS298" s="53">
        <v>0</v>
      </c>
      <c r="DT298" s="53">
        <v>0</v>
      </c>
      <c r="DU298" s="53">
        <v>0</v>
      </c>
      <c r="DV298" s="53">
        <v>0</v>
      </c>
      <c r="DW298" s="53">
        <v>0</v>
      </c>
      <c r="DX298" s="2"/>
      <c r="DY298" s="2"/>
      <c r="DZ298" s="46">
        <f t="shared" si="69"/>
        <v>0</v>
      </c>
      <c r="EA298" s="46">
        <f t="shared" si="70"/>
        <v>0</v>
      </c>
      <c r="EB298" s="46">
        <f t="shared" si="71"/>
        <v>0</v>
      </c>
      <c r="EC298" s="46">
        <f t="shared" si="72"/>
        <v>400</v>
      </c>
      <c r="ED298" s="46">
        <f t="shared" si="73"/>
        <v>400</v>
      </c>
      <c r="EE298" s="46">
        <f t="shared" si="74"/>
        <v>0</v>
      </c>
      <c r="EF298" s="46">
        <f t="shared" si="75"/>
        <v>0</v>
      </c>
      <c r="EG298" s="46">
        <f t="shared" si="76"/>
        <v>0</v>
      </c>
      <c r="EH298" s="46">
        <f t="shared" si="79"/>
        <v>0</v>
      </c>
      <c r="EI298" s="46">
        <f t="shared" si="78"/>
        <v>0</v>
      </c>
    </row>
    <row r="299" spans="3:139" ht="12">
      <c r="C299" s="36" t="s">
        <v>486</v>
      </c>
      <c r="D299" s="36" t="s">
        <v>412</v>
      </c>
      <c r="E299" s="36" t="s">
        <v>413</v>
      </c>
      <c r="F299" s="38">
        <f t="shared" si="77"/>
        <v>6346</v>
      </c>
      <c r="G299" s="37" t="s">
        <v>473</v>
      </c>
      <c r="H299" s="47"/>
      <c r="I299" s="48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8"/>
      <c r="U299" s="48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8"/>
      <c r="AG299" s="48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>
        <v>5</v>
      </c>
      <c r="AT299" s="49"/>
      <c r="AU299" s="49">
        <v>700</v>
      </c>
      <c r="AV299" s="49">
        <v>400</v>
      </c>
      <c r="AW299" s="49">
        <v>702</v>
      </c>
      <c r="AX299" s="49">
        <v>774</v>
      </c>
      <c r="AY299" s="49">
        <v>499</v>
      </c>
      <c r="AZ299" s="49">
        <v>299</v>
      </c>
      <c r="BA299" s="49">
        <v>500</v>
      </c>
      <c r="BB299" s="49">
        <v>300</v>
      </c>
      <c r="BC299" s="49">
        <v>600</v>
      </c>
      <c r="BD299" s="49">
        <v>600</v>
      </c>
      <c r="BE299" s="49">
        <v>700</v>
      </c>
      <c r="BF299" s="49"/>
      <c r="BG299" s="49"/>
      <c r="BH299" s="49"/>
      <c r="BI299" s="49">
        <v>38</v>
      </c>
      <c r="BJ299" s="49"/>
      <c r="BK299" s="49"/>
      <c r="BL299" s="49">
        <v>39</v>
      </c>
      <c r="BM299" s="49"/>
      <c r="BN299" s="49">
        <v>0</v>
      </c>
      <c r="BO299" s="49"/>
      <c r="BP299" s="50">
        <v>0</v>
      </c>
      <c r="BQ299" s="50">
        <v>0</v>
      </c>
      <c r="BR299" s="50"/>
      <c r="BS299" s="50">
        <v>0</v>
      </c>
      <c r="BT299" s="50">
        <v>10</v>
      </c>
      <c r="BU299" s="50">
        <v>0</v>
      </c>
      <c r="BV299" s="50"/>
      <c r="BW299" s="50">
        <v>0</v>
      </c>
      <c r="BX299" s="50"/>
      <c r="BY299" s="50"/>
      <c r="BZ299" s="50">
        <v>10</v>
      </c>
      <c r="CA299" s="50">
        <v>0</v>
      </c>
      <c r="CB299" s="50">
        <v>0</v>
      </c>
      <c r="CC299" s="50">
        <v>0</v>
      </c>
      <c r="CD299" s="50">
        <v>14</v>
      </c>
      <c r="CE299" s="50">
        <v>0</v>
      </c>
      <c r="CF299" s="50">
        <v>11</v>
      </c>
      <c r="CG299" s="50"/>
      <c r="CH299" s="50">
        <v>15</v>
      </c>
      <c r="CI299" s="50">
        <v>0</v>
      </c>
      <c r="CJ299" s="50">
        <v>0</v>
      </c>
      <c r="CK299" s="50">
        <v>0</v>
      </c>
      <c r="CL299" s="50">
        <v>24</v>
      </c>
      <c r="CM299" s="50">
        <v>0</v>
      </c>
      <c r="CN299" s="51">
        <v>0</v>
      </c>
      <c r="CO299" s="51">
        <v>0</v>
      </c>
      <c r="CP299" s="51">
        <v>40</v>
      </c>
      <c r="CQ299" s="51">
        <v>0</v>
      </c>
      <c r="CR299" s="51">
        <v>0</v>
      </c>
      <c r="CS299" s="51">
        <v>0</v>
      </c>
      <c r="CT299" s="51">
        <v>0</v>
      </c>
      <c r="CU299" s="51">
        <v>0</v>
      </c>
      <c r="CV299" s="51">
        <v>0</v>
      </c>
      <c r="CW299" s="51">
        <v>0</v>
      </c>
      <c r="CX299" s="51">
        <v>0</v>
      </c>
      <c r="CY299" s="51">
        <v>36</v>
      </c>
      <c r="CZ299" s="51">
        <v>0</v>
      </c>
      <c r="DA299" s="51">
        <v>0</v>
      </c>
      <c r="DB299" s="51">
        <v>2</v>
      </c>
      <c r="DC299" s="51">
        <v>0</v>
      </c>
      <c r="DD299" s="51">
        <v>0</v>
      </c>
      <c r="DE299" s="51">
        <v>0</v>
      </c>
      <c r="DF299" s="52">
        <v>0</v>
      </c>
      <c r="DG299" s="52">
        <v>0</v>
      </c>
      <c r="DH299" s="52">
        <v>0</v>
      </c>
      <c r="DI299" s="52">
        <v>0</v>
      </c>
      <c r="DJ299" s="52">
        <v>28</v>
      </c>
      <c r="DK299" s="52">
        <v>0</v>
      </c>
      <c r="DL299" s="52">
        <v>0</v>
      </c>
      <c r="DM299" s="52">
        <v>0</v>
      </c>
      <c r="DN299" s="52">
        <v>0</v>
      </c>
      <c r="DO299" s="52">
        <v>0</v>
      </c>
      <c r="DP299" s="52">
        <v>0</v>
      </c>
      <c r="DQ299" s="52">
        <v>0</v>
      </c>
      <c r="DR299" s="52">
        <v>0</v>
      </c>
      <c r="DS299" s="53">
        <v>0</v>
      </c>
      <c r="DT299" s="53">
        <v>0</v>
      </c>
      <c r="DU299" s="53">
        <v>0</v>
      </c>
      <c r="DV299" s="53">
        <v>0</v>
      </c>
      <c r="DW299" s="53">
        <v>0</v>
      </c>
      <c r="DX299" s="2"/>
      <c r="DY299" s="2"/>
      <c r="DZ299" s="46">
        <f t="shared" si="69"/>
        <v>0</v>
      </c>
      <c r="EA299" s="46">
        <f t="shared" si="70"/>
        <v>0</v>
      </c>
      <c r="EB299" s="46">
        <f t="shared" si="71"/>
        <v>0</v>
      </c>
      <c r="EC299" s="46">
        <f t="shared" si="72"/>
        <v>4779</v>
      </c>
      <c r="ED299" s="46">
        <f t="shared" si="73"/>
        <v>1377</v>
      </c>
      <c r="EE299" s="46">
        <f t="shared" si="74"/>
        <v>20</v>
      </c>
      <c r="EF299" s="46">
        <f t="shared" si="75"/>
        <v>64</v>
      </c>
      <c r="EG299" s="46">
        <f t="shared" si="76"/>
        <v>76</v>
      </c>
      <c r="EH299" s="46">
        <f t="shared" si="79"/>
        <v>30</v>
      </c>
      <c r="EI299" s="46">
        <f t="shared" si="78"/>
        <v>0</v>
      </c>
    </row>
    <row r="300" spans="3:139" ht="12">
      <c r="C300" s="36" t="s">
        <v>487</v>
      </c>
      <c r="D300" s="36" t="s">
        <v>412</v>
      </c>
      <c r="E300" s="36" t="s">
        <v>413</v>
      </c>
      <c r="F300" s="38">
        <f t="shared" si="77"/>
        <v>5</v>
      </c>
      <c r="G300" s="37" t="s">
        <v>473</v>
      </c>
      <c r="H300" s="47"/>
      <c r="I300" s="48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8"/>
      <c r="U300" s="48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8"/>
      <c r="AG300" s="48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>
        <v>5</v>
      </c>
      <c r="AT300" s="49"/>
      <c r="AU300" s="49">
        <v>0</v>
      </c>
      <c r="AV300" s="49">
        <v>0</v>
      </c>
      <c r="AW300" s="49"/>
      <c r="AX300" s="49">
        <v>0</v>
      </c>
      <c r="AY300" s="49"/>
      <c r="AZ300" s="49">
        <v>0</v>
      </c>
      <c r="BA300" s="49">
        <v>0</v>
      </c>
      <c r="BB300" s="49">
        <v>0</v>
      </c>
      <c r="BC300" s="49">
        <v>0</v>
      </c>
      <c r="BD300" s="49">
        <v>0</v>
      </c>
      <c r="BE300" s="49">
        <v>0</v>
      </c>
      <c r="BF300" s="49"/>
      <c r="BG300" s="49"/>
      <c r="BH300" s="49"/>
      <c r="BI300" s="49">
        <v>0</v>
      </c>
      <c r="BJ300" s="49"/>
      <c r="BK300" s="49"/>
      <c r="BL300" s="49">
        <v>0</v>
      </c>
      <c r="BM300" s="49"/>
      <c r="BN300" s="49">
        <v>0</v>
      </c>
      <c r="BO300" s="49"/>
      <c r="BP300" s="50">
        <v>0</v>
      </c>
      <c r="BQ300" s="50">
        <v>0</v>
      </c>
      <c r="BR300" s="50"/>
      <c r="BS300" s="50">
        <v>0</v>
      </c>
      <c r="BT300" s="50">
        <v>0</v>
      </c>
      <c r="BU300" s="50">
        <v>0</v>
      </c>
      <c r="BV300" s="50"/>
      <c r="BW300" s="50">
        <v>0</v>
      </c>
      <c r="BX300" s="50"/>
      <c r="BY300" s="50"/>
      <c r="BZ300" s="50"/>
      <c r="CA300" s="50">
        <v>0</v>
      </c>
      <c r="CB300" s="50">
        <v>0</v>
      </c>
      <c r="CC300" s="50">
        <v>0</v>
      </c>
      <c r="CD300" s="50">
        <v>0</v>
      </c>
      <c r="CE300" s="50">
        <v>0</v>
      </c>
      <c r="CF300" s="50">
        <v>0</v>
      </c>
      <c r="CG300" s="50"/>
      <c r="CH300" s="50">
        <v>0</v>
      </c>
      <c r="CI300" s="50">
        <v>0</v>
      </c>
      <c r="CJ300" s="50">
        <v>0</v>
      </c>
      <c r="CK300" s="50">
        <v>0</v>
      </c>
      <c r="CL300" s="50">
        <v>0</v>
      </c>
      <c r="CM300" s="50">
        <v>0</v>
      </c>
      <c r="CN300" s="51">
        <v>0</v>
      </c>
      <c r="CO300" s="51">
        <v>0</v>
      </c>
      <c r="CP300" s="51">
        <v>0</v>
      </c>
      <c r="CQ300" s="51">
        <v>0</v>
      </c>
      <c r="CR300" s="51">
        <v>0</v>
      </c>
      <c r="CS300" s="51">
        <v>0</v>
      </c>
      <c r="CT300" s="51">
        <v>0</v>
      </c>
      <c r="CU300" s="51">
        <v>0</v>
      </c>
      <c r="CV300" s="51">
        <v>0</v>
      </c>
      <c r="CW300" s="51">
        <v>0</v>
      </c>
      <c r="CX300" s="51">
        <v>0</v>
      </c>
      <c r="CY300" s="51">
        <v>0</v>
      </c>
      <c r="CZ300" s="51">
        <v>0</v>
      </c>
      <c r="DA300" s="51">
        <v>0</v>
      </c>
      <c r="DB300" s="51">
        <v>0</v>
      </c>
      <c r="DC300" s="51">
        <v>0</v>
      </c>
      <c r="DD300" s="51">
        <v>0</v>
      </c>
      <c r="DE300" s="51">
        <v>0</v>
      </c>
      <c r="DF300" s="52">
        <v>0</v>
      </c>
      <c r="DG300" s="52">
        <v>0</v>
      </c>
      <c r="DH300" s="52">
        <v>0</v>
      </c>
      <c r="DI300" s="52">
        <v>0</v>
      </c>
      <c r="DJ300" s="52">
        <v>0</v>
      </c>
      <c r="DK300" s="52">
        <v>0</v>
      </c>
      <c r="DL300" s="52">
        <v>0</v>
      </c>
      <c r="DM300" s="52">
        <v>0</v>
      </c>
      <c r="DN300" s="52">
        <v>0</v>
      </c>
      <c r="DO300" s="52">
        <v>0</v>
      </c>
      <c r="DP300" s="52">
        <v>0</v>
      </c>
      <c r="DQ300" s="52">
        <v>0</v>
      </c>
      <c r="DR300" s="52">
        <v>0</v>
      </c>
      <c r="DS300" s="53">
        <v>0</v>
      </c>
      <c r="DT300" s="53">
        <v>0</v>
      </c>
      <c r="DU300" s="53">
        <v>0</v>
      </c>
      <c r="DV300" s="53">
        <v>0</v>
      </c>
      <c r="DW300" s="53">
        <v>0</v>
      </c>
      <c r="DX300" s="2"/>
      <c r="DY300" s="2"/>
      <c r="DZ300" s="46">
        <f t="shared" si="69"/>
        <v>0</v>
      </c>
      <c r="EA300" s="46">
        <f t="shared" si="70"/>
        <v>0</v>
      </c>
      <c r="EB300" s="46">
        <f t="shared" si="71"/>
        <v>0</v>
      </c>
      <c r="EC300" s="46">
        <f t="shared" si="72"/>
        <v>5</v>
      </c>
      <c r="ED300" s="46">
        <f t="shared" si="73"/>
        <v>0</v>
      </c>
      <c r="EE300" s="46">
        <f t="shared" si="74"/>
        <v>0</v>
      </c>
      <c r="EF300" s="46">
        <f t="shared" si="75"/>
        <v>0</v>
      </c>
      <c r="EG300" s="46">
        <f t="shared" si="76"/>
        <v>0</v>
      </c>
      <c r="EH300" s="46">
        <f t="shared" si="79"/>
        <v>0</v>
      </c>
      <c r="EI300" s="46">
        <f t="shared" si="78"/>
        <v>0</v>
      </c>
    </row>
    <row r="301" spans="3:139" ht="12">
      <c r="C301" s="36" t="s">
        <v>488</v>
      </c>
      <c r="D301" s="36" t="s">
        <v>412</v>
      </c>
      <c r="E301" s="36" t="s">
        <v>413</v>
      </c>
      <c r="F301" s="38">
        <f t="shared" si="77"/>
        <v>400</v>
      </c>
      <c r="G301" s="37" t="s">
        <v>473</v>
      </c>
      <c r="H301" s="47"/>
      <c r="I301" s="48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8"/>
      <c r="U301" s="48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8"/>
      <c r="AG301" s="48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>
        <v>0</v>
      </c>
      <c r="BA301" s="49">
        <v>100</v>
      </c>
      <c r="BB301" s="49">
        <v>200</v>
      </c>
      <c r="BC301" s="49">
        <v>100</v>
      </c>
      <c r="BD301" s="49">
        <v>0</v>
      </c>
      <c r="BE301" s="49">
        <v>0</v>
      </c>
      <c r="BF301" s="49"/>
      <c r="BG301" s="49"/>
      <c r="BH301" s="49"/>
      <c r="BI301" s="49">
        <v>0</v>
      </c>
      <c r="BJ301" s="49"/>
      <c r="BK301" s="49"/>
      <c r="BL301" s="49">
        <v>0</v>
      </c>
      <c r="BM301" s="49"/>
      <c r="BN301" s="49">
        <v>0</v>
      </c>
      <c r="BO301" s="49"/>
      <c r="BP301" s="50">
        <v>0</v>
      </c>
      <c r="BQ301" s="50">
        <v>0</v>
      </c>
      <c r="BR301" s="50"/>
      <c r="BS301" s="50">
        <v>0</v>
      </c>
      <c r="BT301" s="50">
        <v>0</v>
      </c>
      <c r="BU301" s="50">
        <v>0</v>
      </c>
      <c r="BV301" s="50"/>
      <c r="BW301" s="50">
        <v>0</v>
      </c>
      <c r="BX301" s="50"/>
      <c r="BY301" s="50"/>
      <c r="BZ301" s="50"/>
      <c r="CA301" s="50">
        <v>0</v>
      </c>
      <c r="CB301" s="50">
        <v>0</v>
      </c>
      <c r="CC301" s="50">
        <v>0</v>
      </c>
      <c r="CD301" s="50">
        <v>0</v>
      </c>
      <c r="CE301" s="50">
        <v>0</v>
      </c>
      <c r="CF301" s="50">
        <v>0</v>
      </c>
      <c r="CG301" s="50"/>
      <c r="CH301" s="50">
        <v>0</v>
      </c>
      <c r="CI301" s="50">
        <v>0</v>
      </c>
      <c r="CJ301" s="50">
        <v>0</v>
      </c>
      <c r="CK301" s="50">
        <v>0</v>
      </c>
      <c r="CL301" s="50">
        <v>0</v>
      </c>
      <c r="CM301" s="50">
        <v>0</v>
      </c>
      <c r="CN301" s="51">
        <v>0</v>
      </c>
      <c r="CO301" s="51">
        <v>0</v>
      </c>
      <c r="CP301" s="51">
        <v>0</v>
      </c>
      <c r="CQ301" s="51">
        <v>0</v>
      </c>
      <c r="CR301" s="51">
        <v>0</v>
      </c>
      <c r="CS301" s="51">
        <v>0</v>
      </c>
      <c r="CT301" s="51">
        <v>0</v>
      </c>
      <c r="CU301" s="51">
        <v>0</v>
      </c>
      <c r="CV301" s="51">
        <v>0</v>
      </c>
      <c r="CW301" s="51">
        <v>0</v>
      </c>
      <c r="CX301" s="51">
        <v>0</v>
      </c>
      <c r="CY301" s="51">
        <v>0</v>
      </c>
      <c r="CZ301" s="51">
        <v>0</v>
      </c>
      <c r="DA301" s="51">
        <v>0</v>
      </c>
      <c r="DB301" s="51">
        <v>0</v>
      </c>
      <c r="DC301" s="51">
        <v>0</v>
      </c>
      <c r="DD301" s="51">
        <v>0</v>
      </c>
      <c r="DE301" s="51">
        <v>0</v>
      </c>
      <c r="DF301" s="52">
        <v>0</v>
      </c>
      <c r="DG301" s="52">
        <v>0</v>
      </c>
      <c r="DH301" s="52">
        <v>0</v>
      </c>
      <c r="DI301" s="52">
        <v>0</v>
      </c>
      <c r="DJ301" s="52">
        <v>0</v>
      </c>
      <c r="DK301" s="52">
        <v>0</v>
      </c>
      <c r="DL301" s="52">
        <v>0</v>
      </c>
      <c r="DM301" s="52">
        <v>0</v>
      </c>
      <c r="DN301" s="52">
        <v>0</v>
      </c>
      <c r="DO301" s="52">
        <v>0</v>
      </c>
      <c r="DP301" s="52">
        <v>0</v>
      </c>
      <c r="DQ301" s="52">
        <v>0</v>
      </c>
      <c r="DR301" s="52">
        <v>0</v>
      </c>
      <c r="DS301" s="53">
        <v>0</v>
      </c>
      <c r="DT301" s="53">
        <v>0</v>
      </c>
      <c r="DU301" s="53">
        <v>0</v>
      </c>
      <c r="DV301" s="53">
        <v>0</v>
      </c>
      <c r="DW301" s="53">
        <v>0</v>
      </c>
      <c r="DX301" s="2"/>
      <c r="DY301" s="2"/>
      <c r="DZ301" s="46">
        <f t="shared" si="69"/>
        <v>0</v>
      </c>
      <c r="EA301" s="46">
        <f t="shared" si="70"/>
        <v>0</v>
      </c>
      <c r="EB301" s="46">
        <f t="shared" si="71"/>
        <v>0</v>
      </c>
      <c r="EC301" s="46">
        <f t="shared" si="72"/>
        <v>400</v>
      </c>
      <c r="ED301" s="46">
        <f t="shared" si="73"/>
        <v>0</v>
      </c>
      <c r="EE301" s="46">
        <f t="shared" si="74"/>
        <v>0</v>
      </c>
      <c r="EF301" s="46">
        <f t="shared" si="75"/>
        <v>0</v>
      </c>
      <c r="EG301" s="46">
        <f t="shared" si="76"/>
        <v>0</v>
      </c>
      <c r="EH301" s="46">
        <f t="shared" si="79"/>
        <v>0</v>
      </c>
      <c r="EI301" s="46">
        <f t="shared" si="78"/>
        <v>0</v>
      </c>
    </row>
    <row r="302" spans="3:139" ht="12">
      <c r="C302" s="36" t="s">
        <v>489</v>
      </c>
      <c r="D302" s="36" t="s">
        <v>412</v>
      </c>
      <c r="E302" s="36" t="s">
        <v>413</v>
      </c>
      <c r="F302" s="38">
        <f t="shared" si="77"/>
        <v>10083</v>
      </c>
      <c r="G302" s="37" t="s">
        <v>473</v>
      </c>
      <c r="H302" s="47"/>
      <c r="I302" s="48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8"/>
      <c r="U302" s="48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8"/>
      <c r="AG302" s="48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>
        <v>5</v>
      </c>
      <c r="AT302" s="49"/>
      <c r="AU302" s="49">
        <v>0</v>
      </c>
      <c r="AV302" s="49">
        <v>0</v>
      </c>
      <c r="AW302" s="49"/>
      <c r="AX302" s="49">
        <v>0</v>
      </c>
      <c r="AY302" s="49"/>
      <c r="AZ302" s="49">
        <v>1397</v>
      </c>
      <c r="BA302" s="49">
        <v>1400</v>
      </c>
      <c r="BB302" s="49">
        <v>1200</v>
      </c>
      <c r="BC302" s="49">
        <v>600</v>
      </c>
      <c r="BD302" s="49">
        <v>2800</v>
      </c>
      <c r="BE302" s="49">
        <v>500</v>
      </c>
      <c r="BF302" s="49">
        <v>2000</v>
      </c>
      <c r="BG302" s="49"/>
      <c r="BH302" s="49"/>
      <c r="BI302" s="49">
        <v>0</v>
      </c>
      <c r="BJ302" s="49">
        <v>24</v>
      </c>
      <c r="BK302" s="49"/>
      <c r="BL302" s="49">
        <v>40</v>
      </c>
      <c r="BM302" s="49"/>
      <c r="BN302" s="49">
        <v>0</v>
      </c>
      <c r="BO302" s="49"/>
      <c r="BP302" s="50">
        <v>0</v>
      </c>
      <c r="BQ302" s="50">
        <v>39</v>
      </c>
      <c r="BR302" s="50"/>
      <c r="BS302" s="50">
        <v>0</v>
      </c>
      <c r="BT302" s="50">
        <v>0</v>
      </c>
      <c r="BU302" s="50">
        <v>0</v>
      </c>
      <c r="BV302" s="50"/>
      <c r="BW302" s="50">
        <v>0</v>
      </c>
      <c r="BX302" s="50"/>
      <c r="BY302" s="50"/>
      <c r="BZ302" s="50"/>
      <c r="CA302" s="50">
        <v>0</v>
      </c>
      <c r="CB302" s="50">
        <v>0</v>
      </c>
      <c r="CC302" s="50">
        <v>0</v>
      </c>
      <c r="CD302" s="50">
        <v>0</v>
      </c>
      <c r="CE302" s="50">
        <v>20</v>
      </c>
      <c r="CF302" s="50">
        <v>0</v>
      </c>
      <c r="CG302" s="50"/>
      <c r="CH302" s="50">
        <v>0</v>
      </c>
      <c r="CI302" s="50">
        <v>0</v>
      </c>
      <c r="CJ302" s="50">
        <v>0</v>
      </c>
      <c r="CK302" s="50">
        <v>0</v>
      </c>
      <c r="CL302" s="50">
        <v>0</v>
      </c>
      <c r="CM302" s="50">
        <v>0</v>
      </c>
      <c r="CN302" s="51">
        <v>0</v>
      </c>
      <c r="CO302" s="51">
        <v>0</v>
      </c>
      <c r="CP302" s="51">
        <v>29</v>
      </c>
      <c r="CQ302" s="51">
        <v>0</v>
      </c>
      <c r="CR302" s="51">
        <v>0</v>
      </c>
      <c r="CS302" s="51">
        <v>0</v>
      </c>
      <c r="CT302" s="51">
        <v>0</v>
      </c>
      <c r="CU302" s="51">
        <v>0</v>
      </c>
      <c r="CV302" s="51">
        <v>0</v>
      </c>
      <c r="CW302" s="51">
        <v>0</v>
      </c>
      <c r="CX302" s="51">
        <v>0</v>
      </c>
      <c r="CY302" s="51">
        <v>0</v>
      </c>
      <c r="CZ302" s="51">
        <v>0</v>
      </c>
      <c r="DA302" s="51">
        <v>0</v>
      </c>
      <c r="DB302" s="51">
        <v>0</v>
      </c>
      <c r="DC302" s="51">
        <v>0</v>
      </c>
      <c r="DD302" s="51">
        <v>0</v>
      </c>
      <c r="DE302" s="51">
        <v>10</v>
      </c>
      <c r="DF302" s="52">
        <v>0</v>
      </c>
      <c r="DG302" s="52">
        <v>0</v>
      </c>
      <c r="DH302" s="52">
        <v>0</v>
      </c>
      <c r="DI302" s="52">
        <v>0</v>
      </c>
      <c r="DJ302" s="52">
        <v>0</v>
      </c>
      <c r="DK302" s="52">
        <v>0</v>
      </c>
      <c r="DL302" s="52">
        <v>19</v>
      </c>
      <c r="DM302" s="52">
        <v>0</v>
      </c>
      <c r="DN302" s="52">
        <v>0</v>
      </c>
      <c r="DO302" s="52">
        <v>0</v>
      </c>
      <c r="DP302" s="52">
        <v>0</v>
      </c>
      <c r="DQ302" s="52">
        <v>0</v>
      </c>
      <c r="DR302" s="52">
        <v>0</v>
      </c>
      <c r="DS302" s="53">
        <v>0</v>
      </c>
      <c r="DT302" s="53">
        <v>0</v>
      </c>
      <c r="DU302" s="53">
        <v>0</v>
      </c>
      <c r="DV302" s="53">
        <v>0</v>
      </c>
      <c r="DW302" s="53">
        <v>0</v>
      </c>
      <c r="DX302" s="2"/>
      <c r="DY302" s="2"/>
      <c r="DZ302" s="46">
        <f t="shared" si="69"/>
        <v>0</v>
      </c>
      <c r="EA302" s="46">
        <f t="shared" si="70"/>
        <v>0</v>
      </c>
      <c r="EB302" s="46">
        <f t="shared" si="71"/>
        <v>0</v>
      </c>
      <c r="EC302" s="46">
        <f t="shared" si="72"/>
        <v>4602</v>
      </c>
      <c r="ED302" s="46">
        <f t="shared" si="73"/>
        <v>5364</v>
      </c>
      <c r="EE302" s="46">
        <f t="shared" si="74"/>
        <v>39</v>
      </c>
      <c r="EF302" s="46">
        <f t="shared" si="75"/>
        <v>20</v>
      </c>
      <c r="EG302" s="46">
        <f t="shared" si="76"/>
        <v>29</v>
      </c>
      <c r="EH302" s="46">
        <f t="shared" si="79"/>
        <v>10</v>
      </c>
      <c r="EI302" s="46">
        <f t="shared" si="78"/>
        <v>19</v>
      </c>
    </row>
    <row r="303" spans="3:139" ht="12">
      <c r="C303" s="36" t="s">
        <v>490</v>
      </c>
      <c r="D303" s="36" t="s">
        <v>412</v>
      </c>
      <c r="E303" s="36" t="s">
        <v>413</v>
      </c>
      <c r="F303" s="38">
        <f t="shared" si="77"/>
        <v>6635</v>
      </c>
      <c r="G303" s="37" t="s">
        <v>473</v>
      </c>
      <c r="H303" s="47"/>
      <c r="I303" s="48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8"/>
      <c r="U303" s="48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8"/>
      <c r="AG303" s="48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>
        <v>0</v>
      </c>
      <c r="AT303" s="49">
        <v>1180</v>
      </c>
      <c r="AU303" s="49">
        <v>120</v>
      </c>
      <c r="AV303" s="49">
        <v>20</v>
      </c>
      <c r="AW303" s="49">
        <v>200</v>
      </c>
      <c r="AX303" s="49">
        <v>700</v>
      </c>
      <c r="AY303" s="49">
        <v>799</v>
      </c>
      <c r="AZ303" s="49">
        <v>999</v>
      </c>
      <c r="BA303" s="49">
        <v>998</v>
      </c>
      <c r="BB303" s="49">
        <v>0</v>
      </c>
      <c r="BC303" s="49">
        <v>100</v>
      </c>
      <c r="BD303" s="49">
        <v>300</v>
      </c>
      <c r="BE303" s="49">
        <v>600</v>
      </c>
      <c r="BF303" s="49"/>
      <c r="BG303" s="49">
        <v>460</v>
      </c>
      <c r="BH303" s="49"/>
      <c r="BI303" s="49">
        <v>0</v>
      </c>
      <c r="BJ303" s="49"/>
      <c r="BK303" s="49"/>
      <c r="BL303" s="49">
        <v>0</v>
      </c>
      <c r="BM303" s="49">
        <v>45</v>
      </c>
      <c r="BN303" s="49">
        <v>0</v>
      </c>
      <c r="BO303" s="49"/>
      <c r="BP303" s="50">
        <v>0</v>
      </c>
      <c r="BQ303" s="50">
        <v>0</v>
      </c>
      <c r="BR303" s="50"/>
      <c r="BS303" s="50">
        <v>0</v>
      </c>
      <c r="BT303" s="50">
        <v>0</v>
      </c>
      <c r="BU303" s="50">
        <v>0</v>
      </c>
      <c r="BV303" s="50"/>
      <c r="BW303" s="50">
        <v>0</v>
      </c>
      <c r="BX303" s="50"/>
      <c r="BY303" s="50"/>
      <c r="BZ303" s="50"/>
      <c r="CA303" s="50">
        <v>0</v>
      </c>
      <c r="CB303" s="50">
        <v>0</v>
      </c>
      <c r="CC303" s="50">
        <v>0</v>
      </c>
      <c r="CD303" s="50">
        <v>0</v>
      </c>
      <c r="CE303" s="50">
        <v>0</v>
      </c>
      <c r="CF303" s="50">
        <v>0</v>
      </c>
      <c r="CG303" s="50"/>
      <c r="CH303" s="50">
        <v>0</v>
      </c>
      <c r="CI303" s="50">
        <v>29</v>
      </c>
      <c r="CJ303" s="50">
        <v>0</v>
      </c>
      <c r="CK303" s="50">
        <v>0</v>
      </c>
      <c r="CL303" s="50">
        <v>0</v>
      </c>
      <c r="CM303" s="50">
        <v>0</v>
      </c>
      <c r="CN303" s="51">
        <v>0</v>
      </c>
      <c r="CO303" s="51">
        <v>0</v>
      </c>
      <c r="CP303" s="51">
        <v>24</v>
      </c>
      <c r="CQ303" s="51">
        <v>0</v>
      </c>
      <c r="CR303" s="51">
        <v>0</v>
      </c>
      <c r="CS303" s="51">
        <v>0</v>
      </c>
      <c r="CT303" s="51">
        <v>0</v>
      </c>
      <c r="CU303" s="51">
        <v>0</v>
      </c>
      <c r="CV303" s="51">
        <v>0</v>
      </c>
      <c r="CW303" s="51">
        <v>0</v>
      </c>
      <c r="CX303" s="51">
        <v>25</v>
      </c>
      <c r="CY303" s="51">
        <v>0</v>
      </c>
      <c r="CZ303" s="51">
        <v>0</v>
      </c>
      <c r="DA303" s="51">
        <v>20</v>
      </c>
      <c r="DB303" s="51">
        <v>3</v>
      </c>
      <c r="DC303" s="51">
        <v>0</v>
      </c>
      <c r="DD303" s="51">
        <v>0</v>
      </c>
      <c r="DE303" s="51">
        <v>0</v>
      </c>
      <c r="DF303" s="52">
        <v>0</v>
      </c>
      <c r="DG303" s="52">
        <v>0</v>
      </c>
      <c r="DH303" s="52">
        <v>0</v>
      </c>
      <c r="DI303" s="52">
        <v>0</v>
      </c>
      <c r="DJ303" s="52">
        <v>0</v>
      </c>
      <c r="DK303" s="52">
        <v>0</v>
      </c>
      <c r="DL303" s="52">
        <v>0</v>
      </c>
      <c r="DM303" s="52">
        <v>13</v>
      </c>
      <c r="DN303" s="52">
        <v>0</v>
      </c>
      <c r="DO303" s="52">
        <v>0</v>
      </c>
      <c r="DP303" s="52">
        <v>0</v>
      </c>
      <c r="DQ303" s="52">
        <v>0</v>
      </c>
      <c r="DR303" s="52">
        <v>0</v>
      </c>
      <c r="DS303" s="53">
        <v>0</v>
      </c>
      <c r="DT303" s="53">
        <v>0</v>
      </c>
      <c r="DU303" s="53">
        <v>0</v>
      </c>
      <c r="DV303" s="53">
        <v>0</v>
      </c>
      <c r="DW303" s="53">
        <v>0</v>
      </c>
      <c r="DX303" s="2"/>
      <c r="DY303" s="2"/>
      <c r="DZ303" s="46">
        <f t="shared" si="69"/>
        <v>0</v>
      </c>
      <c r="EA303" s="46">
        <f t="shared" si="70"/>
        <v>0</v>
      </c>
      <c r="EB303" s="46">
        <f t="shared" si="71"/>
        <v>0</v>
      </c>
      <c r="EC303" s="46">
        <f t="shared" si="72"/>
        <v>5116</v>
      </c>
      <c r="ED303" s="46">
        <f t="shared" si="73"/>
        <v>1405</v>
      </c>
      <c r="EE303" s="46">
        <f t="shared" si="74"/>
        <v>0</v>
      </c>
      <c r="EF303" s="46">
        <f t="shared" si="75"/>
        <v>29</v>
      </c>
      <c r="EG303" s="46">
        <f t="shared" si="76"/>
        <v>49</v>
      </c>
      <c r="EH303" s="46">
        <f t="shared" si="79"/>
        <v>23</v>
      </c>
      <c r="EI303" s="46">
        <f t="shared" si="78"/>
        <v>13</v>
      </c>
    </row>
    <row r="304" spans="3:139" ht="12">
      <c r="C304" s="36" t="s">
        <v>491</v>
      </c>
      <c r="D304" s="36" t="s">
        <v>412</v>
      </c>
      <c r="E304" s="36" t="s">
        <v>413</v>
      </c>
      <c r="F304" s="38">
        <f t="shared" si="77"/>
        <v>2179</v>
      </c>
      <c r="G304" s="37" t="s">
        <v>473</v>
      </c>
      <c r="H304" s="47"/>
      <c r="I304" s="48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8"/>
      <c r="U304" s="48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8"/>
      <c r="AG304" s="48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>
        <v>0</v>
      </c>
      <c r="AT304" s="49"/>
      <c r="AU304" s="49">
        <v>0</v>
      </c>
      <c r="AV304" s="49">
        <v>20</v>
      </c>
      <c r="AW304" s="49">
        <v>202</v>
      </c>
      <c r="AX304" s="49">
        <v>0</v>
      </c>
      <c r="AY304" s="49"/>
      <c r="AZ304" s="49">
        <v>259</v>
      </c>
      <c r="BA304" s="49">
        <v>640</v>
      </c>
      <c r="BB304" s="49">
        <v>200</v>
      </c>
      <c r="BC304" s="49">
        <v>100</v>
      </c>
      <c r="BD304" s="49">
        <v>0</v>
      </c>
      <c r="BE304" s="49">
        <v>0</v>
      </c>
      <c r="BF304" s="49">
        <v>680</v>
      </c>
      <c r="BG304" s="49">
        <v>20</v>
      </c>
      <c r="BH304" s="49"/>
      <c r="BI304" s="49">
        <v>0</v>
      </c>
      <c r="BJ304" s="49">
        <v>37</v>
      </c>
      <c r="BK304" s="49"/>
      <c r="BL304" s="49">
        <v>0</v>
      </c>
      <c r="BM304" s="49"/>
      <c r="BN304" s="49">
        <v>0</v>
      </c>
      <c r="BO304" s="49"/>
      <c r="BP304" s="50">
        <v>0</v>
      </c>
      <c r="BQ304" s="50">
        <v>0</v>
      </c>
      <c r="BR304" s="50"/>
      <c r="BS304" s="50">
        <v>0</v>
      </c>
      <c r="BT304" s="50">
        <v>0</v>
      </c>
      <c r="BU304" s="50">
        <v>0</v>
      </c>
      <c r="BV304" s="50"/>
      <c r="BW304" s="50">
        <v>0</v>
      </c>
      <c r="BX304" s="50"/>
      <c r="BY304" s="50"/>
      <c r="BZ304" s="50"/>
      <c r="CA304" s="50">
        <v>0</v>
      </c>
      <c r="CB304" s="50">
        <v>0</v>
      </c>
      <c r="CC304" s="50">
        <v>0</v>
      </c>
      <c r="CD304" s="50">
        <v>0</v>
      </c>
      <c r="CE304" s="50">
        <v>0</v>
      </c>
      <c r="CF304" s="50">
        <v>0</v>
      </c>
      <c r="CG304" s="50"/>
      <c r="CH304" s="50">
        <v>0</v>
      </c>
      <c r="CI304" s="50">
        <v>0</v>
      </c>
      <c r="CJ304" s="50">
        <v>0</v>
      </c>
      <c r="CK304" s="50">
        <v>0</v>
      </c>
      <c r="CL304" s="50">
        <v>0</v>
      </c>
      <c r="CM304" s="50">
        <v>0</v>
      </c>
      <c r="CN304" s="51">
        <v>0</v>
      </c>
      <c r="CO304" s="51">
        <v>0</v>
      </c>
      <c r="CP304" s="51">
        <v>0</v>
      </c>
      <c r="CQ304" s="51">
        <v>0</v>
      </c>
      <c r="CR304" s="51">
        <v>0</v>
      </c>
      <c r="CS304" s="51">
        <v>0</v>
      </c>
      <c r="CT304" s="51">
        <v>0</v>
      </c>
      <c r="CU304" s="51">
        <v>0</v>
      </c>
      <c r="CV304" s="51">
        <v>0</v>
      </c>
      <c r="CW304" s="51">
        <v>0</v>
      </c>
      <c r="CX304" s="51">
        <v>0</v>
      </c>
      <c r="CY304" s="51">
        <v>0</v>
      </c>
      <c r="CZ304" s="51">
        <v>0</v>
      </c>
      <c r="DA304" s="51">
        <v>16</v>
      </c>
      <c r="DB304" s="51">
        <v>5</v>
      </c>
      <c r="DC304" s="51">
        <v>0</v>
      </c>
      <c r="DD304" s="51">
        <v>0</v>
      </c>
      <c r="DE304" s="51">
        <v>0</v>
      </c>
      <c r="DF304" s="52">
        <v>0</v>
      </c>
      <c r="DG304" s="52">
        <v>0</v>
      </c>
      <c r="DH304" s="52">
        <v>0</v>
      </c>
      <c r="DI304" s="52">
        <v>0</v>
      </c>
      <c r="DJ304" s="52">
        <v>0</v>
      </c>
      <c r="DK304" s="52">
        <v>0</v>
      </c>
      <c r="DL304" s="52">
        <v>0</v>
      </c>
      <c r="DM304" s="52">
        <v>0</v>
      </c>
      <c r="DN304" s="52">
        <v>0</v>
      </c>
      <c r="DO304" s="52">
        <v>0</v>
      </c>
      <c r="DP304" s="52">
        <v>0</v>
      </c>
      <c r="DQ304" s="52">
        <v>0</v>
      </c>
      <c r="DR304" s="52">
        <v>0</v>
      </c>
      <c r="DS304" s="53">
        <v>0</v>
      </c>
      <c r="DT304" s="53">
        <v>0</v>
      </c>
      <c r="DU304" s="53">
        <v>0</v>
      </c>
      <c r="DV304" s="53">
        <v>0</v>
      </c>
      <c r="DW304" s="53">
        <v>0</v>
      </c>
      <c r="DX304" s="2"/>
      <c r="DY304" s="2"/>
      <c r="DZ304" s="46">
        <f t="shared" si="69"/>
        <v>0</v>
      </c>
      <c r="EA304" s="46">
        <f t="shared" si="70"/>
        <v>0</v>
      </c>
      <c r="EB304" s="46">
        <f t="shared" si="71"/>
        <v>0</v>
      </c>
      <c r="EC304" s="46">
        <f t="shared" si="72"/>
        <v>1421</v>
      </c>
      <c r="ED304" s="46">
        <f t="shared" si="73"/>
        <v>737</v>
      </c>
      <c r="EE304" s="46">
        <f t="shared" si="74"/>
        <v>0</v>
      </c>
      <c r="EF304" s="46">
        <f t="shared" si="75"/>
        <v>0</v>
      </c>
      <c r="EG304" s="46">
        <f t="shared" si="76"/>
        <v>0</v>
      </c>
      <c r="EH304" s="46">
        <f t="shared" si="79"/>
        <v>21</v>
      </c>
      <c r="EI304" s="46">
        <f t="shared" si="78"/>
        <v>0</v>
      </c>
    </row>
    <row r="305" spans="3:139" ht="12">
      <c r="C305" s="36" t="s">
        <v>492</v>
      </c>
      <c r="D305" s="36" t="s">
        <v>412</v>
      </c>
      <c r="E305" s="36" t="s">
        <v>413</v>
      </c>
      <c r="F305" s="38">
        <f t="shared" si="77"/>
        <v>5300</v>
      </c>
      <c r="G305" s="37" t="s">
        <v>473</v>
      </c>
      <c r="H305" s="47"/>
      <c r="I305" s="48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8"/>
      <c r="U305" s="48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8"/>
      <c r="AG305" s="48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>
        <v>0</v>
      </c>
      <c r="BB305" s="49">
        <v>530</v>
      </c>
      <c r="BC305" s="49">
        <v>80</v>
      </c>
      <c r="BD305" s="49">
        <v>0</v>
      </c>
      <c r="BE305" s="49">
        <v>100</v>
      </c>
      <c r="BF305" s="49">
        <v>400</v>
      </c>
      <c r="BG305" s="49">
        <v>200</v>
      </c>
      <c r="BH305" s="49"/>
      <c r="BI305" s="49">
        <v>300</v>
      </c>
      <c r="BJ305" s="49">
        <v>300</v>
      </c>
      <c r="BK305" s="49">
        <v>1100</v>
      </c>
      <c r="BL305" s="49">
        <v>620</v>
      </c>
      <c r="BM305" s="49">
        <v>117</v>
      </c>
      <c r="BN305" s="49">
        <v>0</v>
      </c>
      <c r="BO305" s="49">
        <v>1500</v>
      </c>
      <c r="BP305" s="50">
        <v>0</v>
      </c>
      <c r="BQ305" s="50">
        <v>0</v>
      </c>
      <c r="BR305" s="50"/>
      <c r="BS305" s="50">
        <v>0</v>
      </c>
      <c r="BT305" s="50">
        <v>0</v>
      </c>
      <c r="BU305" s="50">
        <v>0</v>
      </c>
      <c r="BV305" s="50"/>
      <c r="BW305" s="50">
        <v>0</v>
      </c>
      <c r="BX305" s="50"/>
      <c r="BY305" s="50"/>
      <c r="BZ305" s="50"/>
      <c r="CA305" s="50">
        <v>0</v>
      </c>
      <c r="CB305" s="50">
        <v>0</v>
      </c>
      <c r="CC305" s="50">
        <v>0</v>
      </c>
      <c r="CD305" s="50">
        <v>0</v>
      </c>
      <c r="CE305" s="50">
        <v>0</v>
      </c>
      <c r="CF305" s="50">
        <v>0</v>
      </c>
      <c r="CG305" s="50"/>
      <c r="CH305" s="50">
        <v>0</v>
      </c>
      <c r="CI305" s="50">
        <v>0</v>
      </c>
      <c r="CJ305" s="50">
        <v>0</v>
      </c>
      <c r="CK305" s="50">
        <v>0</v>
      </c>
      <c r="CL305" s="50">
        <v>0</v>
      </c>
      <c r="CM305" s="50">
        <v>0</v>
      </c>
      <c r="CN305" s="51">
        <v>0</v>
      </c>
      <c r="CO305" s="51">
        <v>0</v>
      </c>
      <c r="CP305" s="51">
        <v>0</v>
      </c>
      <c r="CQ305" s="51">
        <v>0</v>
      </c>
      <c r="CR305" s="51">
        <v>0</v>
      </c>
      <c r="CS305" s="51">
        <v>0</v>
      </c>
      <c r="CT305" s="51">
        <v>0</v>
      </c>
      <c r="CU305" s="51">
        <v>0</v>
      </c>
      <c r="CV305" s="51">
        <v>0</v>
      </c>
      <c r="CW305" s="51">
        <v>0</v>
      </c>
      <c r="CX305" s="51">
        <v>0</v>
      </c>
      <c r="CY305" s="51">
        <v>0</v>
      </c>
      <c r="CZ305" s="51">
        <v>0</v>
      </c>
      <c r="DA305" s="51">
        <v>0</v>
      </c>
      <c r="DB305" s="51">
        <v>0</v>
      </c>
      <c r="DC305" s="51">
        <v>0</v>
      </c>
      <c r="DD305" s="51">
        <v>0</v>
      </c>
      <c r="DE305" s="51">
        <v>0</v>
      </c>
      <c r="DF305" s="52">
        <v>0</v>
      </c>
      <c r="DG305" s="52">
        <v>0</v>
      </c>
      <c r="DH305" s="52">
        <v>0</v>
      </c>
      <c r="DI305" s="52">
        <v>0</v>
      </c>
      <c r="DJ305" s="52">
        <v>0</v>
      </c>
      <c r="DK305" s="52">
        <v>0</v>
      </c>
      <c r="DL305" s="52">
        <v>0</v>
      </c>
      <c r="DM305" s="52">
        <v>53</v>
      </c>
      <c r="DN305" s="52">
        <v>0</v>
      </c>
      <c r="DO305" s="52">
        <v>0</v>
      </c>
      <c r="DP305" s="52">
        <v>0</v>
      </c>
      <c r="DQ305" s="52">
        <v>0</v>
      </c>
      <c r="DR305" s="52">
        <v>0</v>
      </c>
      <c r="DS305" s="53">
        <v>0</v>
      </c>
      <c r="DT305" s="53">
        <v>0</v>
      </c>
      <c r="DU305" s="53">
        <v>0</v>
      </c>
      <c r="DV305" s="53">
        <v>0</v>
      </c>
      <c r="DW305" s="53">
        <v>0</v>
      </c>
      <c r="DX305" s="2"/>
      <c r="DY305" s="2"/>
      <c r="DZ305" s="46">
        <f t="shared" si="69"/>
        <v>0</v>
      </c>
      <c r="EA305" s="46">
        <f t="shared" si="70"/>
        <v>0</v>
      </c>
      <c r="EB305" s="46">
        <f t="shared" si="71"/>
        <v>0</v>
      </c>
      <c r="EC305" s="46">
        <f t="shared" si="72"/>
        <v>610</v>
      </c>
      <c r="ED305" s="46">
        <f t="shared" si="73"/>
        <v>4637</v>
      </c>
      <c r="EE305" s="46">
        <f t="shared" si="74"/>
        <v>0</v>
      </c>
      <c r="EF305" s="46">
        <f t="shared" si="75"/>
        <v>0</v>
      </c>
      <c r="EG305" s="46">
        <f t="shared" si="76"/>
        <v>0</v>
      </c>
      <c r="EH305" s="46">
        <f t="shared" si="79"/>
        <v>0</v>
      </c>
      <c r="EI305" s="46">
        <f t="shared" si="78"/>
        <v>53</v>
      </c>
    </row>
    <row r="306" spans="3:139" ht="12">
      <c r="C306" s="36" t="s">
        <v>493</v>
      </c>
      <c r="D306" s="36" t="s">
        <v>494</v>
      </c>
      <c r="E306" s="36" t="s">
        <v>495</v>
      </c>
      <c r="F306" s="38">
        <f t="shared" si="77"/>
        <v>5210</v>
      </c>
      <c r="G306" s="37" t="s">
        <v>473</v>
      </c>
      <c r="H306" s="47"/>
      <c r="I306" s="48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8"/>
      <c r="U306" s="48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8"/>
      <c r="AG306" s="48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>
        <v>110</v>
      </c>
      <c r="BC306" s="49">
        <v>100</v>
      </c>
      <c r="BD306" s="49">
        <v>300</v>
      </c>
      <c r="BE306" s="49">
        <v>100</v>
      </c>
      <c r="BF306" s="49">
        <v>300</v>
      </c>
      <c r="BG306" s="49">
        <v>740</v>
      </c>
      <c r="BH306" s="49">
        <v>500</v>
      </c>
      <c r="BI306" s="49">
        <v>620</v>
      </c>
      <c r="BJ306" s="49">
        <v>1080</v>
      </c>
      <c r="BK306" s="49">
        <v>880</v>
      </c>
      <c r="BL306" s="49">
        <v>480</v>
      </c>
      <c r="BM306" s="49"/>
      <c r="BN306" s="49">
        <v>0</v>
      </c>
      <c r="BO306" s="49"/>
      <c r="BP306" s="50">
        <v>0</v>
      </c>
      <c r="BQ306" s="50">
        <v>0</v>
      </c>
      <c r="BR306" s="50"/>
      <c r="BS306" s="50">
        <v>0</v>
      </c>
      <c r="BT306" s="50">
        <v>0</v>
      </c>
      <c r="BU306" s="50">
        <v>0</v>
      </c>
      <c r="BV306" s="50"/>
      <c r="BW306" s="50">
        <v>0</v>
      </c>
      <c r="BX306" s="50"/>
      <c r="BY306" s="50"/>
      <c r="BZ306" s="50"/>
      <c r="CA306" s="50">
        <v>0</v>
      </c>
      <c r="CB306" s="50">
        <v>0</v>
      </c>
      <c r="CC306" s="50">
        <v>0</v>
      </c>
      <c r="CD306" s="50">
        <v>0</v>
      </c>
      <c r="CE306" s="50">
        <v>0</v>
      </c>
      <c r="CF306" s="50">
        <v>0</v>
      </c>
      <c r="CG306" s="50"/>
      <c r="CH306" s="50">
        <v>0</v>
      </c>
      <c r="CI306" s="50">
        <v>0</v>
      </c>
      <c r="CJ306" s="50">
        <v>0</v>
      </c>
      <c r="CK306" s="50">
        <v>0</v>
      </c>
      <c r="CL306" s="50">
        <v>0</v>
      </c>
      <c r="CM306" s="50">
        <v>0</v>
      </c>
      <c r="CN306" s="51">
        <v>0</v>
      </c>
      <c r="CO306" s="51">
        <v>0</v>
      </c>
      <c r="CP306" s="51">
        <v>0</v>
      </c>
      <c r="CQ306" s="51">
        <v>0</v>
      </c>
      <c r="CR306" s="51">
        <v>0</v>
      </c>
      <c r="CS306" s="51">
        <v>0</v>
      </c>
      <c r="CT306" s="51">
        <v>0</v>
      </c>
      <c r="CU306" s="51">
        <v>0</v>
      </c>
      <c r="CV306" s="51">
        <v>0</v>
      </c>
      <c r="CW306" s="51">
        <v>0</v>
      </c>
      <c r="CX306" s="51">
        <v>0</v>
      </c>
      <c r="CY306" s="51">
        <v>0</v>
      </c>
      <c r="CZ306" s="51">
        <v>0</v>
      </c>
      <c r="DA306" s="51">
        <v>0</v>
      </c>
      <c r="DB306" s="51">
        <v>0</v>
      </c>
      <c r="DC306" s="51">
        <v>0</v>
      </c>
      <c r="DD306" s="51">
        <v>0</v>
      </c>
      <c r="DE306" s="51">
        <v>0</v>
      </c>
      <c r="DF306" s="52">
        <v>0</v>
      </c>
      <c r="DG306" s="52">
        <v>0</v>
      </c>
      <c r="DH306" s="52">
        <v>0</v>
      </c>
      <c r="DI306" s="52">
        <v>0</v>
      </c>
      <c r="DJ306" s="52">
        <v>0</v>
      </c>
      <c r="DK306" s="52">
        <v>0</v>
      </c>
      <c r="DL306" s="52">
        <v>0</v>
      </c>
      <c r="DM306" s="52">
        <v>0</v>
      </c>
      <c r="DN306" s="52">
        <v>0</v>
      </c>
      <c r="DO306" s="52">
        <v>0</v>
      </c>
      <c r="DP306" s="52">
        <v>0</v>
      </c>
      <c r="DQ306" s="52">
        <v>0</v>
      </c>
      <c r="DR306" s="52">
        <v>0</v>
      </c>
      <c r="DS306" s="53">
        <v>0</v>
      </c>
      <c r="DT306" s="53">
        <v>0</v>
      </c>
      <c r="DU306" s="53">
        <v>0</v>
      </c>
      <c r="DV306" s="53">
        <v>0</v>
      </c>
      <c r="DW306" s="53">
        <v>0</v>
      </c>
      <c r="DX306" s="2"/>
      <c r="DY306" s="2"/>
      <c r="DZ306" s="46">
        <f t="shared" si="69"/>
        <v>0</v>
      </c>
      <c r="EA306" s="46">
        <f t="shared" si="70"/>
        <v>0</v>
      </c>
      <c r="EB306" s="46">
        <f t="shared" si="71"/>
        <v>0</v>
      </c>
      <c r="EC306" s="46">
        <f t="shared" si="72"/>
        <v>210</v>
      </c>
      <c r="ED306" s="46">
        <f t="shared" si="73"/>
        <v>5000</v>
      </c>
      <c r="EE306" s="46">
        <f t="shared" si="74"/>
        <v>0</v>
      </c>
      <c r="EF306" s="46">
        <f t="shared" si="75"/>
        <v>0</v>
      </c>
      <c r="EG306" s="46">
        <f t="shared" si="76"/>
        <v>0</v>
      </c>
      <c r="EH306" s="46">
        <f t="shared" si="79"/>
        <v>0</v>
      </c>
      <c r="EI306" s="46">
        <f t="shared" si="78"/>
        <v>0</v>
      </c>
    </row>
    <row r="307" spans="3:139" ht="12">
      <c r="C307" s="36" t="s">
        <v>496</v>
      </c>
      <c r="D307" s="36" t="s">
        <v>412</v>
      </c>
      <c r="E307" s="36" t="s">
        <v>413</v>
      </c>
      <c r="F307" s="38">
        <f t="shared" si="77"/>
        <v>2740</v>
      </c>
      <c r="G307" s="37" t="s">
        <v>473</v>
      </c>
      <c r="H307" s="47"/>
      <c r="I307" s="48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8"/>
      <c r="U307" s="48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8"/>
      <c r="AG307" s="48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>
        <v>840</v>
      </c>
      <c r="BG307" s="49"/>
      <c r="BH307" s="49"/>
      <c r="BI307" s="49">
        <v>0</v>
      </c>
      <c r="BJ307" s="49">
        <v>1900</v>
      </c>
      <c r="BK307" s="49"/>
      <c r="BL307" s="49">
        <v>0</v>
      </c>
      <c r="BM307" s="49"/>
      <c r="BN307" s="49">
        <v>0</v>
      </c>
      <c r="BO307" s="49"/>
      <c r="BP307" s="50">
        <v>0</v>
      </c>
      <c r="BQ307" s="50">
        <v>0</v>
      </c>
      <c r="BR307" s="50"/>
      <c r="BS307" s="50">
        <v>0</v>
      </c>
      <c r="BT307" s="50">
        <v>0</v>
      </c>
      <c r="BU307" s="50">
        <v>0</v>
      </c>
      <c r="BV307" s="50"/>
      <c r="BW307" s="50">
        <v>0</v>
      </c>
      <c r="BX307" s="50"/>
      <c r="BY307" s="50"/>
      <c r="BZ307" s="50"/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0</v>
      </c>
      <c r="CG307" s="50"/>
      <c r="CH307" s="50">
        <v>0</v>
      </c>
      <c r="CI307" s="50">
        <v>0</v>
      </c>
      <c r="CJ307" s="50">
        <v>0</v>
      </c>
      <c r="CK307" s="50">
        <v>0</v>
      </c>
      <c r="CL307" s="50">
        <v>0</v>
      </c>
      <c r="CM307" s="50">
        <v>0</v>
      </c>
      <c r="CN307" s="51">
        <v>0</v>
      </c>
      <c r="CO307" s="51">
        <v>0</v>
      </c>
      <c r="CP307" s="51">
        <v>0</v>
      </c>
      <c r="CQ307" s="51">
        <v>0</v>
      </c>
      <c r="CR307" s="51">
        <v>0</v>
      </c>
      <c r="CS307" s="51">
        <v>0</v>
      </c>
      <c r="CT307" s="51">
        <v>0</v>
      </c>
      <c r="CU307" s="51">
        <v>0</v>
      </c>
      <c r="CV307" s="51">
        <v>0</v>
      </c>
      <c r="CW307" s="51">
        <v>0</v>
      </c>
      <c r="CX307" s="51">
        <v>0</v>
      </c>
      <c r="CY307" s="51">
        <v>0</v>
      </c>
      <c r="CZ307" s="51">
        <v>0</v>
      </c>
      <c r="DA307" s="51">
        <v>0</v>
      </c>
      <c r="DB307" s="51">
        <v>0</v>
      </c>
      <c r="DC307" s="51">
        <v>0</v>
      </c>
      <c r="DD307" s="51">
        <v>0</v>
      </c>
      <c r="DE307" s="51">
        <v>0</v>
      </c>
      <c r="DF307" s="52">
        <v>0</v>
      </c>
      <c r="DG307" s="52">
        <v>0</v>
      </c>
      <c r="DH307" s="52">
        <v>0</v>
      </c>
      <c r="DI307" s="52">
        <v>0</v>
      </c>
      <c r="DJ307" s="52">
        <v>0</v>
      </c>
      <c r="DK307" s="52">
        <v>0</v>
      </c>
      <c r="DL307" s="52">
        <v>0</v>
      </c>
      <c r="DM307" s="52">
        <v>0</v>
      </c>
      <c r="DN307" s="52">
        <v>0</v>
      </c>
      <c r="DO307" s="52">
        <v>0</v>
      </c>
      <c r="DP307" s="52">
        <v>0</v>
      </c>
      <c r="DQ307" s="52">
        <v>0</v>
      </c>
      <c r="DR307" s="52">
        <v>0</v>
      </c>
      <c r="DS307" s="53">
        <v>0</v>
      </c>
      <c r="DT307" s="53">
        <v>0</v>
      </c>
      <c r="DU307" s="53">
        <v>0</v>
      </c>
      <c r="DV307" s="53">
        <v>0</v>
      </c>
      <c r="DW307" s="53">
        <v>0</v>
      </c>
      <c r="DX307" s="2"/>
      <c r="DY307" s="2"/>
      <c r="DZ307" s="46">
        <f t="shared" si="69"/>
        <v>0</v>
      </c>
      <c r="EA307" s="46">
        <f t="shared" si="70"/>
        <v>0</v>
      </c>
      <c r="EB307" s="46">
        <f t="shared" si="71"/>
        <v>0</v>
      </c>
      <c r="EC307" s="46">
        <f t="shared" si="72"/>
        <v>0</v>
      </c>
      <c r="ED307" s="46">
        <f t="shared" si="73"/>
        <v>2740</v>
      </c>
      <c r="EE307" s="46">
        <f t="shared" si="74"/>
        <v>0</v>
      </c>
      <c r="EF307" s="46">
        <f t="shared" si="75"/>
        <v>0</v>
      </c>
      <c r="EG307" s="46">
        <f t="shared" si="76"/>
        <v>0</v>
      </c>
      <c r="EH307" s="46">
        <f t="shared" si="79"/>
        <v>0</v>
      </c>
      <c r="EI307" s="46">
        <f t="shared" si="78"/>
        <v>0</v>
      </c>
    </row>
    <row r="308" spans="3:139" ht="12">
      <c r="C308" s="36" t="s">
        <v>497</v>
      </c>
      <c r="D308" s="36" t="s">
        <v>412</v>
      </c>
      <c r="E308" s="36" t="s">
        <v>413</v>
      </c>
      <c r="F308" s="38">
        <f t="shared" si="77"/>
        <v>33933</v>
      </c>
      <c r="G308" s="37" t="s">
        <v>473</v>
      </c>
      <c r="H308" s="47"/>
      <c r="I308" s="48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8"/>
      <c r="U308" s="48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8"/>
      <c r="AG308" s="48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>
        <v>6520</v>
      </c>
      <c r="BG308" s="49">
        <v>9880</v>
      </c>
      <c r="BH308" s="49">
        <v>10420</v>
      </c>
      <c r="BI308" s="49">
        <v>7100</v>
      </c>
      <c r="BJ308" s="49"/>
      <c r="BK308" s="49"/>
      <c r="BL308" s="49">
        <v>0</v>
      </c>
      <c r="BM308" s="49"/>
      <c r="BN308" s="49">
        <v>0</v>
      </c>
      <c r="BO308" s="49"/>
      <c r="BP308" s="50">
        <v>0</v>
      </c>
      <c r="BQ308" s="50">
        <v>0</v>
      </c>
      <c r="BR308" s="50"/>
      <c r="BS308" s="50">
        <v>0</v>
      </c>
      <c r="BT308" s="50">
        <v>0</v>
      </c>
      <c r="BU308" s="50">
        <v>0</v>
      </c>
      <c r="BV308" s="50"/>
      <c r="BW308" s="50">
        <v>0</v>
      </c>
      <c r="BX308" s="50"/>
      <c r="BY308" s="50"/>
      <c r="BZ308" s="50"/>
      <c r="CA308" s="50">
        <v>0</v>
      </c>
      <c r="CB308" s="50">
        <v>0</v>
      </c>
      <c r="CC308" s="50">
        <v>0</v>
      </c>
      <c r="CD308" s="50">
        <v>0</v>
      </c>
      <c r="CE308" s="50">
        <v>0</v>
      </c>
      <c r="CF308" s="50">
        <v>0</v>
      </c>
      <c r="CG308" s="50"/>
      <c r="CH308" s="50">
        <v>0</v>
      </c>
      <c r="CI308" s="50">
        <v>0</v>
      </c>
      <c r="CJ308" s="50">
        <v>0</v>
      </c>
      <c r="CK308" s="50">
        <v>0</v>
      </c>
      <c r="CL308" s="50">
        <v>0</v>
      </c>
      <c r="CM308" s="50">
        <v>0</v>
      </c>
      <c r="CN308" s="51">
        <v>0</v>
      </c>
      <c r="CO308" s="51">
        <v>0</v>
      </c>
      <c r="CP308" s="51">
        <v>0</v>
      </c>
      <c r="CQ308" s="51">
        <v>0</v>
      </c>
      <c r="CR308" s="51">
        <v>0</v>
      </c>
      <c r="CS308" s="51">
        <v>0</v>
      </c>
      <c r="CT308" s="51">
        <v>0</v>
      </c>
      <c r="CU308" s="51">
        <v>0</v>
      </c>
      <c r="CV308" s="51">
        <v>0</v>
      </c>
      <c r="CW308" s="51">
        <v>0</v>
      </c>
      <c r="CX308" s="51">
        <v>0</v>
      </c>
      <c r="CY308" s="51">
        <v>0</v>
      </c>
      <c r="CZ308" s="51">
        <v>0</v>
      </c>
      <c r="DA308" s="51">
        <v>0</v>
      </c>
      <c r="DB308" s="51">
        <v>0</v>
      </c>
      <c r="DC308" s="51">
        <v>0</v>
      </c>
      <c r="DD308" s="51">
        <v>0</v>
      </c>
      <c r="DE308" s="51">
        <v>0</v>
      </c>
      <c r="DF308" s="52">
        <v>0</v>
      </c>
      <c r="DG308" s="52">
        <v>0</v>
      </c>
      <c r="DH308" s="52">
        <v>0</v>
      </c>
      <c r="DI308" s="52">
        <v>0</v>
      </c>
      <c r="DJ308" s="52">
        <v>0</v>
      </c>
      <c r="DK308" s="52">
        <v>0</v>
      </c>
      <c r="DL308" s="52">
        <v>0</v>
      </c>
      <c r="DM308" s="52">
        <v>13</v>
      </c>
      <c r="DN308" s="52">
        <v>0</v>
      </c>
      <c r="DO308" s="52">
        <v>0</v>
      </c>
      <c r="DP308" s="52">
        <v>0</v>
      </c>
      <c r="DQ308" s="52">
        <v>0</v>
      </c>
      <c r="DR308" s="52">
        <v>0</v>
      </c>
      <c r="DS308" s="53">
        <v>0</v>
      </c>
      <c r="DT308" s="53">
        <v>0</v>
      </c>
      <c r="DU308" s="53">
        <v>0</v>
      </c>
      <c r="DV308" s="53">
        <v>0</v>
      </c>
      <c r="DW308" s="53">
        <v>0</v>
      </c>
      <c r="DX308" s="2"/>
      <c r="DY308" s="2"/>
      <c r="DZ308" s="46">
        <f t="shared" si="69"/>
        <v>0</v>
      </c>
      <c r="EA308" s="46">
        <f t="shared" si="70"/>
        <v>0</v>
      </c>
      <c r="EB308" s="46">
        <f t="shared" si="71"/>
        <v>0</v>
      </c>
      <c r="EC308" s="46">
        <f t="shared" si="72"/>
        <v>0</v>
      </c>
      <c r="ED308" s="46">
        <f t="shared" si="73"/>
        <v>33920</v>
      </c>
      <c r="EE308" s="46">
        <f t="shared" si="74"/>
        <v>0</v>
      </c>
      <c r="EF308" s="46">
        <f t="shared" si="75"/>
        <v>0</v>
      </c>
      <c r="EG308" s="46">
        <f t="shared" si="76"/>
        <v>0</v>
      </c>
      <c r="EH308" s="46">
        <f t="shared" si="79"/>
        <v>0</v>
      </c>
      <c r="EI308" s="46">
        <f t="shared" si="78"/>
        <v>13</v>
      </c>
    </row>
    <row r="309" spans="3:139" ht="12">
      <c r="C309" s="36" t="s">
        <v>498</v>
      </c>
      <c r="D309" s="36" t="s">
        <v>412</v>
      </c>
      <c r="E309" s="36" t="s">
        <v>413</v>
      </c>
      <c r="F309" s="38">
        <f t="shared" si="77"/>
        <v>0</v>
      </c>
      <c r="G309" s="37" t="s">
        <v>473</v>
      </c>
      <c r="H309" s="47"/>
      <c r="I309" s="48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8"/>
      <c r="U309" s="48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8"/>
      <c r="AG309" s="48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>
        <v>0</v>
      </c>
      <c r="BJ309" s="49"/>
      <c r="BK309" s="49"/>
      <c r="BL309" s="49">
        <v>0</v>
      </c>
      <c r="BM309" s="49"/>
      <c r="BN309" s="49">
        <v>0</v>
      </c>
      <c r="BO309" s="49"/>
      <c r="BP309" s="50">
        <v>0</v>
      </c>
      <c r="BQ309" s="50">
        <v>0</v>
      </c>
      <c r="BR309" s="50"/>
      <c r="BS309" s="50">
        <v>0</v>
      </c>
      <c r="BT309" s="50">
        <v>0</v>
      </c>
      <c r="BU309" s="50">
        <v>0</v>
      </c>
      <c r="BV309" s="50"/>
      <c r="BW309" s="50">
        <v>0</v>
      </c>
      <c r="BX309" s="50"/>
      <c r="BY309" s="50"/>
      <c r="BZ309" s="50"/>
      <c r="CA309" s="50">
        <v>0</v>
      </c>
      <c r="CB309" s="50">
        <v>0</v>
      </c>
      <c r="CC309" s="50">
        <v>0</v>
      </c>
      <c r="CD309" s="50">
        <v>0</v>
      </c>
      <c r="CE309" s="50">
        <v>0</v>
      </c>
      <c r="CF309" s="50">
        <v>0</v>
      </c>
      <c r="CG309" s="50"/>
      <c r="CH309" s="50">
        <v>0</v>
      </c>
      <c r="CI309" s="50">
        <v>0</v>
      </c>
      <c r="CJ309" s="50">
        <v>0</v>
      </c>
      <c r="CK309" s="50">
        <v>0</v>
      </c>
      <c r="CL309" s="50">
        <v>0</v>
      </c>
      <c r="CM309" s="50">
        <v>0</v>
      </c>
      <c r="CN309" s="51">
        <v>0</v>
      </c>
      <c r="CO309" s="51">
        <v>0</v>
      </c>
      <c r="CP309" s="51">
        <v>0</v>
      </c>
      <c r="CQ309" s="51">
        <v>0</v>
      </c>
      <c r="CR309" s="51">
        <v>0</v>
      </c>
      <c r="CS309" s="51">
        <v>0</v>
      </c>
      <c r="CT309" s="51">
        <v>0</v>
      </c>
      <c r="CU309" s="51">
        <v>0</v>
      </c>
      <c r="CV309" s="51">
        <v>0</v>
      </c>
      <c r="CW309" s="51">
        <v>0</v>
      </c>
      <c r="CX309" s="51">
        <v>0</v>
      </c>
      <c r="CY309" s="51">
        <v>0</v>
      </c>
      <c r="CZ309" s="51">
        <v>0</v>
      </c>
      <c r="DA309" s="51">
        <v>0</v>
      </c>
      <c r="DB309" s="51">
        <v>0</v>
      </c>
      <c r="DC309" s="51">
        <v>0</v>
      </c>
      <c r="DD309" s="51">
        <v>0</v>
      </c>
      <c r="DE309" s="51">
        <v>0</v>
      </c>
      <c r="DF309" s="52">
        <v>0</v>
      </c>
      <c r="DG309" s="52">
        <v>0</v>
      </c>
      <c r="DH309" s="52">
        <v>0</v>
      </c>
      <c r="DI309" s="52">
        <v>0</v>
      </c>
      <c r="DJ309" s="52">
        <v>0</v>
      </c>
      <c r="DK309" s="52">
        <v>0</v>
      </c>
      <c r="DL309" s="52">
        <v>0</v>
      </c>
      <c r="DM309" s="52">
        <v>0</v>
      </c>
      <c r="DN309" s="52">
        <v>0</v>
      </c>
      <c r="DO309" s="52">
        <v>0</v>
      </c>
      <c r="DP309" s="52">
        <v>0</v>
      </c>
      <c r="DQ309" s="52">
        <v>0</v>
      </c>
      <c r="DR309" s="52">
        <v>0</v>
      </c>
      <c r="DS309" s="53">
        <v>0</v>
      </c>
      <c r="DT309" s="53">
        <v>0</v>
      </c>
      <c r="DU309" s="53">
        <v>0</v>
      </c>
      <c r="DV309" s="53">
        <v>0</v>
      </c>
      <c r="DW309" s="53">
        <v>0</v>
      </c>
      <c r="DX309" s="2"/>
      <c r="DY309" s="2"/>
      <c r="DZ309" s="46">
        <f t="shared" si="69"/>
        <v>0</v>
      </c>
      <c r="EA309" s="46">
        <f t="shared" si="70"/>
        <v>0</v>
      </c>
      <c r="EB309" s="46">
        <f t="shared" si="71"/>
        <v>0</v>
      </c>
      <c r="EC309" s="46">
        <f t="shared" si="72"/>
        <v>0</v>
      </c>
      <c r="ED309" s="46">
        <f t="shared" si="73"/>
        <v>0</v>
      </c>
      <c r="EE309" s="46">
        <f t="shared" si="74"/>
        <v>0</v>
      </c>
      <c r="EF309" s="46">
        <f t="shared" si="75"/>
        <v>0</v>
      </c>
      <c r="EG309" s="46">
        <f t="shared" si="76"/>
        <v>0</v>
      </c>
      <c r="EH309" s="46">
        <f t="shared" si="79"/>
        <v>0</v>
      </c>
      <c r="EI309" s="46">
        <f t="shared" si="78"/>
        <v>0</v>
      </c>
    </row>
    <row r="310" spans="3:139" ht="12">
      <c r="C310" s="36" t="s">
        <v>499</v>
      </c>
      <c r="D310" s="36" t="s">
        <v>425</v>
      </c>
      <c r="E310" s="36" t="s">
        <v>426</v>
      </c>
      <c r="F310" s="38">
        <f t="shared" si="77"/>
        <v>31002</v>
      </c>
      <c r="G310" s="37" t="s">
        <v>473</v>
      </c>
      <c r="H310" s="47"/>
      <c r="I310" s="48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8"/>
      <c r="U310" s="48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8"/>
      <c r="AG310" s="48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>
        <v>7348</v>
      </c>
      <c r="BG310" s="49">
        <v>7696</v>
      </c>
      <c r="BH310" s="49">
        <v>7740</v>
      </c>
      <c r="BI310" s="49">
        <v>2800</v>
      </c>
      <c r="BJ310" s="49">
        <v>3938</v>
      </c>
      <c r="BK310" s="49">
        <v>300</v>
      </c>
      <c r="BL310" s="49">
        <v>380</v>
      </c>
      <c r="BM310" s="49">
        <v>699</v>
      </c>
      <c r="BN310" s="49">
        <v>0</v>
      </c>
      <c r="BO310" s="49"/>
      <c r="BP310" s="50">
        <v>0</v>
      </c>
      <c r="BQ310" s="50">
        <v>0</v>
      </c>
      <c r="BR310" s="50"/>
      <c r="BS310" s="50">
        <v>0</v>
      </c>
      <c r="BT310" s="50">
        <v>0</v>
      </c>
      <c r="BU310" s="50">
        <v>0</v>
      </c>
      <c r="BV310" s="50"/>
      <c r="BW310" s="50">
        <v>0</v>
      </c>
      <c r="BX310" s="50"/>
      <c r="BY310" s="50"/>
      <c r="BZ310" s="50"/>
      <c r="CA310" s="50">
        <v>0</v>
      </c>
      <c r="CB310" s="50">
        <v>0</v>
      </c>
      <c r="CC310" s="50">
        <v>0</v>
      </c>
      <c r="CD310" s="50">
        <v>0</v>
      </c>
      <c r="CE310" s="50">
        <v>0</v>
      </c>
      <c r="CF310" s="50">
        <v>0</v>
      </c>
      <c r="CG310" s="50"/>
      <c r="CH310" s="50">
        <v>0</v>
      </c>
      <c r="CI310" s="50">
        <v>0</v>
      </c>
      <c r="CJ310" s="50">
        <v>0</v>
      </c>
      <c r="CK310" s="50">
        <v>0</v>
      </c>
      <c r="CL310" s="50">
        <v>0</v>
      </c>
      <c r="CM310" s="50">
        <v>0</v>
      </c>
      <c r="CN310" s="51">
        <v>0</v>
      </c>
      <c r="CO310" s="51">
        <v>0</v>
      </c>
      <c r="CP310" s="51">
        <v>0</v>
      </c>
      <c r="CQ310" s="51">
        <v>33</v>
      </c>
      <c r="CR310" s="51">
        <v>0</v>
      </c>
      <c r="CS310" s="51">
        <v>0</v>
      </c>
      <c r="CT310" s="51">
        <v>0</v>
      </c>
      <c r="CU310" s="51">
        <v>0</v>
      </c>
      <c r="CV310" s="51">
        <v>0</v>
      </c>
      <c r="CW310" s="51">
        <v>0</v>
      </c>
      <c r="CX310" s="51">
        <v>0</v>
      </c>
      <c r="CY310" s="51">
        <v>0</v>
      </c>
      <c r="CZ310" s="51">
        <v>0</v>
      </c>
      <c r="DA310" s="51">
        <v>0</v>
      </c>
      <c r="DB310" s="51">
        <v>0</v>
      </c>
      <c r="DC310" s="51">
        <v>0</v>
      </c>
      <c r="DD310" s="51">
        <v>0</v>
      </c>
      <c r="DE310" s="51">
        <v>34</v>
      </c>
      <c r="DF310" s="52">
        <v>0</v>
      </c>
      <c r="DG310" s="52">
        <v>0</v>
      </c>
      <c r="DH310" s="52">
        <v>0</v>
      </c>
      <c r="DI310" s="52">
        <v>0</v>
      </c>
      <c r="DJ310" s="52">
        <v>0</v>
      </c>
      <c r="DK310" s="52">
        <v>34</v>
      </c>
      <c r="DL310" s="52">
        <v>0</v>
      </c>
      <c r="DM310" s="52">
        <v>0</v>
      </c>
      <c r="DN310" s="52">
        <v>0</v>
      </c>
      <c r="DO310" s="52">
        <v>0</v>
      </c>
      <c r="DP310" s="52">
        <v>0</v>
      </c>
      <c r="DQ310" s="52">
        <v>0</v>
      </c>
      <c r="DR310" s="52">
        <v>0</v>
      </c>
      <c r="DS310" s="53">
        <v>0</v>
      </c>
      <c r="DT310" s="53">
        <v>0</v>
      </c>
      <c r="DU310" s="53">
        <v>0</v>
      </c>
      <c r="DV310" s="53">
        <v>0</v>
      </c>
      <c r="DW310" s="53">
        <v>0</v>
      </c>
      <c r="DX310" s="2"/>
      <c r="DY310" s="2"/>
      <c r="DZ310" s="46">
        <f t="shared" si="69"/>
        <v>0</v>
      </c>
      <c r="EA310" s="46">
        <f t="shared" si="70"/>
        <v>0</v>
      </c>
      <c r="EB310" s="46">
        <f t="shared" si="71"/>
        <v>0</v>
      </c>
      <c r="EC310" s="46">
        <f t="shared" si="72"/>
        <v>0</v>
      </c>
      <c r="ED310" s="46">
        <f t="shared" si="73"/>
        <v>30901</v>
      </c>
      <c r="EE310" s="46">
        <f t="shared" si="74"/>
        <v>0</v>
      </c>
      <c r="EF310" s="46">
        <f t="shared" si="75"/>
        <v>0</v>
      </c>
      <c r="EG310" s="46">
        <f t="shared" si="76"/>
        <v>33</v>
      </c>
      <c r="EH310" s="46">
        <f t="shared" si="79"/>
        <v>34</v>
      </c>
      <c r="EI310" s="46">
        <f t="shared" si="78"/>
        <v>0</v>
      </c>
    </row>
    <row r="311" spans="3:139" ht="12">
      <c r="C311" s="36" t="s">
        <v>500</v>
      </c>
      <c r="D311" s="36" t="s">
        <v>412</v>
      </c>
      <c r="E311" s="36" t="s">
        <v>413</v>
      </c>
      <c r="F311" s="38">
        <f t="shared" si="77"/>
        <v>0</v>
      </c>
      <c r="G311" s="37" t="s">
        <v>473</v>
      </c>
      <c r="H311" s="47"/>
      <c r="I311" s="48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8"/>
      <c r="U311" s="48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8"/>
      <c r="AG311" s="48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>
        <v>0</v>
      </c>
      <c r="BJ311" s="49"/>
      <c r="BK311" s="49"/>
      <c r="BL311" s="49">
        <v>0</v>
      </c>
      <c r="BM311" s="49"/>
      <c r="BN311" s="49">
        <v>0</v>
      </c>
      <c r="BO311" s="49"/>
      <c r="BP311" s="50">
        <v>0</v>
      </c>
      <c r="BQ311" s="50">
        <v>0</v>
      </c>
      <c r="BR311" s="50"/>
      <c r="BS311" s="50">
        <v>0</v>
      </c>
      <c r="BT311" s="50">
        <v>0</v>
      </c>
      <c r="BU311" s="50">
        <v>0</v>
      </c>
      <c r="BV311" s="50"/>
      <c r="BW311" s="50">
        <v>0</v>
      </c>
      <c r="BX311" s="50"/>
      <c r="BY311" s="50"/>
      <c r="BZ311" s="50"/>
      <c r="CA311" s="50">
        <v>0</v>
      </c>
      <c r="CB311" s="50">
        <v>0</v>
      </c>
      <c r="CC311" s="50">
        <v>0</v>
      </c>
      <c r="CD311" s="50">
        <v>0</v>
      </c>
      <c r="CE311" s="50">
        <v>0</v>
      </c>
      <c r="CF311" s="50">
        <v>0</v>
      </c>
      <c r="CG311" s="50"/>
      <c r="CH311" s="50">
        <v>0</v>
      </c>
      <c r="CI311" s="50">
        <v>0</v>
      </c>
      <c r="CJ311" s="50">
        <v>0</v>
      </c>
      <c r="CK311" s="50">
        <v>0</v>
      </c>
      <c r="CL311" s="50">
        <v>0</v>
      </c>
      <c r="CM311" s="50">
        <v>0</v>
      </c>
      <c r="CN311" s="51">
        <v>0</v>
      </c>
      <c r="CO311" s="51">
        <v>0</v>
      </c>
      <c r="CP311" s="51">
        <v>0</v>
      </c>
      <c r="CQ311" s="51">
        <v>0</v>
      </c>
      <c r="CR311" s="51">
        <v>0</v>
      </c>
      <c r="CS311" s="51">
        <v>0</v>
      </c>
      <c r="CT311" s="51">
        <v>0</v>
      </c>
      <c r="CU311" s="51">
        <v>0</v>
      </c>
      <c r="CV311" s="51">
        <v>0</v>
      </c>
      <c r="CW311" s="51">
        <v>0</v>
      </c>
      <c r="CX311" s="51">
        <v>0</v>
      </c>
      <c r="CY311" s="51">
        <v>0</v>
      </c>
      <c r="CZ311" s="51">
        <v>0</v>
      </c>
      <c r="DA311" s="51">
        <v>0</v>
      </c>
      <c r="DB311" s="51">
        <v>0</v>
      </c>
      <c r="DC311" s="51">
        <v>0</v>
      </c>
      <c r="DD311" s="51">
        <v>0</v>
      </c>
      <c r="DE311" s="51">
        <v>0</v>
      </c>
      <c r="DF311" s="52">
        <v>0</v>
      </c>
      <c r="DG311" s="52">
        <v>0</v>
      </c>
      <c r="DH311" s="52">
        <v>0</v>
      </c>
      <c r="DI311" s="52">
        <v>0</v>
      </c>
      <c r="DJ311" s="52">
        <v>0</v>
      </c>
      <c r="DK311" s="52">
        <v>0</v>
      </c>
      <c r="DL311" s="52">
        <v>0</v>
      </c>
      <c r="DM311" s="52">
        <v>0</v>
      </c>
      <c r="DN311" s="52">
        <v>0</v>
      </c>
      <c r="DO311" s="52">
        <v>0</v>
      </c>
      <c r="DP311" s="52">
        <v>0</v>
      </c>
      <c r="DQ311" s="52">
        <v>0</v>
      </c>
      <c r="DR311" s="52">
        <v>0</v>
      </c>
      <c r="DS311" s="53">
        <v>0</v>
      </c>
      <c r="DT311" s="53">
        <v>0</v>
      </c>
      <c r="DU311" s="53">
        <v>0</v>
      </c>
      <c r="DV311" s="53">
        <v>0</v>
      </c>
      <c r="DW311" s="53">
        <v>0</v>
      </c>
      <c r="DX311" s="2"/>
      <c r="DY311" s="2"/>
      <c r="DZ311" s="46">
        <f t="shared" si="69"/>
        <v>0</v>
      </c>
      <c r="EA311" s="46">
        <f t="shared" si="70"/>
        <v>0</v>
      </c>
      <c r="EB311" s="46">
        <f t="shared" si="71"/>
        <v>0</v>
      </c>
      <c r="EC311" s="46">
        <f t="shared" si="72"/>
        <v>0</v>
      </c>
      <c r="ED311" s="46">
        <f t="shared" si="73"/>
        <v>0</v>
      </c>
      <c r="EE311" s="46">
        <f t="shared" si="74"/>
        <v>0</v>
      </c>
      <c r="EF311" s="46">
        <f t="shared" si="75"/>
        <v>0</v>
      </c>
      <c r="EG311" s="46">
        <f t="shared" si="76"/>
        <v>0</v>
      </c>
      <c r="EH311" s="46">
        <f t="shared" si="79"/>
        <v>0</v>
      </c>
      <c r="EI311" s="46">
        <f t="shared" si="78"/>
        <v>0</v>
      </c>
    </row>
    <row r="312" spans="3:139" ht="12">
      <c r="C312" s="36" t="s">
        <v>501</v>
      </c>
      <c r="D312" s="36" t="s">
        <v>412</v>
      </c>
      <c r="E312" s="36" t="s">
        <v>413</v>
      </c>
      <c r="F312" s="38">
        <f t="shared" si="77"/>
        <v>2620</v>
      </c>
      <c r="G312" s="37" t="s">
        <v>473</v>
      </c>
      <c r="H312" s="47"/>
      <c r="I312" s="48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8"/>
      <c r="U312" s="48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8"/>
      <c r="AG312" s="48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>
        <v>860</v>
      </c>
      <c r="BG312" s="49">
        <v>400</v>
      </c>
      <c r="BH312" s="49">
        <v>360</v>
      </c>
      <c r="BI312" s="49">
        <v>0</v>
      </c>
      <c r="BJ312" s="49">
        <v>0</v>
      </c>
      <c r="BK312" s="49">
        <v>1000</v>
      </c>
      <c r="BL312" s="49">
        <v>0</v>
      </c>
      <c r="BM312" s="49"/>
      <c r="BN312" s="49">
        <v>0</v>
      </c>
      <c r="BO312" s="49"/>
      <c r="BP312" s="50">
        <v>0</v>
      </c>
      <c r="BQ312" s="50">
        <v>0</v>
      </c>
      <c r="BR312" s="50"/>
      <c r="BS312" s="50">
        <v>0</v>
      </c>
      <c r="BT312" s="50">
        <v>0</v>
      </c>
      <c r="BU312" s="50">
        <v>0</v>
      </c>
      <c r="BV312" s="50"/>
      <c r="BW312" s="50">
        <v>0</v>
      </c>
      <c r="BX312" s="50"/>
      <c r="BY312" s="50"/>
      <c r="BZ312" s="50"/>
      <c r="CA312" s="50">
        <v>0</v>
      </c>
      <c r="CB312" s="50">
        <v>0</v>
      </c>
      <c r="CC312" s="50">
        <v>0</v>
      </c>
      <c r="CD312" s="50">
        <v>0</v>
      </c>
      <c r="CE312" s="50">
        <v>0</v>
      </c>
      <c r="CF312" s="50">
        <v>0</v>
      </c>
      <c r="CG312" s="50"/>
      <c r="CH312" s="50">
        <v>0</v>
      </c>
      <c r="CI312" s="50">
        <v>0</v>
      </c>
      <c r="CJ312" s="50">
        <v>0</v>
      </c>
      <c r="CK312" s="50">
        <v>0</v>
      </c>
      <c r="CL312" s="50">
        <v>0</v>
      </c>
      <c r="CM312" s="50">
        <v>0</v>
      </c>
      <c r="CN312" s="51">
        <v>0</v>
      </c>
      <c r="CO312" s="51">
        <v>0</v>
      </c>
      <c r="CP312" s="51">
        <v>0</v>
      </c>
      <c r="CQ312" s="51">
        <v>0</v>
      </c>
      <c r="CR312" s="51">
        <v>0</v>
      </c>
      <c r="CS312" s="51">
        <v>0</v>
      </c>
      <c r="CT312" s="51">
        <v>0</v>
      </c>
      <c r="CU312" s="51">
        <v>0</v>
      </c>
      <c r="CV312" s="51">
        <v>0</v>
      </c>
      <c r="CW312" s="51">
        <v>0</v>
      </c>
      <c r="CX312" s="51">
        <v>0</v>
      </c>
      <c r="CY312" s="51">
        <v>0</v>
      </c>
      <c r="CZ312" s="51">
        <v>0</v>
      </c>
      <c r="DA312" s="51">
        <v>0</v>
      </c>
      <c r="DB312" s="51">
        <v>0</v>
      </c>
      <c r="DC312" s="51">
        <v>0</v>
      </c>
      <c r="DD312" s="51">
        <v>0</v>
      </c>
      <c r="DE312" s="51">
        <v>0</v>
      </c>
      <c r="DF312" s="52">
        <v>0</v>
      </c>
      <c r="DG312" s="52">
        <v>0</v>
      </c>
      <c r="DH312" s="52">
        <v>0</v>
      </c>
      <c r="DI312" s="52">
        <v>0</v>
      </c>
      <c r="DJ312" s="52">
        <v>0</v>
      </c>
      <c r="DK312" s="52">
        <v>0</v>
      </c>
      <c r="DL312" s="52">
        <v>0</v>
      </c>
      <c r="DM312" s="52">
        <v>0</v>
      </c>
      <c r="DN312" s="52">
        <v>0</v>
      </c>
      <c r="DO312" s="52">
        <v>0</v>
      </c>
      <c r="DP312" s="52">
        <v>0</v>
      </c>
      <c r="DQ312" s="52">
        <v>0</v>
      </c>
      <c r="DR312" s="52">
        <v>0</v>
      </c>
      <c r="DS312" s="53">
        <v>0</v>
      </c>
      <c r="DT312" s="53">
        <v>0</v>
      </c>
      <c r="DU312" s="53">
        <v>0</v>
      </c>
      <c r="DV312" s="53">
        <v>0</v>
      </c>
      <c r="DW312" s="53">
        <v>0</v>
      </c>
      <c r="DX312" s="2"/>
      <c r="DY312" s="2"/>
      <c r="DZ312" s="46">
        <f t="shared" si="69"/>
        <v>0</v>
      </c>
      <c r="EA312" s="46">
        <f t="shared" si="70"/>
        <v>0</v>
      </c>
      <c r="EB312" s="46">
        <f t="shared" si="71"/>
        <v>0</v>
      </c>
      <c r="EC312" s="46">
        <f t="shared" si="72"/>
        <v>0</v>
      </c>
      <c r="ED312" s="46">
        <f t="shared" si="73"/>
        <v>2620</v>
      </c>
      <c r="EE312" s="46">
        <f t="shared" si="74"/>
        <v>0</v>
      </c>
      <c r="EF312" s="46">
        <f t="shared" si="75"/>
        <v>0</v>
      </c>
      <c r="EG312" s="46">
        <f t="shared" si="76"/>
        <v>0</v>
      </c>
      <c r="EH312" s="46">
        <f t="shared" si="79"/>
        <v>0</v>
      </c>
      <c r="EI312" s="46">
        <f t="shared" si="78"/>
        <v>0</v>
      </c>
    </row>
    <row r="313" spans="3:139" ht="12">
      <c r="C313" s="36" t="s">
        <v>502</v>
      </c>
      <c r="D313" s="36" t="s">
        <v>412</v>
      </c>
      <c r="E313" s="36" t="s">
        <v>413</v>
      </c>
      <c r="F313" s="38">
        <f t="shared" si="77"/>
        <v>0</v>
      </c>
      <c r="G313" s="37" t="s">
        <v>473</v>
      </c>
      <c r="H313" s="47"/>
      <c r="I313" s="48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8"/>
      <c r="U313" s="48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8"/>
      <c r="AG313" s="48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>
        <v>0</v>
      </c>
      <c r="BJ313" s="49"/>
      <c r="BK313" s="49"/>
      <c r="BL313" s="49">
        <v>0</v>
      </c>
      <c r="BM313" s="49"/>
      <c r="BN313" s="49">
        <v>0</v>
      </c>
      <c r="BO313" s="49"/>
      <c r="BP313" s="50">
        <v>0</v>
      </c>
      <c r="BQ313" s="50">
        <v>0</v>
      </c>
      <c r="BR313" s="50"/>
      <c r="BS313" s="50">
        <v>0</v>
      </c>
      <c r="BT313" s="50">
        <v>0</v>
      </c>
      <c r="BU313" s="50">
        <v>0</v>
      </c>
      <c r="BV313" s="50"/>
      <c r="BW313" s="50">
        <v>0</v>
      </c>
      <c r="BX313" s="50"/>
      <c r="BY313" s="50"/>
      <c r="BZ313" s="50"/>
      <c r="CA313" s="50">
        <v>0</v>
      </c>
      <c r="CB313" s="50">
        <v>0</v>
      </c>
      <c r="CC313" s="50">
        <v>0</v>
      </c>
      <c r="CD313" s="50">
        <v>0</v>
      </c>
      <c r="CE313" s="50">
        <v>0</v>
      </c>
      <c r="CF313" s="50">
        <v>0</v>
      </c>
      <c r="CG313" s="50"/>
      <c r="CH313" s="50">
        <v>0</v>
      </c>
      <c r="CI313" s="50">
        <v>0</v>
      </c>
      <c r="CJ313" s="50">
        <v>0</v>
      </c>
      <c r="CK313" s="50">
        <v>0</v>
      </c>
      <c r="CL313" s="50">
        <v>0</v>
      </c>
      <c r="CM313" s="50">
        <v>0</v>
      </c>
      <c r="CN313" s="51">
        <v>0</v>
      </c>
      <c r="CO313" s="51">
        <v>0</v>
      </c>
      <c r="CP313" s="51">
        <v>0</v>
      </c>
      <c r="CQ313" s="51">
        <v>0</v>
      </c>
      <c r="CR313" s="51">
        <v>0</v>
      </c>
      <c r="CS313" s="51">
        <v>0</v>
      </c>
      <c r="CT313" s="51">
        <v>0</v>
      </c>
      <c r="CU313" s="51">
        <v>0</v>
      </c>
      <c r="CV313" s="51">
        <v>0</v>
      </c>
      <c r="CW313" s="51">
        <v>0</v>
      </c>
      <c r="CX313" s="51">
        <v>0</v>
      </c>
      <c r="CY313" s="51">
        <v>0</v>
      </c>
      <c r="CZ313" s="51">
        <v>0</v>
      </c>
      <c r="DA313" s="51">
        <v>0</v>
      </c>
      <c r="DB313" s="51">
        <v>0</v>
      </c>
      <c r="DC313" s="51">
        <v>0</v>
      </c>
      <c r="DD313" s="51">
        <v>0</v>
      </c>
      <c r="DE313" s="51">
        <v>0</v>
      </c>
      <c r="DF313" s="52">
        <v>0</v>
      </c>
      <c r="DG313" s="52">
        <v>0</v>
      </c>
      <c r="DH313" s="52">
        <v>0</v>
      </c>
      <c r="DI313" s="52">
        <v>0</v>
      </c>
      <c r="DJ313" s="52">
        <v>0</v>
      </c>
      <c r="DK313" s="52">
        <v>0</v>
      </c>
      <c r="DL313" s="52">
        <v>0</v>
      </c>
      <c r="DM313" s="52">
        <v>0</v>
      </c>
      <c r="DN313" s="52">
        <v>0</v>
      </c>
      <c r="DO313" s="52">
        <v>0</v>
      </c>
      <c r="DP313" s="52">
        <v>0</v>
      </c>
      <c r="DQ313" s="52">
        <v>0</v>
      </c>
      <c r="DR313" s="52">
        <v>0</v>
      </c>
      <c r="DS313" s="53">
        <v>0</v>
      </c>
      <c r="DT313" s="53">
        <v>0</v>
      </c>
      <c r="DU313" s="53">
        <v>0</v>
      </c>
      <c r="DV313" s="53">
        <v>0</v>
      </c>
      <c r="DW313" s="53">
        <v>0</v>
      </c>
      <c r="DX313" s="2"/>
      <c r="DY313" s="2"/>
      <c r="DZ313" s="46">
        <f t="shared" si="69"/>
        <v>0</v>
      </c>
      <c r="EA313" s="46">
        <f t="shared" si="70"/>
        <v>0</v>
      </c>
      <c r="EB313" s="46">
        <f t="shared" si="71"/>
        <v>0</v>
      </c>
      <c r="EC313" s="46">
        <f t="shared" si="72"/>
        <v>0</v>
      </c>
      <c r="ED313" s="46">
        <f t="shared" si="73"/>
        <v>0</v>
      </c>
      <c r="EE313" s="46">
        <f t="shared" si="74"/>
        <v>0</v>
      </c>
      <c r="EF313" s="46">
        <f t="shared" si="75"/>
        <v>0</v>
      </c>
      <c r="EG313" s="46">
        <f t="shared" si="76"/>
        <v>0</v>
      </c>
      <c r="EH313" s="46">
        <f t="shared" si="79"/>
        <v>0</v>
      </c>
      <c r="EI313" s="46">
        <f t="shared" si="78"/>
        <v>0</v>
      </c>
    </row>
    <row r="314" spans="3:139" ht="12">
      <c r="C314" s="36" t="s">
        <v>503</v>
      </c>
      <c r="D314" s="36" t="s">
        <v>412</v>
      </c>
      <c r="E314" s="36" t="s">
        <v>413</v>
      </c>
      <c r="F314" s="38">
        <f t="shared" si="77"/>
        <v>8640</v>
      </c>
      <c r="G314" s="37" t="s">
        <v>473</v>
      </c>
      <c r="H314" s="47"/>
      <c r="I314" s="48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8"/>
      <c r="U314" s="48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8"/>
      <c r="AG314" s="48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>
        <v>3580</v>
      </c>
      <c r="BG314" s="49">
        <v>2120</v>
      </c>
      <c r="BH314" s="49">
        <v>1940</v>
      </c>
      <c r="BI314" s="49">
        <v>1000</v>
      </c>
      <c r="BJ314" s="49"/>
      <c r="BK314" s="49"/>
      <c r="BL314" s="49">
        <v>0</v>
      </c>
      <c r="BM314" s="49"/>
      <c r="BN314" s="49">
        <v>0</v>
      </c>
      <c r="BO314" s="49"/>
      <c r="BP314" s="50">
        <v>0</v>
      </c>
      <c r="BQ314" s="50">
        <v>0</v>
      </c>
      <c r="BR314" s="50"/>
      <c r="BS314" s="50">
        <v>0</v>
      </c>
      <c r="BT314" s="50">
        <v>0</v>
      </c>
      <c r="BU314" s="50">
        <v>0</v>
      </c>
      <c r="BV314" s="50"/>
      <c r="BW314" s="50">
        <v>0</v>
      </c>
      <c r="BX314" s="50"/>
      <c r="BY314" s="50"/>
      <c r="BZ314" s="50"/>
      <c r="CA314" s="50">
        <v>0</v>
      </c>
      <c r="CB314" s="50">
        <v>0</v>
      </c>
      <c r="CC314" s="50">
        <v>0</v>
      </c>
      <c r="CD314" s="50">
        <v>0</v>
      </c>
      <c r="CE314" s="50">
        <v>0</v>
      </c>
      <c r="CF314" s="50">
        <v>0</v>
      </c>
      <c r="CG314" s="50"/>
      <c r="CH314" s="50">
        <v>0</v>
      </c>
      <c r="CI314" s="50">
        <v>0</v>
      </c>
      <c r="CJ314" s="50">
        <v>0</v>
      </c>
      <c r="CK314" s="50">
        <v>0</v>
      </c>
      <c r="CL314" s="50">
        <v>0</v>
      </c>
      <c r="CM314" s="50">
        <v>0</v>
      </c>
      <c r="CN314" s="51">
        <v>0</v>
      </c>
      <c r="CO314" s="51">
        <v>0</v>
      </c>
      <c r="CP314" s="51">
        <v>0</v>
      </c>
      <c r="CQ314" s="51">
        <v>0</v>
      </c>
      <c r="CR314" s="51">
        <v>0</v>
      </c>
      <c r="CS314" s="51">
        <v>0</v>
      </c>
      <c r="CT314" s="51">
        <v>0</v>
      </c>
      <c r="CU314" s="51">
        <v>0</v>
      </c>
      <c r="CV314" s="51">
        <v>0</v>
      </c>
      <c r="CW314" s="51">
        <v>0</v>
      </c>
      <c r="CX314" s="51">
        <v>0</v>
      </c>
      <c r="CY314" s="51">
        <v>0</v>
      </c>
      <c r="CZ314" s="51">
        <v>0</v>
      </c>
      <c r="DA314" s="51">
        <v>0</v>
      </c>
      <c r="DB314" s="51">
        <v>0</v>
      </c>
      <c r="DC314" s="51">
        <v>0</v>
      </c>
      <c r="DD314" s="51">
        <v>0</v>
      </c>
      <c r="DE314" s="51">
        <v>0</v>
      </c>
      <c r="DF314" s="52">
        <v>0</v>
      </c>
      <c r="DG314" s="52">
        <v>0</v>
      </c>
      <c r="DH314" s="52">
        <v>0</v>
      </c>
      <c r="DI314" s="52">
        <v>0</v>
      </c>
      <c r="DJ314" s="52">
        <v>0</v>
      </c>
      <c r="DK314" s="52">
        <v>0</v>
      </c>
      <c r="DL314" s="52">
        <v>0</v>
      </c>
      <c r="DM314" s="52">
        <v>0</v>
      </c>
      <c r="DN314" s="52">
        <v>0</v>
      </c>
      <c r="DO314" s="52">
        <v>0</v>
      </c>
      <c r="DP314" s="52">
        <v>0</v>
      </c>
      <c r="DQ314" s="52">
        <v>0</v>
      </c>
      <c r="DR314" s="52">
        <v>0</v>
      </c>
      <c r="DS314" s="53">
        <v>0</v>
      </c>
      <c r="DT314" s="53">
        <v>0</v>
      </c>
      <c r="DU314" s="53">
        <v>0</v>
      </c>
      <c r="DV314" s="53">
        <v>0</v>
      </c>
      <c r="DW314" s="53">
        <v>0</v>
      </c>
      <c r="DX314" s="2"/>
      <c r="DY314" s="2"/>
      <c r="DZ314" s="46">
        <f t="shared" si="69"/>
        <v>0</v>
      </c>
      <c r="EA314" s="46">
        <f t="shared" si="70"/>
        <v>0</v>
      </c>
      <c r="EB314" s="46">
        <f t="shared" si="71"/>
        <v>0</v>
      </c>
      <c r="EC314" s="46">
        <f t="shared" si="72"/>
        <v>0</v>
      </c>
      <c r="ED314" s="46">
        <f t="shared" si="73"/>
        <v>8640</v>
      </c>
      <c r="EE314" s="46">
        <f t="shared" si="74"/>
        <v>0</v>
      </c>
      <c r="EF314" s="46">
        <f t="shared" si="75"/>
        <v>0</v>
      </c>
      <c r="EG314" s="46">
        <f t="shared" si="76"/>
        <v>0</v>
      </c>
      <c r="EH314" s="46">
        <f t="shared" si="79"/>
        <v>0</v>
      </c>
      <c r="EI314" s="46">
        <f t="shared" si="78"/>
        <v>0</v>
      </c>
    </row>
    <row r="315" spans="3:139" ht="12">
      <c r="C315" s="36" t="s">
        <v>504</v>
      </c>
      <c r="D315" s="36" t="s">
        <v>412</v>
      </c>
      <c r="E315" s="36" t="s">
        <v>413</v>
      </c>
      <c r="F315" s="38">
        <f t="shared" si="77"/>
        <v>27518</v>
      </c>
      <c r="G315" s="37" t="s">
        <v>473</v>
      </c>
      <c r="H315" s="47"/>
      <c r="I315" s="48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8"/>
      <c r="U315" s="48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8"/>
      <c r="AG315" s="48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>
        <v>4040</v>
      </c>
      <c r="BG315" s="49">
        <v>6000</v>
      </c>
      <c r="BH315" s="49">
        <v>7440</v>
      </c>
      <c r="BI315" s="49">
        <v>7400</v>
      </c>
      <c r="BJ315" s="49">
        <v>1540</v>
      </c>
      <c r="BK315" s="49"/>
      <c r="BL315" s="49">
        <v>900</v>
      </c>
      <c r="BM315" s="49"/>
      <c r="BN315" s="49">
        <v>0</v>
      </c>
      <c r="BO315" s="49"/>
      <c r="BP315" s="50">
        <v>0</v>
      </c>
      <c r="BQ315" s="50">
        <v>0</v>
      </c>
      <c r="BR315" s="50"/>
      <c r="BS315" s="50">
        <v>15</v>
      </c>
      <c r="BT315" s="50">
        <v>59</v>
      </c>
      <c r="BU315" s="50">
        <v>0</v>
      </c>
      <c r="BV315" s="50"/>
      <c r="BW315" s="50">
        <v>0</v>
      </c>
      <c r="BX315" s="50"/>
      <c r="BY315" s="50"/>
      <c r="BZ315" s="50"/>
      <c r="CA315" s="50">
        <v>0</v>
      </c>
      <c r="CB315" s="50">
        <v>0</v>
      </c>
      <c r="CC315" s="50">
        <v>0</v>
      </c>
      <c r="CD315" s="50">
        <v>0</v>
      </c>
      <c r="CE315" s="50">
        <v>0</v>
      </c>
      <c r="CF315" s="50">
        <v>0</v>
      </c>
      <c r="CG315" s="50"/>
      <c r="CH315" s="50">
        <v>0</v>
      </c>
      <c r="CI315" s="50">
        <v>0</v>
      </c>
      <c r="CJ315" s="50">
        <v>0</v>
      </c>
      <c r="CK315" s="50">
        <v>0</v>
      </c>
      <c r="CL315" s="50">
        <v>0</v>
      </c>
      <c r="CM315" s="50">
        <v>0</v>
      </c>
      <c r="CN315" s="51">
        <v>0</v>
      </c>
      <c r="CO315" s="51">
        <v>0</v>
      </c>
      <c r="CP315" s="51">
        <v>31</v>
      </c>
      <c r="CQ315" s="51">
        <v>0</v>
      </c>
      <c r="CR315" s="51">
        <v>0</v>
      </c>
      <c r="CS315" s="51">
        <v>0</v>
      </c>
      <c r="CT315" s="51">
        <v>0</v>
      </c>
      <c r="CU315" s="51">
        <v>0</v>
      </c>
      <c r="CV315" s="51">
        <v>0</v>
      </c>
      <c r="CW315" s="51">
        <v>0</v>
      </c>
      <c r="CX315" s="51">
        <v>0</v>
      </c>
      <c r="CY315" s="51">
        <v>24</v>
      </c>
      <c r="CZ315" s="51">
        <v>0</v>
      </c>
      <c r="DA315" s="51">
        <v>0</v>
      </c>
      <c r="DB315" s="51">
        <v>1</v>
      </c>
      <c r="DC315" s="51">
        <v>0</v>
      </c>
      <c r="DD315" s="51">
        <v>44</v>
      </c>
      <c r="DE315" s="51">
        <v>0</v>
      </c>
      <c r="DF315" s="52">
        <v>0</v>
      </c>
      <c r="DG315" s="52">
        <v>0</v>
      </c>
      <c r="DH315" s="52">
        <v>0</v>
      </c>
      <c r="DI315" s="52">
        <v>0</v>
      </c>
      <c r="DJ315" s="52">
        <v>0</v>
      </c>
      <c r="DK315" s="52">
        <v>24</v>
      </c>
      <c r="DL315" s="52">
        <v>0</v>
      </c>
      <c r="DM315" s="52">
        <v>0</v>
      </c>
      <c r="DN315" s="52">
        <v>0</v>
      </c>
      <c r="DO315" s="52">
        <v>0</v>
      </c>
      <c r="DP315" s="52">
        <v>0</v>
      </c>
      <c r="DQ315" s="52">
        <v>0</v>
      </c>
      <c r="DR315" s="52">
        <v>0</v>
      </c>
      <c r="DS315" s="53">
        <v>0</v>
      </c>
      <c r="DT315" s="53">
        <v>0</v>
      </c>
      <c r="DU315" s="53">
        <v>0</v>
      </c>
      <c r="DV315" s="53">
        <v>0</v>
      </c>
      <c r="DW315" s="53">
        <v>0</v>
      </c>
      <c r="DX315" s="2"/>
      <c r="DY315" s="2"/>
      <c r="DZ315" s="46">
        <f t="shared" si="69"/>
        <v>0</v>
      </c>
      <c r="EA315" s="46">
        <f t="shared" si="70"/>
        <v>0</v>
      </c>
      <c r="EB315" s="46">
        <f t="shared" si="71"/>
        <v>0</v>
      </c>
      <c r="EC315" s="46">
        <f t="shared" si="72"/>
        <v>0</v>
      </c>
      <c r="ED315" s="46">
        <f t="shared" si="73"/>
        <v>27320</v>
      </c>
      <c r="EE315" s="46">
        <f t="shared" si="74"/>
        <v>74</v>
      </c>
      <c r="EF315" s="46">
        <f t="shared" si="75"/>
        <v>0</v>
      </c>
      <c r="EG315" s="46">
        <f t="shared" si="76"/>
        <v>55</v>
      </c>
      <c r="EH315" s="46">
        <f t="shared" si="79"/>
        <v>45</v>
      </c>
      <c r="EI315" s="46">
        <f t="shared" si="78"/>
        <v>0</v>
      </c>
    </row>
    <row r="316" spans="3:139" ht="12">
      <c r="C316" s="36" t="s">
        <v>505</v>
      </c>
      <c r="D316" s="36" t="s">
        <v>412</v>
      </c>
      <c r="E316" s="36" t="s">
        <v>413</v>
      </c>
      <c r="F316" s="38">
        <f t="shared" si="77"/>
        <v>1720</v>
      </c>
      <c r="G316" s="37" t="s">
        <v>473</v>
      </c>
      <c r="H316" s="47"/>
      <c r="I316" s="48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8"/>
      <c r="U316" s="48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8"/>
      <c r="AG316" s="48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>
        <v>600</v>
      </c>
      <c r="BH316" s="49">
        <v>400</v>
      </c>
      <c r="BI316" s="49">
        <v>400</v>
      </c>
      <c r="BJ316" s="49">
        <v>200</v>
      </c>
      <c r="BK316" s="49">
        <v>60</v>
      </c>
      <c r="BL316" s="49">
        <v>0</v>
      </c>
      <c r="BM316" s="49">
        <v>60</v>
      </c>
      <c r="BN316" s="49">
        <v>0</v>
      </c>
      <c r="BO316" s="49"/>
      <c r="BP316" s="50">
        <v>0</v>
      </c>
      <c r="BQ316" s="50">
        <v>0</v>
      </c>
      <c r="BR316" s="50"/>
      <c r="BS316" s="50">
        <v>0</v>
      </c>
      <c r="BT316" s="50">
        <v>0</v>
      </c>
      <c r="BU316" s="50">
        <v>0</v>
      </c>
      <c r="BV316" s="50"/>
      <c r="BW316" s="50">
        <v>0</v>
      </c>
      <c r="BX316" s="50"/>
      <c r="BY316" s="50"/>
      <c r="BZ316" s="50"/>
      <c r="CA316" s="50">
        <v>0</v>
      </c>
      <c r="CB316" s="50">
        <v>0</v>
      </c>
      <c r="CC316" s="50">
        <v>0</v>
      </c>
      <c r="CD316" s="50">
        <v>0</v>
      </c>
      <c r="CE316" s="50">
        <v>0</v>
      </c>
      <c r="CF316" s="50">
        <v>0</v>
      </c>
      <c r="CG316" s="50"/>
      <c r="CH316" s="50">
        <v>0</v>
      </c>
      <c r="CI316" s="50">
        <v>0</v>
      </c>
      <c r="CJ316" s="50">
        <v>0</v>
      </c>
      <c r="CK316" s="50">
        <v>0</v>
      </c>
      <c r="CL316" s="50">
        <v>0</v>
      </c>
      <c r="CM316" s="50">
        <v>0</v>
      </c>
      <c r="CN316" s="51">
        <v>0</v>
      </c>
      <c r="CO316" s="51">
        <v>0</v>
      </c>
      <c r="CP316" s="51">
        <v>0</v>
      </c>
      <c r="CQ316" s="51">
        <v>0</v>
      </c>
      <c r="CR316" s="51">
        <v>0</v>
      </c>
      <c r="CS316" s="51">
        <v>0</v>
      </c>
      <c r="CT316" s="51">
        <v>0</v>
      </c>
      <c r="CU316" s="51">
        <v>0</v>
      </c>
      <c r="CV316" s="51">
        <v>0</v>
      </c>
      <c r="CW316" s="51">
        <v>0</v>
      </c>
      <c r="CX316" s="51">
        <v>0</v>
      </c>
      <c r="CY316" s="51">
        <v>0</v>
      </c>
      <c r="CZ316" s="51">
        <v>0</v>
      </c>
      <c r="DA316" s="51">
        <v>0</v>
      </c>
      <c r="DB316" s="51">
        <v>0</v>
      </c>
      <c r="DC316" s="51">
        <v>0</v>
      </c>
      <c r="DD316" s="51">
        <v>0</v>
      </c>
      <c r="DE316" s="51">
        <v>0</v>
      </c>
      <c r="DF316" s="52">
        <v>0</v>
      </c>
      <c r="DG316" s="52">
        <v>0</v>
      </c>
      <c r="DH316" s="52">
        <v>0</v>
      </c>
      <c r="DI316" s="52">
        <v>0</v>
      </c>
      <c r="DJ316" s="52">
        <v>0</v>
      </c>
      <c r="DK316" s="52">
        <v>0</v>
      </c>
      <c r="DL316" s="52">
        <v>0</v>
      </c>
      <c r="DM316" s="52">
        <v>0</v>
      </c>
      <c r="DN316" s="52">
        <v>0</v>
      </c>
      <c r="DO316" s="52">
        <v>0</v>
      </c>
      <c r="DP316" s="52">
        <v>0</v>
      </c>
      <c r="DQ316" s="52">
        <v>0</v>
      </c>
      <c r="DR316" s="52">
        <v>0</v>
      </c>
      <c r="DS316" s="53">
        <v>0</v>
      </c>
      <c r="DT316" s="53">
        <v>0</v>
      </c>
      <c r="DU316" s="53">
        <v>0</v>
      </c>
      <c r="DV316" s="53">
        <v>0</v>
      </c>
      <c r="DW316" s="53">
        <v>0</v>
      </c>
      <c r="DX316" s="2"/>
      <c r="DY316" s="2"/>
      <c r="DZ316" s="46">
        <f t="shared" si="69"/>
        <v>0</v>
      </c>
      <c r="EA316" s="46">
        <f t="shared" si="70"/>
        <v>0</v>
      </c>
      <c r="EB316" s="46">
        <f t="shared" si="71"/>
        <v>0</v>
      </c>
      <c r="EC316" s="46">
        <f t="shared" si="72"/>
        <v>0</v>
      </c>
      <c r="ED316" s="46">
        <f t="shared" si="73"/>
        <v>1720</v>
      </c>
      <c r="EE316" s="46">
        <f t="shared" si="74"/>
        <v>0</v>
      </c>
      <c r="EF316" s="46">
        <f t="shared" si="75"/>
        <v>0</v>
      </c>
      <c r="EG316" s="46">
        <f t="shared" si="76"/>
        <v>0</v>
      </c>
      <c r="EH316" s="46">
        <f t="shared" si="79"/>
        <v>0</v>
      </c>
      <c r="EI316" s="46">
        <f t="shared" si="78"/>
        <v>0</v>
      </c>
    </row>
    <row r="317" spans="3:139" ht="12">
      <c r="C317" s="36" t="s">
        <v>506</v>
      </c>
      <c r="D317" s="36" t="s">
        <v>412</v>
      </c>
      <c r="E317" s="36" t="s">
        <v>413</v>
      </c>
      <c r="F317" s="38">
        <f t="shared" si="77"/>
        <v>714</v>
      </c>
      <c r="G317" s="37" t="s">
        <v>473</v>
      </c>
      <c r="H317" s="47"/>
      <c r="I317" s="48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8"/>
      <c r="U317" s="48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8"/>
      <c r="AG317" s="48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>
        <v>300</v>
      </c>
      <c r="BH317" s="49">
        <v>400</v>
      </c>
      <c r="BI317" s="49">
        <v>0</v>
      </c>
      <c r="BJ317" s="49"/>
      <c r="BK317" s="49"/>
      <c r="BL317" s="49">
        <v>0</v>
      </c>
      <c r="BM317" s="49"/>
      <c r="BN317" s="49">
        <v>0</v>
      </c>
      <c r="BO317" s="49"/>
      <c r="BP317" s="50">
        <v>0</v>
      </c>
      <c r="BQ317" s="50">
        <v>0</v>
      </c>
      <c r="BR317" s="50"/>
      <c r="BS317" s="50">
        <v>14</v>
      </c>
      <c r="BT317" s="50">
        <v>0</v>
      </c>
      <c r="BU317" s="50">
        <v>0</v>
      </c>
      <c r="BV317" s="50"/>
      <c r="BW317" s="50">
        <v>0</v>
      </c>
      <c r="BX317" s="50"/>
      <c r="BY317" s="50"/>
      <c r="BZ317" s="50"/>
      <c r="CA317" s="50">
        <v>0</v>
      </c>
      <c r="CB317" s="50">
        <v>0</v>
      </c>
      <c r="CC317" s="50">
        <v>0</v>
      </c>
      <c r="CD317" s="50">
        <v>0</v>
      </c>
      <c r="CE317" s="50">
        <v>0</v>
      </c>
      <c r="CF317" s="50">
        <v>0</v>
      </c>
      <c r="CG317" s="50"/>
      <c r="CH317" s="50">
        <v>0</v>
      </c>
      <c r="CI317" s="50">
        <v>0</v>
      </c>
      <c r="CJ317" s="50">
        <v>0</v>
      </c>
      <c r="CK317" s="50">
        <v>0</v>
      </c>
      <c r="CL317" s="50">
        <v>0</v>
      </c>
      <c r="CM317" s="50">
        <v>0</v>
      </c>
      <c r="CN317" s="51">
        <v>0</v>
      </c>
      <c r="CO317" s="51">
        <v>0</v>
      </c>
      <c r="CP317" s="51">
        <v>0</v>
      </c>
      <c r="CQ317" s="51">
        <v>0</v>
      </c>
      <c r="CR317" s="51">
        <v>0</v>
      </c>
      <c r="CS317" s="51">
        <v>0</v>
      </c>
      <c r="CT317" s="51">
        <v>0</v>
      </c>
      <c r="CU317" s="51">
        <v>0</v>
      </c>
      <c r="CV317" s="51">
        <v>0</v>
      </c>
      <c r="CW317" s="51">
        <v>0</v>
      </c>
      <c r="CX317" s="51">
        <v>0</v>
      </c>
      <c r="CY317" s="51">
        <v>0</v>
      </c>
      <c r="CZ317" s="51">
        <v>0</v>
      </c>
      <c r="DA317" s="51">
        <v>0</v>
      </c>
      <c r="DB317" s="51">
        <v>0</v>
      </c>
      <c r="DC317" s="51">
        <v>0</v>
      </c>
      <c r="DD317" s="51">
        <v>0</v>
      </c>
      <c r="DE317" s="51">
        <v>0</v>
      </c>
      <c r="DF317" s="52">
        <v>0</v>
      </c>
      <c r="DG317" s="52">
        <v>0</v>
      </c>
      <c r="DH317" s="52">
        <v>0</v>
      </c>
      <c r="DI317" s="52">
        <v>0</v>
      </c>
      <c r="DJ317" s="52">
        <v>0</v>
      </c>
      <c r="DK317" s="52">
        <v>0</v>
      </c>
      <c r="DL317" s="52">
        <v>0</v>
      </c>
      <c r="DM317" s="52">
        <v>0</v>
      </c>
      <c r="DN317" s="52">
        <v>0</v>
      </c>
      <c r="DO317" s="52">
        <v>0</v>
      </c>
      <c r="DP317" s="52">
        <v>0</v>
      </c>
      <c r="DQ317" s="52">
        <v>0</v>
      </c>
      <c r="DR317" s="52">
        <v>0</v>
      </c>
      <c r="DS317" s="53">
        <v>0</v>
      </c>
      <c r="DT317" s="53">
        <v>0</v>
      </c>
      <c r="DU317" s="53">
        <v>0</v>
      </c>
      <c r="DV317" s="53">
        <v>0</v>
      </c>
      <c r="DW317" s="53">
        <v>0</v>
      </c>
      <c r="DX317" s="2"/>
      <c r="DY317" s="2"/>
      <c r="DZ317" s="46">
        <f t="shared" si="69"/>
        <v>0</v>
      </c>
      <c r="EA317" s="46">
        <f t="shared" si="70"/>
        <v>0</v>
      </c>
      <c r="EB317" s="46">
        <f t="shared" si="71"/>
        <v>0</v>
      </c>
      <c r="EC317" s="46">
        <f t="shared" si="72"/>
        <v>0</v>
      </c>
      <c r="ED317" s="46">
        <f t="shared" si="73"/>
        <v>700</v>
      </c>
      <c r="EE317" s="46">
        <f t="shared" si="74"/>
        <v>14</v>
      </c>
      <c r="EF317" s="46">
        <f t="shared" si="75"/>
        <v>0</v>
      </c>
      <c r="EG317" s="46">
        <f t="shared" si="76"/>
        <v>0</v>
      </c>
      <c r="EH317" s="46">
        <f t="shared" si="79"/>
        <v>0</v>
      </c>
      <c r="EI317" s="46">
        <f t="shared" si="78"/>
        <v>0</v>
      </c>
    </row>
    <row r="318" spans="3:139" ht="12">
      <c r="C318" s="36" t="s">
        <v>507</v>
      </c>
      <c r="D318" s="36" t="s">
        <v>412</v>
      </c>
      <c r="E318" s="36" t="s">
        <v>413</v>
      </c>
      <c r="F318" s="38">
        <f t="shared" si="77"/>
        <v>5429</v>
      </c>
      <c r="G318" s="37" t="s">
        <v>473</v>
      </c>
      <c r="H318" s="47"/>
      <c r="I318" s="48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8"/>
      <c r="U318" s="48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8"/>
      <c r="AG318" s="48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>
        <v>1000</v>
      </c>
      <c r="BH318" s="49">
        <v>420</v>
      </c>
      <c r="BI318" s="49">
        <v>600</v>
      </c>
      <c r="BJ318" s="49">
        <v>3300</v>
      </c>
      <c r="BK318" s="49"/>
      <c r="BL318" s="49">
        <v>0</v>
      </c>
      <c r="BM318" s="49"/>
      <c r="BN318" s="49">
        <v>0</v>
      </c>
      <c r="BO318" s="49"/>
      <c r="BP318" s="50">
        <v>0</v>
      </c>
      <c r="BQ318" s="50">
        <v>0</v>
      </c>
      <c r="BR318" s="50"/>
      <c r="BS318" s="50">
        <v>0</v>
      </c>
      <c r="BT318" s="50">
        <v>0</v>
      </c>
      <c r="BU318" s="50">
        <v>0</v>
      </c>
      <c r="BV318" s="50"/>
      <c r="BW318" s="50">
        <v>0</v>
      </c>
      <c r="BX318" s="50"/>
      <c r="BY318" s="50"/>
      <c r="BZ318" s="50"/>
      <c r="CA318" s="50">
        <v>0</v>
      </c>
      <c r="CB318" s="50">
        <v>0</v>
      </c>
      <c r="CC318" s="50">
        <v>0</v>
      </c>
      <c r="CD318" s="50">
        <v>0</v>
      </c>
      <c r="CE318" s="50">
        <v>0</v>
      </c>
      <c r="CF318" s="50">
        <v>0</v>
      </c>
      <c r="CG318" s="50"/>
      <c r="CH318" s="50">
        <v>0</v>
      </c>
      <c r="CI318" s="50">
        <v>0</v>
      </c>
      <c r="CJ318" s="50">
        <v>0</v>
      </c>
      <c r="CK318" s="50">
        <v>0</v>
      </c>
      <c r="CL318" s="50">
        <v>17</v>
      </c>
      <c r="CM318" s="50">
        <v>0</v>
      </c>
      <c r="CN318" s="51">
        <v>0</v>
      </c>
      <c r="CO318" s="51">
        <v>0</v>
      </c>
      <c r="CP318" s="51">
        <v>0</v>
      </c>
      <c r="CQ318" s="51">
        <v>0</v>
      </c>
      <c r="CR318" s="51">
        <v>24</v>
      </c>
      <c r="CS318" s="51">
        <v>0</v>
      </c>
      <c r="CT318" s="51">
        <v>0</v>
      </c>
      <c r="CU318" s="51">
        <v>0</v>
      </c>
      <c r="CV318" s="51">
        <v>0</v>
      </c>
      <c r="CW318" s="51">
        <v>0</v>
      </c>
      <c r="CX318" s="51">
        <v>0</v>
      </c>
      <c r="CY318" s="51">
        <v>0</v>
      </c>
      <c r="CZ318" s="51">
        <v>0</v>
      </c>
      <c r="DA318" s="51">
        <v>0</v>
      </c>
      <c r="DB318" s="51">
        <v>17</v>
      </c>
      <c r="DC318" s="51">
        <v>0</v>
      </c>
      <c r="DD318" s="51">
        <v>0</v>
      </c>
      <c r="DE318" s="51">
        <v>0</v>
      </c>
      <c r="DF318" s="52">
        <v>0</v>
      </c>
      <c r="DG318" s="52">
        <v>0</v>
      </c>
      <c r="DH318" s="52">
        <v>0</v>
      </c>
      <c r="DI318" s="52">
        <v>0</v>
      </c>
      <c r="DJ318" s="52">
        <v>19</v>
      </c>
      <c r="DK318" s="52">
        <v>12</v>
      </c>
      <c r="DL318" s="52">
        <v>0</v>
      </c>
      <c r="DM318" s="52">
        <v>20</v>
      </c>
      <c r="DN318" s="52">
        <v>0</v>
      </c>
      <c r="DO318" s="52">
        <v>0</v>
      </c>
      <c r="DP318" s="52">
        <v>0</v>
      </c>
      <c r="DQ318" s="52">
        <v>0</v>
      </c>
      <c r="DR318" s="52">
        <v>0</v>
      </c>
      <c r="DS318" s="53">
        <v>0</v>
      </c>
      <c r="DT318" s="53">
        <v>0</v>
      </c>
      <c r="DU318" s="53">
        <v>0</v>
      </c>
      <c r="DV318" s="53">
        <v>0</v>
      </c>
      <c r="DW318" s="53">
        <v>0</v>
      </c>
      <c r="DX318" s="2"/>
      <c r="DY318" s="2"/>
      <c r="DZ318" s="46">
        <f t="shared" si="69"/>
        <v>0</v>
      </c>
      <c r="EA318" s="46">
        <f t="shared" si="70"/>
        <v>0</v>
      </c>
      <c r="EB318" s="46">
        <f t="shared" si="71"/>
        <v>0</v>
      </c>
      <c r="EC318" s="46">
        <f t="shared" si="72"/>
        <v>0</v>
      </c>
      <c r="ED318" s="46">
        <f t="shared" si="73"/>
        <v>5320</v>
      </c>
      <c r="EE318" s="46">
        <f t="shared" si="74"/>
        <v>0</v>
      </c>
      <c r="EF318" s="46">
        <f t="shared" si="75"/>
        <v>17</v>
      </c>
      <c r="EG318" s="46">
        <f t="shared" si="76"/>
        <v>24</v>
      </c>
      <c r="EH318" s="46">
        <f t="shared" si="79"/>
        <v>36</v>
      </c>
      <c r="EI318" s="46">
        <f t="shared" si="78"/>
        <v>20</v>
      </c>
    </row>
    <row r="319" spans="3:139" ht="12">
      <c r="C319" s="36" t="s">
        <v>508</v>
      </c>
      <c r="D319" s="36" t="s">
        <v>412</v>
      </c>
      <c r="E319" s="36" t="s">
        <v>413</v>
      </c>
      <c r="F319" s="38">
        <f t="shared" si="77"/>
        <v>4259</v>
      </c>
      <c r="G319" s="37" t="s">
        <v>473</v>
      </c>
      <c r="H319" s="47"/>
      <c r="I319" s="48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8"/>
      <c r="U319" s="48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8"/>
      <c r="AG319" s="48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>
        <v>1000</v>
      </c>
      <c r="BH319" s="49">
        <v>1100</v>
      </c>
      <c r="BI319" s="49">
        <v>0</v>
      </c>
      <c r="BJ319" s="49">
        <v>2140</v>
      </c>
      <c r="BK319" s="49"/>
      <c r="BL319" s="49">
        <v>0</v>
      </c>
      <c r="BM319" s="49"/>
      <c r="BN319" s="49">
        <v>0</v>
      </c>
      <c r="BO319" s="49"/>
      <c r="BP319" s="50">
        <v>0</v>
      </c>
      <c r="BQ319" s="50">
        <v>0</v>
      </c>
      <c r="BR319" s="50"/>
      <c r="BS319" s="50">
        <v>0</v>
      </c>
      <c r="BT319" s="50">
        <v>0</v>
      </c>
      <c r="BU319" s="50">
        <v>0</v>
      </c>
      <c r="BV319" s="50"/>
      <c r="BW319" s="50">
        <v>0</v>
      </c>
      <c r="BX319" s="50"/>
      <c r="BY319" s="50"/>
      <c r="BZ319" s="50"/>
      <c r="CA319" s="50">
        <v>0</v>
      </c>
      <c r="CB319" s="50">
        <v>0</v>
      </c>
      <c r="CC319" s="50">
        <v>0</v>
      </c>
      <c r="CD319" s="50">
        <v>0</v>
      </c>
      <c r="CE319" s="50">
        <v>0</v>
      </c>
      <c r="CF319" s="50">
        <v>0</v>
      </c>
      <c r="CG319" s="50"/>
      <c r="CH319" s="50">
        <v>0</v>
      </c>
      <c r="CI319" s="50">
        <v>0</v>
      </c>
      <c r="CJ319" s="50">
        <v>0</v>
      </c>
      <c r="CK319" s="50">
        <v>0</v>
      </c>
      <c r="CL319" s="50">
        <v>0</v>
      </c>
      <c r="CM319" s="50">
        <v>0</v>
      </c>
      <c r="CN319" s="51">
        <v>0</v>
      </c>
      <c r="CO319" s="51">
        <v>0</v>
      </c>
      <c r="CP319" s="51">
        <v>0</v>
      </c>
      <c r="CQ319" s="51">
        <v>0</v>
      </c>
      <c r="CR319" s="51">
        <v>0</v>
      </c>
      <c r="CS319" s="51">
        <v>0</v>
      </c>
      <c r="CT319" s="51">
        <v>0</v>
      </c>
      <c r="CU319" s="51">
        <v>0</v>
      </c>
      <c r="CV319" s="51">
        <v>0</v>
      </c>
      <c r="CW319" s="51">
        <v>0</v>
      </c>
      <c r="CX319" s="51">
        <v>0</v>
      </c>
      <c r="CY319" s="51">
        <v>0</v>
      </c>
      <c r="CZ319" s="51">
        <v>0</v>
      </c>
      <c r="DA319" s="51">
        <v>0</v>
      </c>
      <c r="DB319" s="51">
        <v>0</v>
      </c>
      <c r="DC319" s="51">
        <v>0</v>
      </c>
      <c r="DD319" s="51">
        <v>0</v>
      </c>
      <c r="DE319" s="51">
        <v>0</v>
      </c>
      <c r="DF319" s="52">
        <v>0</v>
      </c>
      <c r="DG319" s="52">
        <v>0</v>
      </c>
      <c r="DH319" s="52">
        <v>0</v>
      </c>
      <c r="DI319" s="52">
        <v>0</v>
      </c>
      <c r="DJ319" s="52">
        <v>0</v>
      </c>
      <c r="DK319" s="52">
        <v>0</v>
      </c>
      <c r="DL319" s="52">
        <v>0</v>
      </c>
      <c r="DM319" s="52">
        <v>19</v>
      </c>
      <c r="DN319" s="52">
        <v>0</v>
      </c>
      <c r="DO319" s="52">
        <v>0</v>
      </c>
      <c r="DP319" s="52">
        <v>0</v>
      </c>
      <c r="DQ319" s="52">
        <v>0</v>
      </c>
      <c r="DR319" s="52">
        <v>0</v>
      </c>
      <c r="DS319" s="53">
        <v>0</v>
      </c>
      <c r="DT319" s="53">
        <v>0</v>
      </c>
      <c r="DU319" s="53">
        <v>0</v>
      </c>
      <c r="DV319" s="53">
        <v>0</v>
      </c>
      <c r="DW319" s="53">
        <v>0</v>
      </c>
      <c r="DX319" s="2"/>
      <c r="DY319" s="2"/>
      <c r="DZ319" s="46">
        <f t="shared" si="69"/>
        <v>0</v>
      </c>
      <c r="EA319" s="46">
        <f t="shared" si="70"/>
        <v>0</v>
      </c>
      <c r="EB319" s="46">
        <f t="shared" si="71"/>
        <v>0</v>
      </c>
      <c r="EC319" s="46">
        <f t="shared" si="72"/>
        <v>0</v>
      </c>
      <c r="ED319" s="46">
        <f t="shared" si="73"/>
        <v>4240</v>
      </c>
      <c r="EE319" s="46">
        <f t="shared" si="74"/>
        <v>0</v>
      </c>
      <c r="EF319" s="46">
        <f t="shared" si="75"/>
        <v>0</v>
      </c>
      <c r="EG319" s="46">
        <f t="shared" si="76"/>
        <v>0</v>
      </c>
      <c r="EH319" s="46">
        <f t="shared" si="79"/>
        <v>0</v>
      </c>
      <c r="EI319" s="46">
        <f t="shared" si="78"/>
        <v>19</v>
      </c>
    </row>
    <row r="320" spans="3:139">
      <c r="C320" s="36" t="s">
        <v>509</v>
      </c>
      <c r="D320" s="36" t="s">
        <v>412</v>
      </c>
      <c r="E320" s="36" t="s">
        <v>413</v>
      </c>
      <c r="F320" s="38">
        <f t="shared" si="77"/>
        <v>2220</v>
      </c>
      <c r="G320" s="37" t="s">
        <v>473</v>
      </c>
      <c r="H320" s="47"/>
      <c r="I320" s="48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8"/>
      <c r="U320" s="48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8"/>
      <c r="AG320" s="48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>
        <v>500</v>
      </c>
      <c r="BH320" s="49">
        <v>920</v>
      </c>
      <c r="BI320" s="49">
        <v>0</v>
      </c>
      <c r="BJ320" s="49"/>
      <c r="BK320" s="49">
        <v>800</v>
      </c>
      <c r="BL320" s="49">
        <v>0</v>
      </c>
      <c r="BM320" s="49"/>
      <c r="BN320" s="49">
        <v>0</v>
      </c>
      <c r="BO320" s="49"/>
      <c r="BP320" s="50">
        <v>0</v>
      </c>
      <c r="BQ320" s="50">
        <v>0</v>
      </c>
      <c r="BR320" s="50"/>
      <c r="BS320" s="50">
        <v>0</v>
      </c>
      <c r="BT320" s="50">
        <v>0</v>
      </c>
      <c r="BU320" s="50">
        <v>0</v>
      </c>
      <c r="BV320" s="50"/>
      <c r="BW320" s="50">
        <v>0</v>
      </c>
      <c r="BX320" s="50"/>
      <c r="BY320" s="50"/>
      <c r="BZ320" s="50"/>
      <c r="CA320" s="50">
        <v>0</v>
      </c>
      <c r="CB320" s="50">
        <v>0</v>
      </c>
      <c r="CC320" s="50">
        <v>0</v>
      </c>
      <c r="CD320" s="50">
        <v>0</v>
      </c>
      <c r="CE320" s="50">
        <v>0</v>
      </c>
      <c r="CF320" s="50">
        <v>0</v>
      </c>
      <c r="CG320" s="50"/>
      <c r="CH320" s="50">
        <v>0</v>
      </c>
      <c r="CI320" s="50">
        <v>0</v>
      </c>
      <c r="CJ320" s="50">
        <v>0</v>
      </c>
      <c r="CK320" s="50">
        <v>0</v>
      </c>
      <c r="CL320" s="50">
        <v>0</v>
      </c>
      <c r="CM320" s="50">
        <v>0</v>
      </c>
      <c r="CN320" s="51">
        <v>0</v>
      </c>
      <c r="CO320" s="51">
        <v>0</v>
      </c>
      <c r="CP320" s="51">
        <v>0</v>
      </c>
      <c r="CQ320" s="51">
        <v>0</v>
      </c>
      <c r="CR320" s="51">
        <v>0</v>
      </c>
      <c r="CS320" s="51">
        <v>0</v>
      </c>
      <c r="CT320" s="51">
        <v>0</v>
      </c>
      <c r="CU320" s="51">
        <v>0</v>
      </c>
      <c r="CV320" s="51">
        <v>0</v>
      </c>
      <c r="CW320" s="51">
        <v>0</v>
      </c>
      <c r="CX320" s="51">
        <v>0</v>
      </c>
      <c r="CY320" s="51">
        <v>0</v>
      </c>
      <c r="CZ320" s="51">
        <v>0</v>
      </c>
      <c r="DA320" s="51">
        <v>0</v>
      </c>
      <c r="DB320" s="51">
        <v>0</v>
      </c>
      <c r="DC320" s="51">
        <v>0</v>
      </c>
      <c r="DD320" s="51">
        <v>0</v>
      </c>
      <c r="DE320" s="51">
        <v>0</v>
      </c>
      <c r="DF320" s="52">
        <v>0</v>
      </c>
      <c r="DG320" s="52">
        <v>0</v>
      </c>
      <c r="DH320" s="52">
        <v>0</v>
      </c>
      <c r="DI320" s="52">
        <v>0</v>
      </c>
      <c r="DJ320" s="52">
        <v>0</v>
      </c>
      <c r="DK320" s="52">
        <v>0</v>
      </c>
      <c r="DL320" s="52">
        <v>0</v>
      </c>
      <c r="DM320" s="52">
        <v>0</v>
      </c>
      <c r="DN320" s="52">
        <v>0</v>
      </c>
      <c r="DO320" s="52">
        <v>0</v>
      </c>
      <c r="DP320" s="52">
        <v>0</v>
      </c>
      <c r="DQ320" s="52">
        <v>0</v>
      </c>
      <c r="DR320" s="52">
        <v>0</v>
      </c>
      <c r="DS320" s="53">
        <v>0</v>
      </c>
      <c r="DT320" s="53">
        <v>0</v>
      </c>
      <c r="DU320" s="53">
        <v>0</v>
      </c>
      <c r="DV320" s="53">
        <v>0</v>
      </c>
      <c r="DW320" s="53">
        <v>0</v>
      </c>
      <c r="DX320" s="2"/>
      <c r="DY320" s="2"/>
      <c r="DZ320" s="46">
        <f t="shared" si="69"/>
        <v>0</v>
      </c>
      <c r="EA320" s="46">
        <f t="shared" si="70"/>
        <v>0</v>
      </c>
      <c r="EB320" s="46">
        <f t="shared" si="71"/>
        <v>0</v>
      </c>
      <c r="EC320" s="46">
        <f t="shared" si="72"/>
        <v>0</v>
      </c>
      <c r="ED320" s="46">
        <f t="shared" si="73"/>
        <v>2220</v>
      </c>
      <c r="EE320" s="46">
        <f t="shared" si="74"/>
        <v>0</v>
      </c>
      <c r="EF320" s="46">
        <f t="shared" si="75"/>
        <v>0</v>
      </c>
      <c r="EG320" s="46">
        <f t="shared" si="76"/>
        <v>0</v>
      </c>
      <c r="EH320" s="46">
        <f t="shared" si="79"/>
        <v>0</v>
      </c>
      <c r="EI320" s="46">
        <f t="shared" si="78"/>
        <v>0</v>
      </c>
    </row>
    <row r="321" spans="3:139">
      <c r="C321" s="36" t="s">
        <v>510</v>
      </c>
      <c r="D321" s="36" t="s">
        <v>412</v>
      </c>
      <c r="E321" s="36" t="s">
        <v>413</v>
      </c>
      <c r="F321" s="38">
        <f t="shared" si="77"/>
        <v>1690</v>
      </c>
      <c r="G321" s="37" t="s">
        <v>473</v>
      </c>
      <c r="H321" s="47"/>
      <c r="I321" s="48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8"/>
      <c r="U321" s="48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8"/>
      <c r="AG321" s="48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>
        <v>900</v>
      </c>
      <c r="BH321" s="49">
        <v>760</v>
      </c>
      <c r="BI321" s="49">
        <v>0</v>
      </c>
      <c r="BJ321" s="49"/>
      <c r="BK321" s="49"/>
      <c r="BL321" s="49">
        <v>0</v>
      </c>
      <c r="BM321" s="49"/>
      <c r="BN321" s="49">
        <v>0</v>
      </c>
      <c r="BO321" s="49"/>
      <c r="BP321" s="50">
        <v>0</v>
      </c>
      <c r="BQ321" s="50">
        <v>0</v>
      </c>
      <c r="BR321" s="50"/>
      <c r="BS321" s="50">
        <v>0</v>
      </c>
      <c r="BT321" s="50">
        <v>10</v>
      </c>
      <c r="BU321" s="50">
        <v>0</v>
      </c>
      <c r="BV321" s="50"/>
      <c r="BW321" s="50">
        <v>0</v>
      </c>
      <c r="BX321" s="50"/>
      <c r="BY321" s="50"/>
      <c r="BZ321" s="50"/>
      <c r="CA321" s="50">
        <v>0</v>
      </c>
      <c r="CB321" s="50">
        <v>0</v>
      </c>
      <c r="CC321" s="50">
        <v>0</v>
      </c>
      <c r="CD321" s="50">
        <v>0</v>
      </c>
      <c r="CE321" s="50">
        <v>0</v>
      </c>
      <c r="CF321" s="50">
        <v>0</v>
      </c>
      <c r="CG321" s="50"/>
      <c r="CH321" s="50">
        <v>0</v>
      </c>
      <c r="CI321" s="50">
        <v>0</v>
      </c>
      <c r="CJ321" s="50">
        <v>0</v>
      </c>
      <c r="CK321" s="50">
        <v>0</v>
      </c>
      <c r="CL321" s="50">
        <v>0</v>
      </c>
      <c r="CM321" s="50">
        <v>0</v>
      </c>
      <c r="CN321" s="51">
        <v>0</v>
      </c>
      <c r="CO321" s="51">
        <v>0</v>
      </c>
      <c r="CP321" s="51">
        <v>0</v>
      </c>
      <c r="CQ321" s="51">
        <v>0</v>
      </c>
      <c r="CR321" s="51">
        <v>0</v>
      </c>
      <c r="CS321" s="51">
        <v>0</v>
      </c>
      <c r="CT321" s="51">
        <v>0</v>
      </c>
      <c r="CU321" s="51">
        <v>0</v>
      </c>
      <c r="CV321" s="51">
        <v>0</v>
      </c>
      <c r="CW321" s="51">
        <v>0</v>
      </c>
      <c r="CX321" s="51">
        <v>0</v>
      </c>
      <c r="CY321" s="51">
        <v>0</v>
      </c>
      <c r="CZ321" s="51">
        <v>0</v>
      </c>
      <c r="DA321" s="51">
        <v>0</v>
      </c>
      <c r="DB321" s="51">
        <v>0</v>
      </c>
      <c r="DC321" s="51">
        <v>0</v>
      </c>
      <c r="DD321" s="51">
        <v>0</v>
      </c>
      <c r="DE321" s="51">
        <v>0</v>
      </c>
      <c r="DF321" s="52">
        <v>0</v>
      </c>
      <c r="DG321" s="52">
        <v>0</v>
      </c>
      <c r="DH321" s="52">
        <v>0</v>
      </c>
      <c r="DI321" s="52">
        <v>0</v>
      </c>
      <c r="DJ321" s="52">
        <v>0</v>
      </c>
      <c r="DK321" s="52">
        <v>20</v>
      </c>
      <c r="DL321" s="52">
        <v>0</v>
      </c>
      <c r="DM321" s="52">
        <v>0</v>
      </c>
      <c r="DN321" s="52">
        <v>0</v>
      </c>
      <c r="DO321" s="52">
        <v>0</v>
      </c>
      <c r="DP321" s="52">
        <v>0</v>
      </c>
      <c r="DQ321" s="52">
        <v>0</v>
      </c>
      <c r="DR321" s="52">
        <v>0</v>
      </c>
      <c r="DS321" s="53">
        <v>0</v>
      </c>
      <c r="DT321" s="53">
        <v>0</v>
      </c>
      <c r="DU321" s="53">
        <v>0</v>
      </c>
      <c r="DV321" s="53">
        <v>0</v>
      </c>
      <c r="DW321" s="53">
        <v>0</v>
      </c>
      <c r="DX321" s="2"/>
      <c r="DY321" s="2"/>
      <c r="DZ321" s="46">
        <f t="shared" si="69"/>
        <v>0</v>
      </c>
      <c r="EA321" s="46">
        <f t="shared" si="70"/>
        <v>0</v>
      </c>
      <c r="EB321" s="46">
        <f t="shared" si="71"/>
        <v>0</v>
      </c>
      <c r="EC321" s="46">
        <f t="shared" si="72"/>
        <v>0</v>
      </c>
      <c r="ED321" s="46">
        <f t="shared" si="73"/>
        <v>1660</v>
      </c>
      <c r="EE321" s="46">
        <f t="shared" si="74"/>
        <v>10</v>
      </c>
      <c r="EF321" s="46">
        <f t="shared" si="75"/>
        <v>0</v>
      </c>
      <c r="EG321" s="46">
        <f t="shared" si="76"/>
        <v>0</v>
      </c>
      <c r="EH321" s="46">
        <f t="shared" si="79"/>
        <v>0</v>
      </c>
      <c r="EI321" s="46">
        <f t="shared" si="78"/>
        <v>0</v>
      </c>
    </row>
    <row r="322" spans="3:139">
      <c r="C322" s="36" t="s">
        <v>511</v>
      </c>
      <c r="D322" s="36" t="s">
        <v>512</v>
      </c>
      <c r="E322" s="36" t="s">
        <v>513</v>
      </c>
      <c r="F322" s="38">
        <f t="shared" si="77"/>
        <v>36846</v>
      </c>
      <c r="G322" s="37" t="s">
        <v>514</v>
      </c>
      <c r="H322" s="47"/>
      <c r="I322" s="48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8"/>
      <c r="U322" s="48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8"/>
      <c r="AG322" s="48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>
        <v>330</v>
      </c>
      <c r="BI322" s="49">
        <v>4320</v>
      </c>
      <c r="BJ322" s="49"/>
      <c r="BK322" s="49">
        <v>3200</v>
      </c>
      <c r="BL322" s="49">
        <v>3060</v>
      </c>
      <c r="BM322" s="49">
        <v>2117</v>
      </c>
      <c r="BN322" s="49">
        <v>6320</v>
      </c>
      <c r="BO322" s="49">
        <v>20</v>
      </c>
      <c r="BP322" s="50">
        <v>4168</v>
      </c>
      <c r="BQ322" s="50">
        <v>3700</v>
      </c>
      <c r="BR322" s="50">
        <v>2801</v>
      </c>
      <c r="BS322" s="50">
        <v>1700</v>
      </c>
      <c r="BT322" s="50">
        <v>2500</v>
      </c>
      <c r="BU322" s="50">
        <v>600</v>
      </c>
      <c r="BV322" s="50">
        <v>820</v>
      </c>
      <c r="BW322" s="50">
        <v>507</v>
      </c>
      <c r="BX322" s="50"/>
      <c r="BY322" s="50"/>
      <c r="BZ322" s="50"/>
      <c r="CA322" s="50">
        <v>0</v>
      </c>
      <c r="CB322" s="50">
        <v>0</v>
      </c>
      <c r="CC322" s="50">
        <v>60</v>
      </c>
      <c r="CD322" s="50">
        <v>45</v>
      </c>
      <c r="CE322" s="50">
        <v>0</v>
      </c>
      <c r="CF322" s="50">
        <v>140</v>
      </c>
      <c r="CG322" s="50"/>
      <c r="CH322" s="50">
        <v>0</v>
      </c>
      <c r="CI322" s="50">
        <v>108</v>
      </c>
      <c r="CJ322" s="50">
        <v>0</v>
      </c>
      <c r="CK322" s="50">
        <v>0</v>
      </c>
      <c r="CL322" s="50">
        <v>0</v>
      </c>
      <c r="CM322" s="50">
        <v>0</v>
      </c>
      <c r="CN322" s="51">
        <v>0</v>
      </c>
      <c r="CO322" s="51">
        <v>0</v>
      </c>
      <c r="CP322" s="51">
        <v>80</v>
      </c>
      <c r="CQ322" s="51">
        <v>0</v>
      </c>
      <c r="CR322" s="51">
        <v>0</v>
      </c>
      <c r="CS322" s="51">
        <v>0</v>
      </c>
      <c r="CT322" s="51">
        <v>0</v>
      </c>
      <c r="CU322" s="51">
        <v>0</v>
      </c>
      <c r="CV322" s="51">
        <v>0</v>
      </c>
      <c r="CW322" s="51">
        <v>0</v>
      </c>
      <c r="CX322" s="51">
        <v>0</v>
      </c>
      <c r="CY322" s="51">
        <v>28</v>
      </c>
      <c r="CZ322" s="51">
        <v>0</v>
      </c>
      <c r="DA322" s="51">
        <v>0</v>
      </c>
      <c r="DB322" s="51">
        <v>137</v>
      </c>
      <c r="DC322" s="51">
        <v>0</v>
      </c>
      <c r="DD322" s="51">
        <v>40</v>
      </c>
      <c r="DE322" s="51">
        <v>0</v>
      </c>
      <c r="DF322" s="52">
        <v>0</v>
      </c>
      <c r="DG322" s="52">
        <v>0</v>
      </c>
      <c r="DH322" s="52">
        <v>0</v>
      </c>
      <c r="DI322" s="52">
        <v>0</v>
      </c>
      <c r="DJ322" s="52">
        <v>0</v>
      </c>
      <c r="DK322" s="52">
        <v>0</v>
      </c>
      <c r="DL322" s="52">
        <v>0</v>
      </c>
      <c r="DM322" s="52">
        <v>0</v>
      </c>
      <c r="DN322" s="52">
        <v>0</v>
      </c>
      <c r="DO322" s="52">
        <v>0</v>
      </c>
      <c r="DP322" s="52">
        <v>0</v>
      </c>
      <c r="DQ322" s="52">
        <v>45</v>
      </c>
      <c r="DR322" s="52">
        <v>0</v>
      </c>
      <c r="DS322" s="53">
        <v>0</v>
      </c>
      <c r="DT322" s="53">
        <v>0</v>
      </c>
      <c r="DU322" s="53">
        <v>0</v>
      </c>
      <c r="DV322" s="53">
        <v>0</v>
      </c>
      <c r="DW322" s="53">
        <v>0</v>
      </c>
      <c r="DX322" s="2"/>
      <c r="DY322" s="2"/>
      <c r="DZ322" s="46">
        <f t="shared" si="69"/>
        <v>0</v>
      </c>
      <c r="EA322" s="46">
        <f t="shared" si="70"/>
        <v>0</v>
      </c>
      <c r="EB322" s="46">
        <f t="shared" si="71"/>
        <v>0</v>
      </c>
      <c r="EC322" s="46">
        <f t="shared" si="72"/>
        <v>0</v>
      </c>
      <c r="ED322" s="46">
        <f t="shared" si="73"/>
        <v>19367</v>
      </c>
      <c r="EE322" s="46">
        <f t="shared" si="74"/>
        <v>16796</v>
      </c>
      <c r="EF322" s="46">
        <f t="shared" si="75"/>
        <v>353</v>
      </c>
      <c r="EG322" s="46">
        <f t="shared" si="76"/>
        <v>108</v>
      </c>
      <c r="EH322" s="46">
        <f t="shared" si="79"/>
        <v>177</v>
      </c>
      <c r="EI322" s="46">
        <f t="shared" si="78"/>
        <v>0</v>
      </c>
    </row>
    <row r="323" spans="3:139">
      <c r="C323" s="36" t="s">
        <v>515</v>
      </c>
      <c r="D323" s="36" t="s">
        <v>512</v>
      </c>
      <c r="E323" s="36" t="s">
        <v>516</v>
      </c>
      <c r="F323" s="38">
        <f t="shared" si="77"/>
        <v>166662</v>
      </c>
      <c r="G323" s="37" t="s">
        <v>514</v>
      </c>
      <c r="H323" s="47"/>
      <c r="I323" s="48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8"/>
      <c r="U323" s="48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8"/>
      <c r="AG323" s="48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>
        <v>3480</v>
      </c>
      <c r="BJ323" s="49">
        <v>7450</v>
      </c>
      <c r="BK323" s="49">
        <v>12190</v>
      </c>
      <c r="BL323" s="49">
        <v>19100</v>
      </c>
      <c r="BM323" s="49">
        <v>17570</v>
      </c>
      <c r="BN323" s="49">
        <v>11977</v>
      </c>
      <c r="BO323" s="49">
        <v>15228</v>
      </c>
      <c r="BP323" s="50">
        <v>14027</v>
      </c>
      <c r="BQ323" s="50">
        <v>9170</v>
      </c>
      <c r="BR323" s="50">
        <v>5721</v>
      </c>
      <c r="BS323" s="50">
        <v>15299</v>
      </c>
      <c r="BT323" s="50">
        <v>5400</v>
      </c>
      <c r="BU323" s="50">
        <v>15260</v>
      </c>
      <c r="BV323" s="50">
        <v>5140</v>
      </c>
      <c r="BW323" s="50">
        <v>126</v>
      </c>
      <c r="BX323" s="50"/>
      <c r="BY323" s="50"/>
      <c r="BZ323" s="50">
        <v>0</v>
      </c>
      <c r="CA323" s="50">
        <v>4400</v>
      </c>
      <c r="CB323" s="50">
        <v>0</v>
      </c>
      <c r="CC323" s="50">
        <v>2680</v>
      </c>
      <c r="CD323" s="50">
        <v>195</v>
      </c>
      <c r="CE323" s="50">
        <v>200</v>
      </c>
      <c r="CF323" s="50">
        <v>0</v>
      </c>
      <c r="CG323" s="50"/>
      <c r="CH323" s="50">
        <v>0</v>
      </c>
      <c r="CI323" s="50">
        <v>0</v>
      </c>
      <c r="CJ323" s="50">
        <v>3</v>
      </c>
      <c r="CK323" s="50">
        <v>0</v>
      </c>
      <c r="CL323" s="50">
        <v>0</v>
      </c>
      <c r="CM323" s="50">
        <v>117</v>
      </c>
      <c r="CN323" s="51">
        <v>1</v>
      </c>
      <c r="CO323" s="51">
        <v>0</v>
      </c>
      <c r="CP323" s="51">
        <v>149</v>
      </c>
      <c r="CQ323" s="51">
        <v>100</v>
      </c>
      <c r="CR323" s="51">
        <v>149</v>
      </c>
      <c r="CS323" s="51">
        <v>0</v>
      </c>
      <c r="CT323" s="51">
        <v>0</v>
      </c>
      <c r="CU323" s="51">
        <v>129</v>
      </c>
      <c r="CV323" s="51">
        <v>0</v>
      </c>
      <c r="CW323" s="51">
        <v>0</v>
      </c>
      <c r="CX323" s="51">
        <v>0</v>
      </c>
      <c r="CY323" s="51">
        <v>0</v>
      </c>
      <c r="CZ323" s="51">
        <v>230</v>
      </c>
      <c r="DA323" s="51">
        <v>0</v>
      </c>
      <c r="DB323" s="51">
        <v>55</v>
      </c>
      <c r="DC323" s="51">
        <v>0</v>
      </c>
      <c r="DD323" s="51">
        <v>3</v>
      </c>
      <c r="DE323" s="51">
        <v>148</v>
      </c>
      <c r="DF323" s="52">
        <v>118</v>
      </c>
      <c r="DG323" s="52">
        <v>65</v>
      </c>
      <c r="DH323" s="52">
        <v>0</v>
      </c>
      <c r="DI323" s="52">
        <v>0</v>
      </c>
      <c r="DJ323" s="52">
        <v>80</v>
      </c>
      <c r="DK323" s="52">
        <v>197</v>
      </c>
      <c r="DL323" s="52">
        <v>0</v>
      </c>
      <c r="DM323" s="52">
        <v>154</v>
      </c>
      <c r="DN323" s="52">
        <v>147</v>
      </c>
      <c r="DO323" s="52">
        <v>8</v>
      </c>
      <c r="DP323" s="52">
        <v>0</v>
      </c>
      <c r="DQ323" s="52">
        <v>196</v>
      </c>
      <c r="DR323" s="52">
        <v>504</v>
      </c>
      <c r="DS323" s="53">
        <v>0</v>
      </c>
      <c r="DT323" s="53">
        <v>0</v>
      </c>
      <c r="DU323" s="53">
        <v>0</v>
      </c>
      <c r="DV323" s="53">
        <v>0</v>
      </c>
      <c r="DW323" s="53">
        <v>0</v>
      </c>
      <c r="DX323" s="2"/>
      <c r="DY323" s="2"/>
      <c r="DZ323" s="46">
        <f t="shared" si="69"/>
        <v>0</v>
      </c>
      <c r="EA323" s="46">
        <f t="shared" si="70"/>
        <v>0</v>
      </c>
      <c r="EB323" s="46">
        <f t="shared" si="71"/>
        <v>0</v>
      </c>
      <c r="EC323" s="46">
        <f t="shared" si="72"/>
        <v>0</v>
      </c>
      <c r="ED323" s="46">
        <f t="shared" si="73"/>
        <v>86995</v>
      </c>
      <c r="EE323" s="46">
        <f t="shared" si="74"/>
        <v>74543</v>
      </c>
      <c r="EF323" s="46">
        <f t="shared" si="75"/>
        <v>3195</v>
      </c>
      <c r="EG323" s="46">
        <f t="shared" si="76"/>
        <v>528</v>
      </c>
      <c r="EH323" s="46">
        <f t="shared" si="79"/>
        <v>699</v>
      </c>
      <c r="EI323" s="46">
        <f t="shared" si="78"/>
        <v>309</v>
      </c>
    </row>
    <row r="324" spans="3:139">
      <c r="C324" s="36" t="s">
        <v>517</v>
      </c>
      <c r="D324" s="36" t="s">
        <v>512</v>
      </c>
      <c r="E324" s="36" t="s">
        <v>513</v>
      </c>
      <c r="F324" s="38">
        <f t="shared" si="77"/>
        <v>108687</v>
      </c>
      <c r="G324" s="37" t="s">
        <v>514</v>
      </c>
      <c r="H324" s="47"/>
      <c r="I324" s="48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8"/>
      <c r="U324" s="48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8"/>
      <c r="AG324" s="48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>
        <v>100</v>
      </c>
      <c r="BJ324" s="49">
        <v>3450</v>
      </c>
      <c r="BK324" s="49">
        <v>2200</v>
      </c>
      <c r="BL324" s="49">
        <v>8910</v>
      </c>
      <c r="BM324" s="49">
        <v>5600</v>
      </c>
      <c r="BN324" s="49">
        <v>8800</v>
      </c>
      <c r="BO324" s="49">
        <v>7540</v>
      </c>
      <c r="BP324" s="50">
        <v>9744</v>
      </c>
      <c r="BQ324" s="50">
        <v>10598</v>
      </c>
      <c r="BR324" s="50">
        <v>12901</v>
      </c>
      <c r="BS324" s="50">
        <v>4345</v>
      </c>
      <c r="BT324" s="50">
        <v>12070</v>
      </c>
      <c r="BU324" s="50">
        <v>3410</v>
      </c>
      <c r="BV324" s="50">
        <v>3540</v>
      </c>
      <c r="BW324" s="50">
        <v>0</v>
      </c>
      <c r="BX324" s="50"/>
      <c r="BY324" s="50">
        <v>1180</v>
      </c>
      <c r="BZ324" s="50">
        <v>3660</v>
      </c>
      <c r="CA324" s="50">
        <v>7230</v>
      </c>
      <c r="CB324" s="50">
        <v>60</v>
      </c>
      <c r="CC324" s="50">
        <v>1340</v>
      </c>
      <c r="CD324" s="50">
        <v>160</v>
      </c>
      <c r="CE324" s="50">
        <v>185</v>
      </c>
      <c r="CF324" s="50">
        <v>0</v>
      </c>
      <c r="CG324" s="50">
        <v>119</v>
      </c>
      <c r="CH324" s="50">
        <v>-2</v>
      </c>
      <c r="CI324" s="50">
        <v>99</v>
      </c>
      <c r="CJ324" s="50">
        <v>1</v>
      </c>
      <c r="CK324" s="50">
        <v>0</v>
      </c>
      <c r="CL324" s="50">
        <v>100</v>
      </c>
      <c r="CM324" s="50">
        <v>37</v>
      </c>
      <c r="CN324" s="51">
        <v>102</v>
      </c>
      <c r="CO324" s="51">
        <v>0</v>
      </c>
      <c r="CP324" s="51">
        <v>79</v>
      </c>
      <c r="CQ324" s="51">
        <v>0</v>
      </c>
      <c r="CR324" s="51">
        <v>147</v>
      </c>
      <c r="CS324" s="51">
        <v>0</v>
      </c>
      <c r="CT324" s="51">
        <v>0</v>
      </c>
      <c r="CU324" s="51">
        <v>0</v>
      </c>
      <c r="CV324" s="51">
        <v>0</v>
      </c>
      <c r="CW324" s="51">
        <v>0</v>
      </c>
      <c r="CX324" s="51">
        <v>0</v>
      </c>
      <c r="CY324" s="51">
        <v>127</v>
      </c>
      <c r="CZ324" s="51">
        <v>0</v>
      </c>
      <c r="DA324" s="51">
        <v>0</v>
      </c>
      <c r="DB324" s="51">
        <v>218</v>
      </c>
      <c r="DC324" s="51">
        <v>0</v>
      </c>
      <c r="DD324" s="51">
        <v>124</v>
      </c>
      <c r="DE324" s="51">
        <v>173</v>
      </c>
      <c r="DF324" s="52">
        <v>66</v>
      </c>
      <c r="DG324" s="52">
        <v>0</v>
      </c>
      <c r="DH324" s="52">
        <v>0</v>
      </c>
      <c r="DI324" s="52">
        <v>0</v>
      </c>
      <c r="DJ324" s="52">
        <v>0</v>
      </c>
      <c r="DK324" s="52">
        <v>0</v>
      </c>
      <c r="DL324" s="52">
        <v>0</v>
      </c>
      <c r="DM324" s="52">
        <v>0</v>
      </c>
      <c r="DN324" s="52">
        <v>137</v>
      </c>
      <c r="DO324" s="52">
        <v>0</v>
      </c>
      <c r="DP324" s="52">
        <v>0</v>
      </c>
      <c r="DQ324" s="52">
        <v>137</v>
      </c>
      <c r="DR324" s="52">
        <v>33</v>
      </c>
      <c r="DS324" s="53">
        <v>0</v>
      </c>
      <c r="DT324" s="53">
        <v>0</v>
      </c>
      <c r="DU324" s="53">
        <v>0</v>
      </c>
      <c r="DV324" s="53">
        <v>0</v>
      </c>
      <c r="DW324" s="53">
        <v>0</v>
      </c>
      <c r="DX324" s="2"/>
      <c r="DY324" s="2"/>
      <c r="DZ324" s="46">
        <f t="shared" si="69"/>
        <v>0</v>
      </c>
      <c r="EA324" s="46">
        <f t="shared" si="70"/>
        <v>0</v>
      </c>
      <c r="EB324" s="46">
        <f t="shared" si="71"/>
        <v>0</v>
      </c>
      <c r="EC324" s="46">
        <f t="shared" si="72"/>
        <v>0</v>
      </c>
      <c r="ED324" s="46">
        <f t="shared" si="73"/>
        <v>36600</v>
      </c>
      <c r="EE324" s="46">
        <f t="shared" si="74"/>
        <v>68678</v>
      </c>
      <c r="EF324" s="46">
        <f t="shared" si="75"/>
        <v>2099</v>
      </c>
      <c r="EG324" s="46">
        <f t="shared" si="76"/>
        <v>455</v>
      </c>
      <c r="EH324" s="46">
        <f t="shared" si="79"/>
        <v>581</v>
      </c>
      <c r="EI324" s="46">
        <f t="shared" si="78"/>
        <v>137</v>
      </c>
    </row>
    <row r="325" spans="3:139">
      <c r="C325" s="36" t="s">
        <v>518</v>
      </c>
      <c r="D325" s="36" t="s">
        <v>512</v>
      </c>
      <c r="E325" s="36" t="s">
        <v>513</v>
      </c>
      <c r="F325" s="38">
        <f t="shared" si="77"/>
        <v>9161</v>
      </c>
      <c r="G325" s="37" t="s">
        <v>514</v>
      </c>
      <c r="H325" s="47"/>
      <c r="I325" s="48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8"/>
      <c r="U325" s="48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8"/>
      <c r="AG325" s="48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>
        <v>30</v>
      </c>
      <c r="BK325" s="49">
        <v>300</v>
      </c>
      <c r="BL325" s="49">
        <v>0</v>
      </c>
      <c r="BM325" s="49">
        <v>400</v>
      </c>
      <c r="BN325" s="49">
        <v>0</v>
      </c>
      <c r="BO325" s="49">
        <v>1190</v>
      </c>
      <c r="BP325" s="50">
        <v>0</v>
      </c>
      <c r="BQ325" s="50">
        <v>2120</v>
      </c>
      <c r="BR325" s="50">
        <v>1161</v>
      </c>
      <c r="BS325" s="50">
        <v>1340</v>
      </c>
      <c r="BT325" s="50">
        <v>300</v>
      </c>
      <c r="BU325" s="50">
        <v>0</v>
      </c>
      <c r="BV325" s="50">
        <v>1160</v>
      </c>
      <c r="BW325" s="50">
        <v>1036</v>
      </c>
      <c r="BX325" s="50"/>
      <c r="BY325" s="50"/>
      <c r="BZ325" s="50"/>
      <c r="CA325" s="50">
        <v>9</v>
      </c>
      <c r="CB325" s="50">
        <v>0</v>
      </c>
      <c r="CC325" s="50">
        <v>0</v>
      </c>
      <c r="CD325" s="50">
        <v>0</v>
      </c>
      <c r="CE325" s="50">
        <v>10</v>
      </c>
      <c r="CF325" s="50">
        <v>0</v>
      </c>
      <c r="CG325" s="50">
        <v>15</v>
      </c>
      <c r="CH325" s="50">
        <v>0</v>
      </c>
      <c r="CI325" s="50">
        <v>30</v>
      </c>
      <c r="CJ325" s="50">
        <v>0</v>
      </c>
      <c r="CK325" s="50">
        <v>0</v>
      </c>
      <c r="CL325" s="50">
        <v>20</v>
      </c>
      <c r="CM325" s="50">
        <v>0</v>
      </c>
      <c r="CN325" s="51">
        <v>0</v>
      </c>
      <c r="CO325" s="51">
        <v>0</v>
      </c>
      <c r="CP325" s="51">
        <v>0</v>
      </c>
      <c r="CQ325" s="51">
        <v>0</v>
      </c>
      <c r="CR325" s="51">
        <v>40</v>
      </c>
      <c r="CS325" s="51">
        <v>0</v>
      </c>
      <c r="CT325" s="51">
        <v>0</v>
      </c>
      <c r="CU325" s="51">
        <v>0</v>
      </c>
      <c r="CV325" s="51">
        <v>0</v>
      </c>
      <c r="CW325" s="51">
        <v>0</v>
      </c>
      <c r="CX325" s="51">
        <v>0</v>
      </c>
      <c r="CY325" s="51">
        <v>0</v>
      </c>
      <c r="CZ325" s="51">
        <v>0</v>
      </c>
      <c r="DA325" s="51">
        <v>0</v>
      </c>
      <c r="DB325" s="51">
        <v>0</v>
      </c>
      <c r="DC325" s="51">
        <v>0</v>
      </c>
      <c r="DD325" s="51">
        <v>0</v>
      </c>
      <c r="DE325" s="51">
        <v>0</v>
      </c>
      <c r="DF325" s="52">
        <v>0</v>
      </c>
      <c r="DG325" s="52">
        <v>0</v>
      </c>
      <c r="DH325" s="52">
        <v>0</v>
      </c>
      <c r="DI325" s="52">
        <v>0</v>
      </c>
      <c r="DJ325" s="52">
        <v>0</v>
      </c>
      <c r="DK325" s="52">
        <v>0</v>
      </c>
      <c r="DL325" s="52">
        <v>0</v>
      </c>
      <c r="DM325" s="52">
        <v>0</v>
      </c>
      <c r="DN325" s="52">
        <v>0</v>
      </c>
      <c r="DO325" s="52">
        <v>0</v>
      </c>
      <c r="DP325" s="52">
        <v>0</v>
      </c>
      <c r="DQ325" s="52">
        <v>0</v>
      </c>
      <c r="DR325" s="52">
        <v>0</v>
      </c>
      <c r="DS325" s="53">
        <v>0</v>
      </c>
      <c r="DT325" s="53">
        <v>0</v>
      </c>
      <c r="DU325" s="53">
        <v>0</v>
      </c>
      <c r="DV325" s="53">
        <v>0</v>
      </c>
      <c r="DW325" s="53">
        <v>0</v>
      </c>
      <c r="DX325" s="2"/>
      <c r="DY325" s="2"/>
      <c r="DZ325" s="46">
        <f t="shared" si="69"/>
        <v>0</v>
      </c>
      <c r="EA325" s="46">
        <f t="shared" si="70"/>
        <v>0</v>
      </c>
      <c r="EB325" s="46">
        <f t="shared" si="71"/>
        <v>0</v>
      </c>
      <c r="EC325" s="46">
        <f t="shared" si="72"/>
        <v>0</v>
      </c>
      <c r="ED325" s="46">
        <f t="shared" si="73"/>
        <v>1920</v>
      </c>
      <c r="EE325" s="46">
        <f t="shared" si="74"/>
        <v>7126</v>
      </c>
      <c r="EF325" s="46">
        <f t="shared" si="75"/>
        <v>75</v>
      </c>
      <c r="EG325" s="46">
        <f t="shared" si="76"/>
        <v>40</v>
      </c>
      <c r="EH325" s="46">
        <f t="shared" si="79"/>
        <v>0</v>
      </c>
      <c r="EI325" s="46">
        <f t="shared" si="78"/>
        <v>0</v>
      </c>
    </row>
    <row r="326" spans="3:139">
      <c r="C326" s="36" t="s">
        <v>519</v>
      </c>
      <c r="D326" s="36" t="s">
        <v>512</v>
      </c>
      <c r="E326" s="36" t="s">
        <v>513</v>
      </c>
      <c r="F326" s="38">
        <f t="shared" si="77"/>
        <v>9485</v>
      </c>
      <c r="G326" s="37" t="s">
        <v>514</v>
      </c>
      <c r="H326" s="47"/>
      <c r="I326" s="48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8"/>
      <c r="U326" s="48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8"/>
      <c r="AG326" s="48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>
        <v>100</v>
      </c>
      <c r="BL326" s="49">
        <v>710</v>
      </c>
      <c r="BM326" s="49">
        <v>300</v>
      </c>
      <c r="BN326" s="49">
        <v>970</v>
      </c>
      <c r="BO326" s="49">
        <v>1370</v>
      </c>
      <c r="BP326" s="50">
        <v>899</v>
      </c>
      <c r="BQ326" s="50">
        <v>800</v>
      </c>
      <c r="BR326" s="50">
        <v>301</v>
      </c>
      <c r="BS326" s="50">
        <v>459</v>
      </c>
      <c r="BT326" s="50">
        <v>1180</v>
      </c>
      <c r="BU326" s="50">
        <v>1500</v>
      </c>
      <c r="BV326" s="50">
        <v>520</v>
      </c>
      <c r="BW326" s="50">
        <v>58</v>
      </c>
      <c r="BX326" s="50"/>
      <c r="BY326" s="50"/>
      <c r="BZ326" s="50"/>
      <c r="CA326" s="50">
        <v>0</v>
      </c>
      <c r="CB326" s="50">
        <v>0</v>
      </c>
      <c r="CC326" s="50">
        <v>0</v>
      </c>
      <c r="CD326" s="50">
        <v>0</v>
      </c>
      <c r="CE326" s="50">
        <v>0</v>
      </c>
      <c r="CF326" s="50">
        <v>0</v>
      </c>
      <c r="CG326" s="50">
        <v>17</v>
      </c>
      <c r="CH326" s="50">
        <v>0</v>
      </c>
      <c r="CI326" s="50">
        <v>30</v>
      </c>
      <c r="CJ326" s="50">
        <v>0</v>
      </c>
      <c r="CK326" s="50">
        <v>0</v>
      </c>
      <c r="CL326" s="50">
        <v>0</v>
      </c>
      <c r="CM326" s="50">
        <v>0</v>
      </c>
      <c r="CN326" s="51">
        <v>14</v>
      </c>
      <c r="CO326" s="51">
        <v>0</v>
      </c>
      <c r="CP326" s="51">
        <v>0</v>
      </c>
      <c r="CQ326" s="51">
        <v>0</v>
      </c>
      <c r="CR326" s="51">
        <v>0</v>
      </c>
      <c r="CS326" s="51">
        <v>0</v>
      </c>
      <c r="CT326" s="51">
        <v>30</v>
      </c>
      <c r="CU326" s="51">
        <v>0</v>
      </c>
      <c r="CV326" s="51">
        <v>0</v>
      </c>
      <c r="CW326" s="51">
        <v>0</v>
      </c>
      <c r="CX326" s="51">
        <v>15</v>
      </c>
      <c r="CY326" s="51">
        <v>0</v>
      </c>
      <c r="CZ326" s="51">
        <v>0</v>
      </c>
      <c r="DA326" s="51">
        <v>19</v>
      </c>
      <c r="DB326" s="51">
        <v>0</v>
      </c>
      <c r="DC326" s="51">
        <v>0</v>
      </c>
      <c r="DD326" s="51">
        <v>29</v>
      </c>
      <c r="DE326" s="51">
        <v>0</v>
      </c>
      <c r="DF326" s="52">
        <v>0</v>
      </c>
      <c r="DG326" s="52">
        <v>0</v>
      </c>
      <c r="DH326" s="52">
        <v>0</v>
      </c>
      <c r="DI326" s="52">
        <v>0</v>
      </c>
      <c r="DJ326" s="52">
        <v>0</v>
      </c>
      <c r="DK326" s="52">
        <v>0</v>
      </c>
      <c r="DL326" s="52">
        <v>0</v>
      </c>
      <c r="DM326" s="52">
        <v>0</v>
      </c>
      <c r="DN326" s="52">
        <v>98</v>
      </c>
      <c r="DO326" s="52">
        <v>60</v>
      </c>
      <c r="DP326" s="52">
        <v>0</v>
      </c>
      <c r="DQ326" s="52">
        <v>6</v>
      </c>
      <c r="DR326" s="52">
        <v>0</v>
      </c>
      <c r="DS326" s="53">
        <v>0</v>
      </c>
      <c r="DT326" s="53">
        <v>0</v>
      </c>
      <c r="DU326" s="53">
        <v>0</v>
      </c>
      <c r="DV326" s="53">
        <v>0</v>
      </c>
      <c r="DW326" s="53">
        <v>0</v>
      </c>
      <c r="DX326" s="2"/>
      <c r="DY326" s="2"/>
      <c r="DZ326" s="46">
        <f t="shared" si="69"/>
        <v>0</v>
      </c>
      <c r="EA326" s="46">
        <f t="shared" si="70"/>
        <v>0</v>
      </c>
      <c r="EB326" s="46">
        <f t="shared" si="71"/>
        <v>0</v>
      </c>
      <c r="EC326" s="46">
        <f t="shared" si="72"/>
        <v>0</v>
      </c>
      <c r="ED326" s="46">
        <f t="shared" si="73"/>
        <v>3450</v>
      </c>
      <c r="EE326" s="46">
        <f t="shared" si="74"/>
        <v>5717</v>
      </c>
      <c r="EF326" s="46">
        <f t="shared" si="75"/>
        <v>47</v>
      </c>
      <c r="EG326" s="46">
        <f t="shared" si="76"/>
        <v>59</v>
      </c>
      <c r="EH326" s="46">
        <f t="shared" si="79"/>
        <v>48</v>
      </c>
      <c r="EI326" s="46">
        <f t="shared" si="78"/>
        <v>158</v>
      </c>
    </row>
    <row r="327" spans="3:139">
      <c r="C327" s="36" t="s">
        <v>520</v>
      </c>
      <c r="D327" s="36" t="s">
        <v>512</v>
      </c>
      <c r="E327" s="36" t="s">
        <v>516</v>
      </c>
      <c r="F327" s="38">
        <f t="shared" si="77"/>
        <v>2062</v>
      </c>
      <c r="G327" s="37" t="s">
        <v>514</v>
      </c>
      <c r="H327" s="47"/>
      <c r="I327" s="48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8"/>
      <c r="U327" s="48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8"/>
      <c r="AG327" s="48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>
        <v>100</v>
      </c>
      <c r="BL327" s="49">
        <v>510</v>
      </c>
      <c r="BM327" s="49"/>
      <c r="BN327" s="49">
        <v>260</v>
      </c>
      <c r="BO327" s="49">
        <v>260</v>
      </c>
      <c r="BP327" s="50">
        <v>0</v>
      </c>
      <c r="BQ327" s="50">
        <v>200</v>
      </c>
      <c r="BR327" s="50">
        <v>201</v>
      </c>
      <c r="BS327" s="50">
        <v>0</v>
      </c>
      <c r="BT327" s="50">
        <v>0</v>
      </c>
      <c r="BU327" s="50">
        <v>220</v>
      </c>
      <c r="BV327" s="50">
        <v>120</v>
      </c>
      <c r="BW327" s="50">
        <v>95</v>
      </c>
      <c r="BX327" s="50"/>
      <c r="BY327" s="50"/>
      <c r="BZ327" s="50"/>
      <c r="CA327" s="50">
        <v>0</v>
      </c>
      <c r="CB327" s="50">
        <v>0</v>
      </c>
      <c r="CC327" s="50">
        <v>0</v>
      </c>
      <c r="CD327" s="50">
        <v>9</v>
      </c>
      <c r="CE327" s="50">
        <v>0</v>
      </c>
      <c r="CF327" s="50">
        <v>0</v>
      </c>
      <c r="CG327" s="50"/>
      <c r="CH327" s="50">
        <v>0</v>
      </c>
      <c r="CI327" s="50">
        <v>0</v>
      </c>
      <c r="CJ327" s="50">
        <v>0</v>
      </c>
      <c r="CK327" s="50">
        <v>0</v>
      </c>
      <c r="CL327" s="50">
        <v>4</v>
      </c>
      <c r="CM327" s="50">
        <v>0</v>
      </c>
      <c r="CN327" s="51">
        <v>0</v>
      </c>
      <c r="CO327" s="51">
        <v>0</v>
      </c>
      <c r="CP327" s="51">
        <v>0</v>
      </c>
      <c r="CQ327" s="51">
        <v>20</v>
      </c>
      <c r="CR327" s="51">
        <v>0</v>
      </c>
      <c r="CS327" s="51">
        <v>0</v>
      </c>
      <c r="CT327" s="51">
        <v>0</v>
      </c>
      <c r="CU327" s="51">
        <v>0</v>
      </c>
      <c r="CV327" s="51">
        <v>0</v>
      </c>
      <c r="CW327" s="51">
        <v>0</v>
      </c>
      <c r="CX327" s="51">
        <v>0</v>
      </c>
      <c r="CY327" s="51">
        <v>0</v>
      </c>
      <c r="CZ327" s="51">
        <v>0</v>
      </c>
      <c r="DA327" s="51">
        <v>0</v>
      </c>
      <c r="DB327" s="51">
        <v>0</v>
      </c>
      <c r="DC327" s="51">
        <v>0</v>
      </c>
      <c r="DD327" s="51">
        <v>0</v>
      </c>
      <c r="DE327" s="51">
        <v>0</v>
      </c>
      <c r="DF327" s="52">
        <v>0</v>
      </c>
      <c r="DG327" s="52">
        <v>14</v>
      </c>
      <c r="DH327" s="52">
        <v>0</v>
      </c>
      <c r="DI327" s="52">
        <v>0</v>
      </c>
      <c r="DJ327" s="52">
        <v>0</v>
      </c>
      <c r="DK327" s="52">
        <v>0</v>
      </c>
      <c r="DL327" s="52">
        <v>0</v>
      </c>
      <c r="DM327" s="52">
        <v>0</v>
      </c>
      <c r="DN327" s="52">
        <v>0</v>
      </c>
      <c r="DO327" s="52">
        <v>49</v>
      </c>
      <c r="DP327" s="52">
        <v>0</v>
      </c>
      <c r="DQ327" s="52">
        <v>0</v>
      </c>
      <c r="DR327" s="52">
        <v>0</v>
      </c>
      <c r="DS327" s="53">
        <v>0</v>
      </c>
      <c r="DT327" s="53">
        <v>0</v>
      </c>
      <c r="DU327" s="53">
        <v>0</v>
      </c>
      <c r="DV327" s="53">
        <v>0</v>
      </c>
      <c r="DW327" s="53">
        <v>0</v>
      </c>
      <c r="DX327" s="2"/>
      <c r="DY327" s="2"/>
      <c r="DZ327" s="46">
        <f t="shared" si="69"/>
        <v>0</v>
      </c>
      <c r="EA327" s="46">
        <f t="shared" si="70"/>
        <v>0</v>
      </c>
      <c r="EB327" s="46">
        <f t="shared" si="71"/>
        <v>0</v>
      </c>
      <c r="EC327" s="46">
        <f t="shared" si="72"/>
        <v>0</v>
      </c>
      <c r="ED327" s="46">
        <f t="shared" si="73"/>
        <v>1130</v>
      </c>
      <c r="EE327" s="46">
        <f t="shared" si="74"/>
        <v>836</v>
      </c>
      <c r="EF327" s="46">
        <f t="shared" si="75"/>
        <v>13</v>
      </c>
      <c r="EG327" s="46">
        <f t="shared" si="76"/>
        <v>20</v>
      </c>
      <c r="EH327" s="46">
        <f t="shared" si="79"/>
        <v>14</v>
      </c>
      <c r="EI327" s="46">
        <f t="shared" si="78"/>
        <v>49</v>
      </c>
    </row>
    <row r="328" spans="3:139">
      <c r="C328" s="36" t="s">
        <v>521</v>
      </c>
      <c r="D328" s="36" t="s">
        <v>512</v>
      </c>
      <c r="E328" s="36" t="s">
        <v>516</v>
      </c>
      <c r="F328" s="38">
        <f t="shared" si="77"/>
        <v>4656</v>
      </c>
      <c r="G328" s="37" t="s">
        <v>514</v>
      </c>
      <c r="H328" s="47"/>
      <c r="I328" s="48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8"/>
      <c r="U328" s="48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8"/>
      <c r="AG328" s="48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>
        <v>1140</v>
      </c>
      <c r="BN328" s="49">
        <v>490</v>
      </c>
      <c r="BO328" s="49">
        <v>10</v>
      </c>
      <c r="BP328" s="50">
        <v>0</v>
      </c>
      <c r="BQ328" s="50">
        <v>900</v>
      </c>
      <c r="BR328" s="50">
        <v>461</v>
      </c>
      <c r="BS328" s="50">
        <v>0</v>
      </c>
      <c r="BT328" s="50">
        <v>200</v>
      </c>
      <c r="BU328" s="50">
        <v>600</v>
      </c>
      <c r="BV328" s="50"/>
      <c r="BW328" s="50">
        <v>768</v>
      </c>
      <c r="BX328" s="50"/>
      <c r="BY328" s="50"/>
      <c r="BZ328" s="50"/>
      <c r="CA328" s="50">
        <v>0</v>
      </c>
      <c r="CB328" s="50">
        <v>0</v>
      </c>
      <c r="CC328" s="50">
        <v>0</v>
      </c>
      <c r="CD328" s="50">
        <v>0</v>
      </c>
      <c r="CE328" s="50">
        <v>0</v>
      </c>
      <c r="CF328" s="50">
        <v>0</v>
      </c>
      <c r="CG328" s="50">
        <v>10</v>
      </c>
      <c r="CH328" s="50">
        <v>0</v>
      </c>
      <c r="CI328" s="50">
        <v>0</v>
      </c>
      <c r="CJ328" s="50">
        <v>0</v>
      </c>
      <c r="CK328" s="50">
        <v>0</v>
      </c>
      <c r="CL328" s="50">
        <v>0</v>
      </c>
      <c r="CM328" s="50">
        <v>0</v>
      </c>
      <c r="CN328" s="51">
        <v>0</v>
      </c>
      <c r="CO328" s="51">
        <v>0</v>
      </c>
      <c r="CP328" s="51">
        <v>30</v>
      </c>
      <c r="CQ328" s="51">
        <v>0</v>
      </c>
      <c r="CR328" s="51">
        <v>0</v>
      </c>
      <c r="CS328" s="51">
        <v>0</v>
      </c>
      <c r="CT328" s="51">
        <v>0</v>
      </c>
      <c r="CU328" s="51">
        <v>0</v>
      </c>
      <c r="CV328" s="51">
        <v>0</v>
      </c>
      <c r="CW328" s="51">
        <v>0</v>
      </c>
      <c r="CX328" s="51">
        <v>0</v>
      </c>
      <c r="CY328" s="51">
        <v>0</v>
      </c>
      <c r="CZ328" s="51">
        <v>0</v>
      </c>
      <c r="DA328" s="51">
        <v>0</v>
      </c>
      <c r="DB328" s="51">
        <v>0</v>
      </c>
      <c r="DC328" s="51">
        <v>0</v>
      </c>
      <c r="DD328" s="51">
        <v>0</v>
      </c>
      <c r="DE328" s="51">
        <v>0</v>
      </c>
      <c r="DF328" s="52">
        <v>0</v>
      </c>
      <c r="DG328" s="52">
        <v>0</v>
      </c>
      <c r="DH328" s="52">
        <v>0</v>
      </c>
      <c r="DI328" s="52">
        <v>0</v>
      </c>
      <c r="DJ328" s="52">
        <v>0</v>
      </c>
      <c r="DK328" s="52">
        <v>0</v>
      </c>
      <c r="DL328" s="52">
        <v>0</v>
      </c>
      <c r="DM328" s="52">
        <v>0</v>
      </c>
      <c r="DN328" s="52">
        <v>46</v>
      </c>
      <c r="DO328" s="52">
        <v>0</v>
      </c>
      <c r="DP328" s="52">
        <v>0</v>
      </c>
      <c r="DQ328" s="52">
        <v>1</v>
      </c>
      <c r="DR328" s="52">
        <v>0</v>
      </c>
      <c r="DS328" s="53">
        <v>0</v>
      </c>
      <c r="DT328" s="53">
        <v>0</v>
      </c>
      <c r="DU328" s="53">
        <v>0</v>
      </c>
      <c r="DV328" s="53">
        <v>0</v>
      </c>
      <c r="DW328" s="53">
        <v>0</v>
      </c>
      <c r="DX328" s="2"/>
      <c r="DY328" s="2"/>
      <c r="DZ328" s="46">
        <f t="shared" ref="DZ328:DZ391" si="80">SUM(H328:S328)</f>
        <v>0</v>
      </c>
      <c r="EA328" s="46">
        <f t="shared" ref="EA328:EA391" si="81">SUM(T328:AE328)</f>
        <v>0</v>
      </c>
      <c r="EB328" s="46">
        <f t="shared" ref="EB328:EB391" si="82">SUM(AF328:AQ328)</f>
        <v>0</v>
      </c>
      <c r="EC328" s="46">
        <f t="shared" ref="EC328:EC391" si="83">SUM(AR328:BC328)</f>
        <v>0</v>
      </c>
      <c r="ED328" s="46">
        <f t="shared" ref="ED328:ED391" si="84">SUM(BD328:BO328)</f>
        <v>1640</v>
      </c>
      <c r="EE328" s="46">
        <f t="shared" ref="EE328:EE391" si="85">SUM(BP328:CA328)</f>
        <v>2929</v>
      </c>
      <c r="EF328" s="46">
        <f t="shared" ref="EF328:EF391" si="86">SUM(CB328:CM328)</f>
        <v>10</v>
      </c>
      <c r="EG328" s="46">
        <f t="shared" ref="EG328:EG391" si="87">SUM(CN328:CY328)</f>
        <v>30</v>
      </c>
      <c r="EH328" s="46">
        <f t="shared" si="79"/>
        <v>0</v>
      </c>
      <c r="EI328" s="46">
        <f t="shared" si="78"/>
        <v>46</v>
      </c>
    </row>
    <row r="329" spans="3:139">
      <c r="C329" s="36" t="s">
        <v>522</v>
      </c>
      <c r="D329" s="36" t="s">
        <v>512</v>
      </c>
      <c r="E329" s="36" t="s">
        <v>516</v>
      </c>
      <c r="F329" s="38">
        <f t="shared" si="77"/>
        <v>5808</v>
      </c>
      <c r="G329" s="37" t="s">
        <v>514</v>
      </c>
      <c r="H329" s="47"/>
      <c r="I329" s="48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8"/>
      <c r="U329" s="48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8"/>
      <c r="AG329" s="48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>
        <v>18</v>
      </c>
      <c r="BN329" s="49">
        <v>560</v>
      </c>
      <c r="BO329" s="49">
        <v>1360</v>
      </c>
      <c r="BP329" s="50">
        <v>959</v>
      </c>
      <c r="BQ329" s="50">
        <v>350</v>
      </c>
      <c r="BR329" s="50">
        <v>1501</v>
      </c>
      <c r="BS329" s="50">
        <v>0</v>
      </c>
      <c r="BT329" s="50">
        <v>0</v>
      </c>
      <c r="BU329" s="50">
        <v>240</v>
      </c>
      <c r="BV329" s="50">
        <v>400</v>
      </c>
      <c r="BW329" s="50">
        <v>391</v>
      </c>
      <c r="BX329" s="50"/>
      <c r="BY329" s="50"/>
      <c r="BZ329" s="50"/>
      <c r="CA329" s="50">
        <v>0</v>
      </c>
      <c r="CB329" s="50">
        <v>0</v>
      </c>
      <c r="CC329" s="50">
        <v>0</v>
      </c>
      <c r="CD329" s="50">
        <v>0</v>
      </c>
      <c r="CE329" s="50">
        <v>0</v>
      </c>
      <c r="CF329" s="50">
        <v>-60</v>
      </c>
      <c r="CG329" s="50"/>
      <c r="CH329" s="50">
        <v>0</v>
      </c>
      <c r="CI329" s="50">
        <v>-2</v>
      </c>
      <c r="CJ329" s="50">
        <v>2</v>
      </c>
      <c r="CK329" s="50">
        <v>0</v>
      </c>
      <c r="CL329" s="50">
        <v>0</v>
      </c>
      <c r="CM329" s="50">
        <v>0</v>
      </c>
      <c r="CN329" s="51">
        <v>0</v>
      </c>
      <c r="CO329" s="51">
        <v>0</v>
      </c>
      <c r="CP329" s="51">
        <v>0</v>
      </c>
      <c r="CQ329" s="51">
        <v>0</v>
      </c>
      <c r="CR329" s="51">
        <v>0</v>
      </c>
      <c r="CS329" s="51">
        <v>0</v>
      </c>
      <c r="CT329" s="51">
        <v>0</v>
      </c>
      <c r="CU329" s="51">
        <v>20</v>
      </c>
      <c r="CV329" s="51">
        <v>0</v>
      </c>
      <c r="CW329" s="51">
        <v>0</v>
      </c>
      <c r="CX329" s="51">
        <v>0</v>
      </c>
      <c r="CY329" s="51">
        <v>0</v>
      </c>
      <c r="CZ329" s="51">
        <v>0</v>
      </c>
      <c r="DA329" s="51">
        <v>0</v>
      </c>
      <c r="DB329" s="51">
        <v>14</v>
      </c>
      <c r="DC329" s="51">
        <v>0</v>
      </c>
      <c r="DD329" s="51">
        <v>1</v>
      </c>
      <c r="DE329" s="51">
        <v>0</v>
      </c>
      <c r="DF329" s="52">
        <v>0</v>
      </c>
      <c r="DG329" s="52">
        <v>15</v>
      </c>
      <c r="DH329" s="52">
        <v>0</v>
      </c>
      <c r="DI329" s="52">
        <v>0</v>
      </c>
      <c r="DJ329" s="52">
        <v>0</v>
      </c>
      <c r="DK329" s="52">
        <v>0</v>
      </c>
      <c r="DL329" s="52">
        <v>0</v>
      </c>
      <c r="DM329" s="52">
        <v>0</v>
      </c>
      <c r="DN329" s="52">
        <v>38</v>
      </c>
      <c r="DO329" s="52">
        <v>0</v>
      </c>
      <c r="DP329" s="52">
        <v>0</v>
      </c>
      <c r="DQ329" s="52">
        <v>1</v>
      </c>
      <c r="DR329" s="52">
        <v>27</v>
      </c>
      <c r="DS329" s="53">
        <v>0</v>
      </c>
      <c r="DT329" s="53">
        <v>0</v>
      </c>
      <c r="DU329" s="53">
        <v>0</v>
      </c>
      <c r="DV329" s="53">
        <v>0</v>
      </c>
      <c r="DW329" s="53">
        <v>0</v>
      </c>
      <c r="DX329" s="2"/>
      <c r="DY329" s="2"/>
      <c r="DZ329" s="46">
        <f t="shared" si="80"/>
        <v>0</v>
      </c>
      <c r="EA329" s="46">
        <f t="shared" si="81"/>
        <v>0</v>
      </c>
      <c r="EB329" s="46">
        <f t="shared" si="82"/>
        <v>0</v>
      </c>
      <c r="EC329" s="46">
        <f t="shared" si="83"/>
        <v>0</v>
      </c>
      <c r="ED329" s="46">
        <f t="shared" si="84"/>
        <v>1938</v>
      </c>
      <c r="EE329" s="46">
        <f t="shared" si="85"/>
        <v>3841</v>
      </c>
      <c r="EF329" s="46">
        <f t="shared" si="86"/>
        <v>-60</v>
      </c>
      <c r="EG329" s="46">
        <f t="shared" si="87"/>
        <v>20</v>
      </c>
      <c r="EH329" s="46">
        <f t="shared" si="79"/>
        <v>30</v>
      </c>
      <c r="EI329" s="46">
        <f t="shared" si="78"/>
        <v>38</v>
      </c>
    </row>
    <row r="330" spans="3:139">
      <c r="C330" s="36" t="s">
        <v>523</v>
      </c>
      <c r="D330" s="36" t="s">
        <v>512</v>
      </c>
      <c r="E330" s="36" t="s">
        <v>516</v>
      </c>
      <c r="F330" s="38">
        <f t="shared" si="77"/>
        <v>16941</v>
      </c>
      <c r="G330" s="37" t="s">
        <v>514</v>
      </c>
      <c r="H330" s="47"/>
      <c r="I330" s="48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8"/>
      <c r="U330" s="48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8"/>
      <c r="AG330" s="48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>
        <v>340</v>
      </c>
      <c r="BN330" s="49">
        <v>2140</v>
      </c>
      <c r="BO330" s="49">
        <v>2260</v>
      </c>
      <c r="BP330" s="50">
        <v>3359</v>
      </c>
      <c r="BQ330" s="50">
        <v>689</v>
      </c>
      <c r="BR330" s="50">
        <v>2501</v>
      </c>
      <c r="BS330" s="50">
        <v>900</v>
      </c>
      <c r="BT330" s="50">
        <v>300</v>
      </c>
      <c r="BU330" s="50">
        <v>1700</v>
      </c>
      <c r="BV330" s="50">
        <v>2020</v>
      </c>
      <c r="BW330" s="50">
        <v>306</v>
      </c>
      <c r="BX330" s="50"/>
      <c r="BY330" s="50"/>
      <c r="BZ330" s="50"/>
      <c r="CA330" s="50">
        <v>0</v>
      </c>
      <c r="CB330" s="50">
        <v>20</v>
      </c>
      <c r="CC330" s="50">
        <v>0</v>
      </c>
      <c r="CD330" s="50">
        <v>0</v>
      </c>
      <c r="CE330" s="50">
        <v>10</v>
      </c>
      <c r="CF330" s="50">
        <v>0</v>
      </c>
      <c r="CG330" s="50">
        <v>30</v>
      </c>
      <c r="CH330" s="50">
        <v>0</v>
      </c>
      <c r="CI330" s="50">
        <v>0</v>
      </c>
      <c r="CJ330" s="50">
        <v>0</v>
      </c>
      <c r="CK330" s="50">
        <v>0</v>
      </c>
      <c r="CL330" s="50">
        <v>35</v>
      </c>
      <c r="CM330" s="50">
        <v>0</v>
      </c>
      <c r="CN330" s="51">
        <v>0</v>
      </c>
      <c r="CO330" s="51">
        <v>0</v>
      </c>
      <c r="CP330" s="51">
        <v>0</v>
      </c>
      <c r="CQ330" s="51">
        <v>30</v>
      </c>
      <c r="CR330" s="51">
        <v>0</v>
      </c>
      <c r="CS330" s="51">
        <v>0</v>
      </c>
      <c r="CT330" s="51">
        <v>0</v>
      </c>
      <c r="CU330" s="51">
        <v>20</v>
      </c>
      <c r="CV330" s="51">
        <v>0</v>
      </c>
      <c r="CW330" s="51">
        <v>0</v>
      </c>
      <c r="CX330" s="51">
        <v>18</v>
      </c>
      <c r="CY330" s="51">
        <v>0</v>
      </c>
      <c r="CZ330" s="51">
        <v>0</v>
      </c>
      <c r="DA330" s="51">
        <v>33</v>
      </c>
      <c r="DB330" s="51">
        <v>0</v>
      </c>
      <c r="DC330" s="51">
        <v>0</v>
      </c>
      <c r="DD330" s="51">
        <v>2</v>
      </c>
      <c r="DE330" s="51">
        <v>0</v>
      </c>
      <c r="DF330" s="52">
        <v>20</v>
      </c>
      <c r="DG330" s="52">
        <v>37</v>
      </c>
      <c r="DH330" s="52">
        <v>2</v>
      </c>
      <c r="DI330" s="52">
        <v>0</v>
      </c>
      <c r="DJ330" s="52">
        <v>0</v>
      </c>
      <c r="DK330" s="52">
        <v>63</v>
      </c>
      <c r="DL330" s="52">
        <v>0</v>
      </c>
      <c r="DM330" s="52">
        <v>21</v>
      </c>
      <c r="DN330" s="52">
        <v>78</v>
      </c>
      <c r="DO330" s="52">
        <v>0</v>
      </c>
      <c r="DP330" s="52">
        <v>0</v>
      </c>
      <c r="DQ330" s="52">
        <v>7</v>
      </c>
      <c r="DR330" s="52">
        <v>99</v>
      </c>
      <c r="DS330" s="53">
        <v>0</v>
      </c>
      <c r="DT330" s="53">
        <v>0</v>
      </c>
      <c r="DU330" s="53">
        <v>0</v>
      </c>
      <c r="DV330" s="53">
        <v>0</v>
      </c>
      <c r="DW330" s="53">
        <v>0</v>
      </c>
      <c r="DX330" s="2"/>
      <c r="DY330" s="2"/>
      <c r="DZ330" s="46">
        <f t="shared" si="80"/>
        <v>0</v>
      </c>
      <c r="EA330" s="46">
        <f t="shared" si="81"/>
        <v>0</v>
      </c>
      <c r="EB330" s="46">
        <f t="shared" si="82"/>
        <v>0</v>
      </c>
      <c r="EC330" s="46">
        <f t="shared" si="83"/>
        <v>0</v>
      </c>
      <c r="ED330" s="46">
        <f t="shared" si="84"/>
        <v>4740</v>
      </c>
      <c r="EE330" s="46">
        <f t="shared" si="85"/>
        <v>11775</v>
      </c>
      <c r="EF330" s="46">
        <f t="shared" si="86"/>
        <v>95</v>
      </c>
      <c r="EG330" s="46">
        <f t="shared" si="87"/>
        <v>68</v>
      </c>
      <c r="EH330" s="46">
        <f t="shared" si="79"/>
        <v>94</v>
      </c>
      <c r="EI330" s="46">
        <f t="shared" si="78"/>
        <v>99</v>
      </c>
    </row>
    <row r="331" spans="3:139">
      <c r="C331" s="36" t="s">
        <v>524</v>
      </c>
      <c r="D331" s="36" t="s">
        <v>512</v>
      </c>
      <c r="E331" s="36" t="s">
        <v>516</v>
      </c>
      <c r="F331" s="38">
        <f t="shared" ref="F331:F394" si="88">SUM(H331:DQ331)</f>
        <v>6813</v>
      </c>
      <c r="G331" s="37" t="s">
        <v>514</v>
      </c>
      <c r="H331" s="47"/>
      <c r="I331" s="48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8"/>
      <c r="U331" s="48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8"/>
      <c r="AG331" s="48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>
        <v>50</v>
      </c>
      <c r="BN331" s="49">
        <v>650</v>
      </c>
      <c r="BO331" s="49">
        <v>650</v>
      </c>
      <c r="BP331" s="50">
        <v>589</v>
      </c>
      <c r="BQ331" s="50">
        <v>958</v>
      </c>
      <c r="BR331" s="50">
        <v>1361</v>
      </c>
      <c r="BS331" s="50">
        <v>1199</v>
      </c>
      <c r="BT331" s="50">
        <v>700</v>
      </c>
      <c r="BU331" s="50">
        <v>0</v>
      </c>
      <c r="BV331" s="50">
        <v>400</v>
      </c>
      <c r="BW331" s="50">
        <v>24</v>
      </c>
      <c r="BX331" s="50"/>
      <c r="BY331" s="50"/>
      <c r="BZ331" s="50"/>
      <c r="CA331" s="50">
        <v>0</v>
      </c>
      <c r="CB331" s="50">
        <v>0</v>
      </c>
      <c r="CC331" s="50">
        <v>8</v>
      </c>
      <c r="CD331" s="50">
        <v>0</v>
      </c>
      <c r="CE331" s="50">
        <v>10</v>
      </c>
      <c r="CF331" s="50">
        <v>0</v>
      </c>
      <c r="CG331" s="50"/>
      <c r="CH331" s="50">
        <v>5</v>
      </c>
      <c r="CI331" s="50">
        <v>30</v>
      </c>
      <c r="CJ331" s="50">
        <v>20</v>
      </c>
      <c r="CK331" s="50">
        <v>0</v>
      </c>
      <c r="CL331" s="50">
        <v>0</v>
      </c>
      <c r="CM331" s="50">
        <v>0</v>
      </c>
      <c r="CN331" s="51">
        <v>0</v>
      </c>
      <c r="CO331" s="51">
        <v>0</v>
      </c>
      <c r="CP331" s="51">
        <v>0</v>
      </c>
      <c r="CQ331" s="51">
        <v>0</v>
      </c>
      <c r="CR331" s="51">
        <v>15</v>
      </c>
      <c r="CS331" s="51">
        <v>0</v>
      </c>
      <c r="CT331" s="51">
        <v>0</v>
      </c>
      <c r="CU331" s="51">
        <v>0</v>
      </c>
      <c r="CV331" s="51">
        <v>0</v>
      </c>
      <c r="CW331" s="51">
        <v>0</v>
      </c>
      <c r="CX331" s="51">
        <v>31</v>
      </c>
      <c r="CY331" s="51">
        <v>0</v>
      </c>
      <c r="CZ331" s="51">
        <v>0</v>
      </c>
      <c r="DA331" s="51">
        <v>41</v>
      </c>
      <c r="DB331" s="51">
        <v>0</v>
      </c>
      <c r="DC331" s="51">
        <v>0</v>
      </c>
      <c r="DD331" s="51">
        <v>0</v>
      </c>
      <c r="DE331" s="51">
        <v>0</v>
      </c>
      <c r="DF331" s="52">
        <v>0</v>
      </c>
      <c r="DG331" s="52">
        <v>15</v>
      </c>
      <c r="DH331" s="52">
        <v>0</v>
      </c>
      <c r="DI331" s="52">
        <v>0</v>
      </c>
      <c r="DJ331" s="52">
        <v>0</v>
      </c>
      <c r="DK331" s="52">
        <v>0</v>
      </c>
      <c r="DL331" s="52">
        <v>0</v>
      </c>
      <c r="DM331" s="52">
        <v>0</v>
      </c>
      <c r="DN331" s="52">
        <v>29</v>
      </c>
      <c r="DO331" s="52">
        <v>28</v>
      </c>
      <c r="DP331" s="52">
        <v>0</v>
      </c>
      <c r="DQ331" s="52">
        <v>0</v>
      </c>
      <c r="DR331" s="52">
        <v>50</v>
      </c>
      <c r="DS331" s="53">
        <v>0</v>
      </c>
      <c r="DT331" s="53">
        <v>0</v>
      </c>
      <c r="DU331" s="53">
        <v>0</v>
      </c>
      <c r="DV331" s="53">
        <v>0</v>
      </c>
      <c r="DW331" s="53">
        <v>0</v>
      </c>
      <c r="DX331" s="2"/>
      <c r="DY331" s="2"/>
      <c r="DZ331" s="46">
        <f t="shared" si="80"/>
        <v>0</v>
      </c>
      <c r="EA331" s="46">
        <f t="shared" si="81"/>
        <v>0</v>
      </c>
      <c r="EB331" s="46">
        <f t="shared" si="82"/>
        <v>0</v>
      </c>
      <c r="EC331" s="46">
        <f t="shared" si="83"/>
        <v>0</v>
      </c>
      <c r="ED331" s="46">
        <f t="shared" si="84"/>
        <v>1350</v>
      </c>
      <c r="EE331" s="46">
        <f t="shared" si="85"/>
        <v>5231</v>
      </c>
      <c r="EF331" s="46">
        <f t="shared" si="86"/>
        <v>73</v>
      </c>
      <c r="EG331" s="46">
        <f t="shared" si="87"/>
        <v>46</v>
      </c>
      <c r="EH331" s="46">
        <f t="shared" si="79"/>
        <v>56</v>
      </c>
      <c r="EI331" s="46">
        <f t="shared" ref="EI331:EI394" si="89">SUM(DL331:DO331)</f>
        <v>57</v>
      </c>
    </row>
    <row r="332" spans="3:139">
      <c r="C332" s="36" t="s">
        <v>525</v>
      </c>
      <c r="D332" s="36" t="s">
        <v>512</v>
      </c>
      <c r="E332" s="36" t="s">
        <v>516</v>
      </c>
      <c r="F332" s="38">
        <f t="shared" si="88"/>
        <v>4648</v>
      </c>
      <c r="G332" s="37" t="s">
        <v>514</v>
      </c>
      <c r="H332" s="47"/>
      <c r="I332" s="48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8"/>
      <c r="U332" s="48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8"/>
      <c r="AG332" s="48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>
        <v>990</v>
      </c>
      <c r="BN332" s="49">
        <v>890</v>
      </c>
      <c r="BO332" s="49">
        <v>40</v>
      </c>
      <c r="BP332" s="50">
        <v>-2</v>
      </c>
      <c r="BQ332" s="50">
        <v>440</v>
      </c>
      <c r="BR332" s="50">
        <v>411</v>
      </c>
      <c r="BS332" s="50">
        <v>400</v>
      </c>
      <c r="BT332" s="50">
        <v>420</v>
      </c>
      <c r="BU332" s="50">
        <v>500</v>
      </c>
      <c r="BV332" s="50">
        <v>476</v>
      </c>
      <c r="BW332" s="50">
        <v>44</v>
      </c>
      <c r="BX332" s="50"/>
      <c r="BY332" s="50"/>
      <c r="BZ332" s="50"/>
      <c r="CA332" s="50">
        <v>0</v>
      </c>
      <c r="CB332" s="50">
        <v>0</v>
      </c>
      <c r="CC332" s="50">
        <v>0</v>
      </c>
      <c r="CD332" s="50">
        <v>0</v>
      </c>
      <c r="CE332" s="50">
        <v>0</v>
      </c>
      <c r="CF332" s="50">
        <v>0</v>
      </c>
      <c r="CG332" s="50"/>
      <c r="CH332" s="50">
        <v>0</v>
      </c>
      <c r="CI332" s="50">
        <v>0</v>
      </c>
      <c r="CJ332" s="50">
        <v>0</v>
      </c>
      <c r="CK332" s="50">
        <v>0</v>
      </c>
      <c r="CL332" s="50">
        <v>0</v>
      </c>
      <c r="CM332" s="50">
        <v>0</v>
      </c>
      <c r="CN332" s="51">
        <v>0</v>
      </c>
      <c r="CO332" s="51">
        <v>0</v>
      </c>
      <c r="CP332" s="51">
        <v>0</v>
      </c>
      <c r="CQ332" s="51">
        <v>0</v>
      </c>
      <c r="CR332" s="51">
        <v>0</v>
      </c>
      <c r="CS332" s="51">
        <v>0</v>
      </c>
      <c r="CT332" s="51">
        <v>0</v>
      </c>
      <c r="CU332" s="51">
        <v>0</v>
      </c>
      <c r="CV332" s="51">
        <v>0</v>
      </c>
      <c r="CW332" s="51">
        <v>0</v>
      </c>
      <c r="CX332" s="51">
        <v>0</v>
      </c>
      <c r="CY332" s="51">
        <v>0</v>
      </c>
      <c r="CZ332" s="51">
        <v>0</v>
      </c>
      <c r="DA332" s="51">
        <v>0</v>
      </c>
      <c r="DB332" s="51">
        <v>0</v>
      </c>
      <c r="DC332" s="51">
        <v>0</v>
      </c>
      <c r="DD332" s="51">
        <v>0</v>
      </c>
      <c r="DE332" s="51">
        <v>0</v>
      </c>
      <c r="DF332" s="52">
        <v>0</v>
      </c>
      <c r="DG332" s="52">
        <v>0</v>
      </c>
      <c r="DH332" s="52">
        <v>0</v>
      </c>
      <c r="DI332" s="52">
        <v>0</v>
      </c>
      <c r="DJ332" s="52">
        <v>0</v>
      </c>
      <c r="DK332" s="52">
        <v>0</v>
      </c>
      <c r="DL332" s="52">
        <v>0</v>
      </c>
      <c r="DM332" s="52">
        <v>0</v>
      </c>
      <c r="DN332" s="52">
        <v>26</v>
      </c>
      <c r="DO332" s="52">
        <v>12</v>
      </c>
      <c r="DP332" s="52">
        <v>0</v>
      </c>
      <c r="DQ332" s="52">
        <v>1</v>
      </c>
      <c r="DR332" s="52">
        <v>0</v>
      </c>
      <c r="DS332" s="53">
        <v>0</v>
      </c>
      <c r="DT332" s="53">
        <v>0</v>
      </c>
      <c r="DU332" s="53">
        <v>0</v>
      </c>
      <c r="DV332" s="53">
        <v>0</v>
      </c>
      <c r="DW332" s="53">
        <v>0</v>
      </c>
      <c r="DX332" s="2"/>
      <c r="DY332" s="2"/>
      <c r="DZ332" s="46">
        <f t="shared" si="80"/>
        <v>0</v>
      </c>
      <c r="EA332" s="46">
        <f t="shared" si="81"/>
        <v>0</v>
      </c>
      <c r="EB332" s="46">
        <f t="shared" si="82"/>
        <v>0</v>
      </c>
      <c r="EC332" s="46">
        <f t="shared" si="83"/>
        <v>0</v>
      </c>
      <c r="ED332" s="46">
        <f t="shared" si="84"/>
        <v>1920</v>
      </c>
      <c r="EE332" s="46">
        <f t="shared" si="85"/>
        <v>2689</v>
      </c>
      <c r="EF332" s="46">
        <f t="shared" si="86"/>
        <v>0</v>
      </c>
      <c r="EG332" s="46">
        <f t="shared" si="87"/>
        <v>0</v>
      </c>
      <c r="EH332" s="46">
        <f t="shared" si="79"/>
        <v>0</v>
      </c>
      <c r="EI332" s="46">
        <f t="shared" si="89"/>
        <v>38</v>
      </c>
    </row>
    <row r="333" spans="3:139">
      <c r="C333" s="36" t="s">
        <v>526</v>
      </c>
      <c r="D333" s="36" t="s">
        <v>212</v>
      </c>
      <c r="E333" s="36"/>
      <c r="F333" s="38">
        <f t="shared" si="88"/>
        <v>0</v>
      </c>
      <c r="G333" s="37" t="s">
        <v>514</v>
      </c>
      <c r="H333" s="47"/>
      <c r="I333" s="48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8"/>
      <c r="U333" s="48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8"/>
      <c r="AG333" s="48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50"/>
      <c r="BQ333" s="50"/>
      <c r="BR333" s="50"/>
      <c r="BS333" s="50">
        <v>0</v>
      </c>
      <c r="BT333" s="50">
        <v>0</v>
      </c>
      <c r="BU333" s="50">
        <v>0</v>
      </c>
      <c r="BV333" s="50"/>
      <c r="BW333" s="50">
        <v>0</v>
      </c>
      <c r="BX333" s="50"/>
      <c r="BY333" s="50"/>
      <c r="BZ333" s="50"/>
      <c r="CA333" s="50">
        <v>0</v>
      </c>
      <c r="CB333" s="50">
        <v>0</v>
      </c>
      <c r="CC333" s="50">
        <v>0</v>
      </c>
      <c r="CD333" s="50">
        <v>0</v>
      </c>
      <c r="CE333" s="50">
        <v>0</v>
      </c>
      <c r="CF333" s="50">
        <v>0</v>
      </c>
      <c r="CG333" s="50"/>
      <c r="CH333" s="50">
        <v>0</v>
      </c>
      <c r="CI333" s="50">
        <v>0</v>
      </c>
      <c r="CJ333" s="50">
        <v>0</v>
      </c>
      <c r="CK333" s="50">
        <v>0</v>
      </c>
      <c r="CL333" s="50">
        <v>0</v>
      </c>
      <c r="CM333" s="50">
        <v>0</v>
      </c>
      <c r="CN333" s="51">
        <v>0</v>
      </c>
      <c r="CO333" s="51">
        <v>0</v>
      </c>
      <c r="CP333" s="51">
        <v>0</v>
      </c>
      <c r="CQ333" s="51"/>
      <c r="CR333" s="51">
        <v>0</v>
      </c>
      <c r="CS333" s="51">
        <v>0</v>
      </c>
      <c r="CT333" s="51"/>
      <c r="CU333" s="51">
        <v>0</v>
      </c>
      <c r="CV333" s="51"/>
      <c r="CW333" s="51">
        <v>0</v>
      </c>
      <c r="CX333" s="51">
        <v>0</v>
      </c>
      <c r="CY333" s="51">
        <v>0</v>
      </c>
      <c r="CZ333" s="51">
        <v>0</v>
      </c>
      <c r="DA333" s="51">
        <v>0</v>
      </c>
      <c r="DB333" s="51"/>
      <c r="DC333" s="51">
        <v>0</v>
      </c>
      <c r="DD333" s="51">
        <v>0</v>
      </c>
      <c r="DE333" s="51">
        <v>0</v>
      </c>
      <c r="DF333" s="52">
        <v>0</v>
      </c>
      <c r="DG333" s="52">
        <v>0</v>
      </c>
      <c r="DH333" s="52">
        <v>0</v>
      </c>
      <c r="DI333" s="52">
        <v>0</v>
      </c>
      <c r="DJ333" s="52">
        <v>0</v>
      </c>
      <c r="DK333" s="52">
        <v>0</v>
      </c>
      <c r="DL333" s="52">
        <v>0</v>
      </c>
      <c r="DM333" s="52">
        <v>0</v>
      </c>
      <c r="DN333" s="52">
        <v>0</v>
      </c>
      <c r="DO333" s="52">
        <v>0</v>
      </c>
      <c r="DP333" s="52">
        <v>0</v>
      </c>
      <c r="DQ333" s="52">
        <v>0</v>
      </c>
      <c r="DR333" s="52">
        <v>0</v>
      </c>
      <c r="DS333" s="53">
        <v>0</v>
      </c>
      <c r="DT333" s="53">
        <v>0</v>
      </c>
      <c r="DU333" s="53">
        <v>0</v>
      </c>
      <c r="DV333" s="53">
        <v>0</v>
      </c>
      <c r="DW333" s="53">
        <v>0</v>
      </c>
      <c r="DX333" s="2"/>
      <c r="DY333" s="2"/>
      <c r="DZ333" s="46">
        <f t="shared" si="80"/>
        <v>0</v>
      </c>
      <c r="EA333" s="46">
        <f t="shared" si="81"/>
        <v>0</v>
      </c>
      <c r="EB333" s="46">
        <f t="shared" si="82"/>
        <v>0</v>
      </c>
      <c r="EC333" s="46">
        <f t="shared" si="83"/>
        <v>0</v>
      </c>
      <c r="ED333" s="46">
        <f t="shared" si="84"/>
        <v>0</v>
      </c>
      <c r="EE333" s="46">
        <f t="shared" si="85"/>
        <v>0</v>
      </c>
      <c r="EF333" s="46">
        <f t="shared" si="86"/>
        <v>0</v>
      </c>
      <c r="EG333" s="46">
        <f t="shared" si="87"/>
        <v>0</v>
      </c>
      <c r="EH333" s="46">
        <f t="shared" ref="EH333:EH396" si="90">SUM(CZ333:DJ333)</f>
        <v>0</v>
      </c>
      <c r="EI333" s="46">
        <f t="shared" si="89"/>
        <v>0</v>
      </c>
    </row>
    <row r="334" spans="3:139">
      <c r="C334" s="36" t="s">
        <v>527</v>
      </c>
      <c r="D334" s="36" t="s">
        <v>512</v>
      </c>
      <c r="E334" s="36" t="s">
        <v>516</v>
      </c>
      <c r="F334" s="38">
        <f t="shared" si="88"/>
        <v>285</v>
      </c>
      <c r="G334" s="37" t="s">
        <v>514</v>
      </c>
      <c r="H334" s="47"/>
      <c r="I334" s="48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8"/>
      <c r="U334" s="48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8"/>
      <c r="AG334" s="48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50"/>
      <c r="BQ334" s="50"/>
      <c r="BR334" s="50">
        <v>11</v>
      </c>
      <c r="BS334" s="50">
        <v>240</v>
      </c>
      <c r="BT334" s="50">
        <v>0</v>
      </c>
      <c r="BU334" s="50">
        <v>0</v>
      </c>
      <c r="BV334" s="50"/>
      <c r="BW334" s="50">
        <v>34</v>
      </c>
      <c r="BX334" s="50"/>
      <c r="BY334" s="50"/>
      <c r="BZ334" s="50"/>
      <c r="CA334" s="50">
        <v>0</v>
      </c>
      <c r="CB334" s="50">
        <v>0</v>
      </c>
      <c r="CC334" s="50">
        <v>0</v>
      </c>
      <c r="CD334" s="50">
        <v>0</v>
      </c>
      <c r="CE334" s="50">
        <v>0</v>
      </c>
      <c r="CF334" s="50">
        <v>0</v>
      </c>
      <c r="CG334" s="50"/>
      <c r="CH334" s="50">
        <v>0</v>
      </c>
      <c r="CI334" s="50">
        <v>0</v>
      </c>
      <c r="CJ334" s="50">
        <v>0</v>
      </c>
      <c r="CK334" s="50">
        <v>0</v>
      </c>
      <c r="CL334" s="50">
        <v>0</v>
      </c>
      <c r="CM334" s="50">
        <v>0</v>
      </c>
      <c r="CN334" s="51">
        <v>0</v>
      </c>
      <c r="CO334" s="51">
        <v>0</v>
      </c>
      <c r="CP334" s="51">
        <v>0</v>
      </c>
      <c r="CQ334" s="51">
        <v>0</v>
      </c>
      <c r="CR334" s="51">
        <v>0</v>
      </c>
      <c r="CS334" s="51">
        <v>0</v>
      </c>
      <c r="CT334" s="51">
        <v>0</v>
      </c>
      <c r="CU334" s="51">
        <v>0</v>
      </c>
      <c r="CV334" s="51">
        <v>0</v>
      </c>
      <c r="CW334" s="51">
        <v>0</v>
      </c>
      <c r="CX334" s="51">
        <v>0</v>
      </c>
      <c r="CY334" s="51">
        <v>0</v>
      </c>
      <c r="CZ334" s="51">
        <v>0</v>
      </c>
      <c r="DA334" s="51">
        <v>0</v>
      </c>
      <c r="DB334" s="51">
        <v>0</v>
      </c>
      <c r="DC334" s="51">
        <v>0</v>
      </c>
      <c r="DD334" s="51">
        <v>0</v>
      </c>
      <c r="DE334" s="51">
        <v>0</v>
      </c>
      <c r="DF334" s="52">
        <v>0</v>
      </c>
      <c r="DG334" s="52">
        <v>0</v>
      </c>
      <c r="DH334" s="52">
        <v>0</v>
      </c>
      <c r="DI334" s="52">
        <v>0</v>
      </c>
      <c r="DJ334" s="52">
        <v>0</v>
      </c>
      <c r="DK334" s="52">
        <v>0</v>
      </c>
      <c r="DL334" s="52">
        <v>0</v>
      </c>
      <c r="DM334" s="52">
        <v>0</v>
      </c>
      <c r="DN334" s="52">
        <v>0</v>
      </c>
      <c r="DO334" s="52">
        <v>0</v>
      </c>
      <c r="DP334" s="52">
        <v>0</v>
      </c>
      <c r="DQ334" s="52">
        <v>0</v>
      </c>
      <c r="DR334" s="52">
        <v>0</v>
      </c>
      <c r="DS334" s="53">
        <v>0</v>
      </c>
      <c r="DT334" s="53">
        <v>0</v>
      </c>
      <c r="DU334" s="53">
        <v>0</v>
      </c>
      <c r="DV334" s="53">
        <v>0</v>
      </c>
      <c r="DW334" s="53">
        <v>0</v>
      </c>
      <c r="DX334" s="2"/>
      <c r="DY334" s="2"/>
      <c r="DZ334" s="46">
        <f t="shared" si="80"/>
        <v>0</v>
      </c>
      <c r="EA334" s="46">
        <f t="shared" si="81"/>
        <v>0</v>
      </c>
      <c r="EB334" s="46">
        <f t="shared" si="82"/>
        <v>0</v>
      </c>
      <c r="EC334" s="46">
        <f t="shared" si="83"/>
        <v>0</v>
      </c>
      <c r="ED334" s="46">
        <f t="shared" si="84"/>
        <v>0</v>
      </c>
      <c r="EE334" s="46">
        <f t="shared" si="85"/>
        <v>285</v>
      </c>
      <c r="EF334" s="46">
        <f t="shared" si="86"/>
        <v>0</v>
      </c>
      <c r="EG334" s="46">
        <f t="shared" si="87"/>
        <v>0</v>
      </c>
      <c r="EH334" s="46">
        <f t="shared" si="90"/>
        <v>0</v>
      </c>
      <c r="EI334" s="46">
        <f t="shared" si="89"/>
        <v>0</v>
      </c>
    </row>
    <row r="335" spans="3:139">
      <c r="C335" s="36" t="s">
        <v>528</v>
      </c>
      <c r="D335" s="36" t="s">
        <v>512</v>
      </c>
      <c r="E335" s="36" t="s">
        <v>516</v>
      </c>
      <c r="F335" s="38">
        <f t="shared" si="88"/>
        <v>3157</v>
      </c>
      <c r="G335" s="37" t="s">
        <v>514</v>
      </c>
      <c r="H335" s="47"/>
      <c r="I335" s="48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8"/>
      <c r="U335" s="48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8"/>
      <c r="AG335" s="48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>
        <v>20</v>
      </c>
      <c r="BK335" s="49">
        <v>200</v>
      </c>
      <c r="BL335" s="49">
        <v>370</v>
      </c>
      <c r="BM335" s="49">
        <v>1400</v>
      </c>
      <c r="BN335" s="49">
        <v>540</v>
      </c>
      <c r="BO335" s="49">
        <v>0</v>
      </c>
      <c r="BP335" s="50">
        <v>336</v>
      </c>
      <c r="BQ335" s="50">
        <v>0</v>
      </c>
      <c r="BR335" s="50">
        <v>141</v>
      </c>
      <c r="BS335" s="50">
        <v>0</v>
      </c>
      <c r="BT335" s="50">
        <v>0</v>
      </c>
      <c r="BU335" s="50">
        <v>0</v>
      </c>
      <c r="BV335" s="50">
        <v>120</v>
      </c>
      <c r="BW335" s="50">
        <v>16</v>
      </c>
      <c r="BX335" s="50"/>
      <c r="BY335" s="50"/>
      <c r="BZ335" s="50"/>
      <c r="CA335" s="50">
        <v>0</v>
      </c>
      <c r="CB335" s="50">
        <v>0</v>
      </c>
      <c r="CC335" s="50">
        <v>0</v>
      </c>
      <c r="CD335" s="50">
        <v>0</v>
      </c>
      <c r="CE335" s="50">
        <v>0</v>
      </c>
      <c r="CF335" s="50">
        <v>0</v>
      </c>
      <c r="CG335" s="50"/>
      <c r="CH335" s="50">
        <v>0</v>
      </c>
      <c r="CI335" s="50">
        <v>0</v>
      </c>
      <c r="CJ335" s="50">
        <v>0</v>
      </c>
      <c r="CK335" s="50">
        <v>0</v>
      </c>
      <c r="CL335" s="50">
        <v>0</v>
      </c>
      <c r="CM335" s="50">
        <v>0</v>
      </c>
      <c r="CN335" s="51">
        <v>0</v>
      </c>
      <c r="CO335" s="51">
        <v>0</v>
      </c>
      <c r="CP335" s="51">
        <v>0</v>
      </c>
      <c r="CQ335" s="51">
        <v>0</v>
      </c>
      <c r="CR335" s="51">
        <v>0</v>
      </c>
      <c r="CS335" s="51">
        <v>0</v>
      </c>
      <c r="CT335" s="51">
        <v>0</v>
      </c>
      <c r="CU335" s="51">
        <v>0</v>
      </c>
      <c r="CV335" s="51">
        <v>0</v>
      </c>
      <c r="CW335" s="51">
        <v>0</v>
      </c>
      <c r="CX335" s="51">
        <v>0</v>
      </c>
      <c r="CY335" s="51">
        <v>0</v>
      </c>
      <c r="CZ335" s="51">
        <v>0</v>
      </c>
      <c r="DA335" s="51">
        <v>0</v>
      </c>
      <c r="DB335" s="51">
        <v>0</v>
      </c>
      <c r="DC335" s="51">
        <v>0</v>
      </c>
      <c r="DD335" s="51">
        <v>0</v>
      </c>
      <c r="DE335" s="51">
        <v>0</v>
      </c>
      <c r="DF335" s="52">
        <v>0</v>
      </c>
      <c r="DG335" s="52">
        <v>0</v>
      </c>
      <c r="DH335" s="52">
        <v>0</v>
      </c>
      <c r="DI335" s="52">
        <v>0</v>
      </c>
      <c r="DJ335" s="52">
        <v>0</v>
      </c>
      <c r="DK335" s="52">
        <v>0</v>
      </c>
      <c r="DL335" s="52">
        <v>0</v>
      </c>
      <c r="DM335" s="52">
        <v>12</v>
      </c>
      <c r="DN335" s="52">
        <v>2</v>
      </c>
      <c r="DO335" s="52">
        <v>0</v>
      </c>
      <c r="DP335" s="52">
        <v>0</v>
      </c>
      <c r="DQ335" s="52">
        <v>0</v>
      </c>
      <c r="DR335" s="52">
        <v>70</v>
      </c>
      <c r="DS335" s="53">
        <v>0</v>
      </c>
      <c r="DT335" s="53">
        <v>0</v>
      </c>
      <c r="DU335" s="53">
        <v>0</v>
      </c>
      <c r="DV335" s="53">
        <v>0</v>
      </c>
      <c r="DW335" s="53">
        <v>0</v>
      </c>
      <c r="DX335" s="2"/>
      <c r="DY335" s="2"/>
      <c r="DZ335" s="46">
        <f t="shared" si="80"/>
        <v>0</v>
      </c>
      <c r="EA335" s="46">
        <f t="shared" si="81"/>
        <v>0</v>
      </c>
      <c r="EB335" s="46">
        <f t="shared" si="82"/>
        <v>0</v>
      </c>
      <c r="EC335" s="46">
        <f t="shared" si="83"/>
        <v>0</v>
      </c>
      <c r="ED335" s="46">
        <f t="shared" si="84"/>
        <v>2530</v>
      </c>
      <c r="EE335" s="46">
        <f t="shared" si="85"/>
        <v>613</v>
      </c>
      <c r="EF335" s="46">
        <f t="shared" si="86"/>
        <v>0</v>
      </c>
      <c r="EG335" s="46">
        <f t="shared" si="87"/>
        <v>0</v>
      </c>
      <c r="EH335" s="46">
        <f t="shared" si="90"/>
        <v>0</v>
      </c>
      <c r="EI335" s="46">
        <f t="shared" si="89"/>
        <v>14</v>
      </c>
    </row>
    <row r="336" spans="3:139">
      <c r="C336" s="36" t="s">
        <v>529</v>
      </c>
      <c r="D336" s="36" t="s">
        <v>512</v>
      </c>
      <c r="E336" s="36" t="s">
        <v>516</v>
      </c>
      <c r="F336" s="38">
        <f t="shared" si="88"/>
        <v>3001</v>
      </c>
      <c r="G336" s="37" t="s">
        <v>514</v>
      </c>
      <c r="H336" s="47"/>
      <c r="I336" s="48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8"/>
      <c r="U336" s="48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8"/>
      <c r="AG336" s="48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>
        <v>400</v>
      </c>
      <c r="BN336" s="49">
        <v>490</v>
      </c>
      <c r="BO336" s="49">
        <v>660</v>
      </c>
      <c r="BP336" s="50">
        <v>0</v>
      </c>
      <c r="BQ336" s="50">
        <v>0</v>
      </c>
      <c r="BR336" s="50">
        <v>211</v>
      </c>
      <c r="BS336" s="50">
        <v>600</v>
      </c>
      <c r="BT336" s="50">
        <v>0</v>
      </c>
      <c r="BU336" s="50">
        <v>300</v>
      </c>
      <c r="BV336" s="50">
        <v>220</v>
      </c>
      <c r="BW336" s="50">
        <v>61</v>
      </c>
      <c r="BX336" s="50"/>
      <c r="BY336" s="50"/>
      <c r="BZ336" s="50"/>
      <c r="CA336" s="50">
        <v>0</v>
      </c>
      <c r="CB336" s="50">
        <v>0</v>
      </c>
      <c r="CC336" s="50">
        <v>10</v>
      </c>
      <c r="CD336" s="50">
        <v>0</v>
      </c>
      <c r="CE336" s="50">
        <v>0</v>
      </c>
      <c r="CF336" s="50">
        <v>0</v>
      </c>
      <c r="CG336" s="50">
        <v>10</v>
      </c>
      <c r="CH336" s="50">
        <v>0</v>
      </c>
      <c r="CI336" s="50">
        <v>0</v>
      </c>
      <c r="CJ336" s="50">
        <v>0</v>
      </c>
      <c r="CK336" s="50">
        <v>0</v>
      </c>
      <c r="CL336" s="50">
        <v>0</v>
      </c>
      <c r="CM336" s="50">
        <v>0</v>
      </c>
      <c r="CN336" s="51">
        <v>0</v>
      </c>
      <c r="CO336" s="51">
        <v>0</v>
      </c>
      <c r="CP336" s="51">
        <v>0</v>
      </c>
      <c r="CQ336" s="51">
        <v>0</v>
      </c>
      <c r="CR336" s="51">
        <v>0</v>
      </c>
      <c r="CS336" s="51">
        <v>0</v>
      </c>
      <c r="CT336" s="51">
        <v>10</v>
      </c>
      <c r="CU336" s="51">
        <v>0</v>
      </c>
      <c r="CV336" s="51">
        <v>0</v>
      </c>
      <c r="CW336" s="51">
        <v>0</v>
      </c>
      <c r="CX336" s="51">
        <v>0</v>
      </c>
      <c r="CY336" s="51">
        <v>11</v>
      </c>
      <c r="CZ336" s="51">
        <v>0</v>
      </c>
      <c r="DA336" s="51">
        <v>0</v>
      </c>
      <c r="DB336" s="51">
        <v>0</v>
      </c>
      <c r="DC336" s="51">
        <v>0</v>
      </c>
      <c r="DD336" s="51">
        <v>0</v>
      </c>
      <c r="DE336" s="51">
        <v>0</v>
      </c>
      <c r="DF336" s="52">
        <v>0</v>
      </c>
      <c r="DG336" s="52">
        <v>18</v>
      </c>
      <c r="DH336" s="52">
        <v>0</v>
      </c>
      <c r="DI336" s="52">
        <v>0</v>
      </c>
      <c r="DJ336" s="52">
        <v>0</v>
      </c>
      <c r="DK336" s="52">
        <v>0</v>
      </c>
      <c r="DL336" s="52">
        <v>0</v>
      </c>
      <c r="DM336" s="52">
        <v>0</v>
      </c>
      <c r="DN336" s="52">
        <v>0</v>
      </c>
      <c r="DO336" s="52">
        <v>0</v>
      </c>
      <c r="DP336" s="52">
        <v>0</v>
      </c>
      <c r="DQ336" s="52">
        <v>0</v>
      </c>
      <c r="DR336" s="52">
        <v>0</v>
      </c>
      <c r="DS336" s="53">
        <v>0</v>
      </c>
      <c r="DT336" s="53">
        <v>0</v>
      </c>
      <c r="DU336" s="53">
        <v>0</v>
      </c>
      <c r="DV336" s="53">
        <v>0</v>
      </c>
      <c r="DW336" s="53">
        <v>0</v>
      </c>
      <c r="DX336" s="2"/>
      <c r="DY336" s="2"/>
      <c r="DZ336" s="46">
        <f t="shared" si="80"/>
        <v>0</v>
      </c>
      <c r="EA336" s="46">
        <f t="shared" si="81"/>
        <v>0</v>
      </c>
      <c r="EB336" s="46">
        <f t="shared" si="82"/>
        <v>0</v>
      </c>
      <c r="EC336" s="46">
        <f t="shared" si="83"/>
        <v>0</v>
      </c>
      <c r="ED336" s="46">
        <f t="shared" si="84"/>
        <v>1550</v>
      </c>
      <c r="EE336" s="46">
        <f t="shared" si="85"/>
        <v>1392</v>
      </c>
      <c r="EF336" s="46">
        <f t="shared" si="86"/>
        <v>20</v>
      </c>
      <c r="EG336" s="46">
        <f t="shared" si="87"/>
        <v>21</v>
      </c>
      <c r="EH336" s="46">
        <f t="shared" si="90"/>
        <v>18</v>
      </c>
      <c r="EI336" s="46">
        <f t="shared" si="89"/>
        <v>0</v>
      </c>
    </row>
    <row r="337" spans="3:139">
      <c r="C337" s="36" t="s">
        <v>530</v>
      </c>
      <c r="D337" s="36" t="s">
        <v>512</v>
      </c>
      <c r="E337" s="36" t="s">
        <v>516</v>
      </c>
      <c r="F337" s="38">
        <f t="shared" si="88"/>
        <v>5247</v>
      </c>
      <c r="G337" s="37" t="s">
        <v>514</v>
      </c>
      <c r="H337" s="47"/>
      <c r="I337" s="48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8"/>
      <c r="U337" s="48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8"/>
      <c r="AG337" s="48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>
        <v>900</v>
      </c>
      <c r="BM337" s="49">
        <v>1600</v>
      </c>
      <c r="BN337" s="49">
        <v>0</v>
      </c>
      <c r="BO337" s="49">
        <v>440</v>
      </c>
      <c r="BP337" s="50">
        <v>340</v>
      </c>
      <c r="BQ337" s="50">
        <v>580</v>
      </c>
      <c r="BR337" s="50">
        <v>401</v>
      </c>
      <c r="BS337" s="50">
        <v>100</v>
      </c>
      <c r="BT337" s="50">
        <v>300</v>
      </c>
      <c r="BU337" s="50">
        <v>0</v>
      </c>
      <c r="BV337" s="50">
        <v>380</v>
      </c>
      <c r="BW337" s="50">
        <v>18</v>
      </c>
      <c r="BX337" s="50"/>
      <c r="BY337" s="50"/>
      <c r="BZ337" s="50"/>
      <c r="CA337" s="50">
        <v>0</v>
      </c>
      <c r="CB337" s="50">
        <v>0</v>
      </c>
      <c r="CC337" s="50">
        <v>0</v>
      </c>
      <c r="CD337" s="50">
        <v>0</v>
      </c>
      <c r="CE337" s="50">
        <v>0</v>
      </c>
      <c r="CF337" s="50">
        <v>0</v>
      </c>
      <c r="CG337" s="50"/>
      <c r="CH337" s="50">
        <v>15</v>
      </c>
      <c r="CI337" s="50">
        <v>0</v>
      </c>
      <c r="CJ337" s="50">
        <v>0</v>
      </c>
      <c r="CK337" s="50">
        <v>0</v>
      </c>
      <c r="CL337" s="50">
        <v>0</v>
      </c>
      <c r="CM337" s="50">
        <v>15</v>
      </c>
      <c r="CN337" s="51">
        <v>0</v>
      </c>
      <c r="CO337" s="51">
        <v>0</v>
      </c>
      <c r="CP337" s="51">
        <v>0</v>
      </c>
      <c r="CQ337" s="51">
        <v>20</v>
      </c>
      <c r="CR337" s="51">
        <v>0</v>
      </c>
      <c r="CS337" s="51">
        <v>0</v>
      </c>
      <c r="CT337" s="51">
        <v>0</v>
      </c>
      <c r="CU337" s="51">
        <v>0</v>
      </c>
      <c r="CV337" s="51">
        <v>0</v>
      </c>
      <c r="CW337" s="51">
        <v>0</v>
      </c>
      <c r="CX337" s="51">
        <v>22</v>
      </c>
      <c r="CY337" s="51">
        <v>0</v>
      </c>
      <c r="CZ337" s="51">
        <v>0</v>
      </c>
      <c r="DA337" s="51">
        <v>0</v>
      </c>
      <c r="DB337" s="51">
        <v>39</v>
      </c>
      <c r="DC337" s="51">
        <v>0</v>
      </c>
      <c r="DD337" s="51">
        <v>0</v>
      </c>
      <c r="DE337" s="51">
        <v>0</v>
      </c>
      <c r="DF337" s="52">
        <v>0</v>
      </c>
      <c r="DG337" s="52">
        <v>16</v>
      </c>
      <c r="DH337" s="52">
        <v>0</v>
      </c>
      <c r="DI337" s="52">
        <v>0</v>
      </c>
      <c r="DJ337" s="52">
        <v>0</v>
      </c>
      <c r="DK337" s="52">
        <v>0</v>
      </c>
      <c r="DL337" s="52">
        <v>0</v>
      </c>
      <c r="DM337" s="52">
        <v>0</v>
      </c>
      <c r="DN337" s="52">
        <v>59</v>
      </c>
      <c r="DO337" s="52">
        <v>0</v>
      </c>
      <c r="DP337" s="52">
        <v>0</v>
      </c>
      <c r="DQ337" s="52">
        <v>2</v>
      </c>
      <c r="DR337" s="52">
        <v>25</v>
      </c>
      <c r="DS337" s="53">
        <v>0</v>
      </c>
      <c r="DT337" s="53">
        <v>0</v>
      </c>
      <c r="DU337" s="53">
        <v>0</v>
      </c>
      <c r="DV337" s="53">
        <v>0</v>
      </c>
      <c r="DW337" s="53">
        <v>0</v>
      </c>
      <c r="DX337" s="2"/>
      <c r="DY337" s="2"/>
      <c r="DZ337" s="46">
        <f t="shared" si="80"/>
        <v>0</v>
      </c>
      <c r="EA337" s="46">
        <f t="shared" si="81"/>
        <v>0</v>
      </c>
      <c r="EB337" s="46">
        <f t="shared" si="82"/>
        <v>0</v>
      </c>
      <c r="EC337" s="46">
        <f t="shared" si="83"/>
        <v>0</v>
      </c>
      <c r="ED337" s="46">
        <f t="shared" si="84"/>
        <v>2940</v>
      </c>
      <c r="EE337" s="46">
        <f t="shared" si="85"/>
        <v>2119</v>
      </c>
      <c r="EF337" s="46">
        <f t="shared" si="86"/>
        <v>30</v>
      </c>
      <c r="EG337" s="46">
        <f t="shared" si="87"/>
        <v>42</v>
      </c>
      <c r="EH337" s="46">
        <f t="shared" si="90"/>
        <v>55</v>
      </c>
      <c r="EI337" s="46">
        <f t="shared" si="89"/>
        <v>59</v>
      </c>
    </row>
    <row r="338" spans="3:139">
      <c r="C338" s="36" t="s">
        <v>531</v>
      </c>
      <c r="D338" s="36" t="s">
        <v>512</v>
      </c>
      <c r="E338" s="36" t="s">
        <v>516</v>
      </c>
      <c r="F338" s="38">
        <f t="shared" si="88"/>
        <v>4313</v>
      </c>
      <c r="G338" s="37" t="s">
        <v>514</v>
      </c>
      <c r="H338" s="47"/>
      <c r="I338" s="48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8"/>
      <c r="U338" s="48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8"/>
      <c r="AG338" s="48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>
        <v>1355</v>
      </c>
      <c r="BN338" s="49">
        <v>300</v>
      </c>
      <c r="BO338" s="49">
        <v>210</v>
      </c>
      <c r="BP338" s="50">
        <v>10</v>
      </c>
      <c r="BQ338" s="50">
        <v>1415</v>
      </c>
      <c r="BR338" s="50">
        <v>1</v>
      </c>
      <c r="BS338" s="50">
        <v>300</v>
      </c>
      <c r="BT338" s="50">
        <v>20</v>
      </c>
      <c r="BU338" s="50">
        <v>0</v>
      </c>
      <c r="BV338" s="50">
        <v>400</v>
      </c>
      <c r="BW338" s="50">
        <v>283</v>
      </c>
      <c r="BX338" s="50"/>
      <c r="BY338" s="50"/>
      <c r="BZ338" s="50"/>
      <c r="CA338" s="50">
        <v>0</v>
      </c>
      <c r="CB338" s="50">
        <v>0</v>
      </c>
      <c r="CC338" s="50">
        <v>0</v>
      </c>
      <c r="CD338" s="50">
        <v>0</v>
      </c>
      <c r="CE338" s="50">
        <v>0</v>
      </c>
      <c r="CF338" s="50">
        <v>0</v>
      </c>
      <c r="CG338" s="50"/>
      <c r="CH338" s="50">
        <v>0</v>
      </c>
      <c r="CI338" s="50">
        <v>0</v>
      </c>
      <c r="CJ338" s="50">
        <v>0</v>
      </c>
      <c r="CK338" s="50">
        <v>0</v>
      </c>
      <c r="CL338" s="50">
        <v>0</v>
      </c>
      <c r="CM338" s="50">
        <v>0</v>
      </c>
      <c r="CN338" s="51">
        <v>0</v>
      </c>
      <c r="CO338" s="51">
        <v>0</v>
      </c>
      <c r="CP338" s="51">
        <v>0</v>
      </c>
      <c r="CQ338" s="51">
        <v>0</v>
      </c>
      <c r="CR338" s="51">
        <v>0</v>
      </c>
      <c r="CS338" s="51">
        <v>0</v>
      </c>
      <c r="CT338" s="51">
        <v>0</v>
      </c>
      <c r="CU338" s="51">
        <v>0</v>
      </c>
      <c r="CV338" s="51">
        <v>0</v>
      </c>
      <c r="CW338" s="51">
        <v>0</v>
      </c>
      <c r="CX338" s="51">
        <v>0</v>
      </c>
      <c r="CY338" s="51">
        <v>0</v>
      </c>
      <c r="CZ338" s="51">
        <v>0</v>
      </c>
      <c r="DA338" s="51">
        <v>0</v>
      </c>
      <c r="DB338" s="51">
        <v>0</v>
      </c>
      <c r="DC338" s="51">
        <v>0</v>
      </c>
      <c r="DD338" s="51">
        <v>0</v>
      </c>
      <c r="DE338" s="51">
        <v>0</v>
      </c>
      <c r="DF338" s="52">
        <v>0</v>
      </c>
      <c r="DG338" s="52">
        <v>19</v>
      </c>
      <c r="DH338" s="52">
        <v>0</v>
      </c>
      <c r="DI338" s="52">
        <v>0</v>
      </c>
      <c r="DJ338" s="52">
        <v>0</v>
      </c>
      <c r="DK338" s="52">
        <v>0</v>
      </c>
      <c r="DL338" s="52">
        <v>0</v>
      </c>
      <c r="DM338" s="52">
        <v>0</v>
      </c>
      <c r="DN338" s="52">
        <v>0</v>
      </c>
      <c r="DO338" s="52">
        <v>0</v>
      </c>
      <c r="DP338" s="52">
        <v>0</v>
      </c>
      <c r="DQ338" s="52">
        <v>0</v>
      </c>
      <c r="DR338" s="52">
        <v>47</v>
      </c>
      <c r="DS338" s="53">
        <v>0</v>
      </c>
      <c r="DT338" s="53">
        <v>0</v>
      </c>
      <c r="DU338" s="53">
        <v>0</v>
      </c>
      <c r="DV338" s="53">
        <v>0</v>
      </c>
      <c r="DW338" s="53">
        <v>0</v>
      </c>
      <c r="DX338" s="2"/>
      <c r="DY338" s="2"/>
      <c r="DZ338" s="46">
        <f t="shared" si="80"/>
        <v>0</v>
      </c>
      <c r="EA338" s="46">
        <f t="shared" si="81"/>
        <v>0</v>
      </c>
      <c r="EB338" s="46">
        <f t="shared" si="82"/>
        <v>0</v>
      </c>
      <c r="EC338" s="46">
        <f t="shared" si="83"/>
        <v>0</v>
      </c>
      <c r="ED338" s="46">
        <f t="shared" si="84"/>
        <v>1865</v>
      </c>
      <c r="EE338" s="46">
        <f t="shared" si="85"/>
        <v>2429</v>
      </c>
      <c r="EF338" s="46">
        <f t="shared" si="86"/>
        <v>0</v>
      </c>
      <c r="EG338" s="46">
        <f t="shared" si="87"/>
        <v>0</v>
      </c>
      <c r="EH338" s="46">
        <f t="shared" si="90"/>
        <v>19</v>
      </c>
      <c r="EI338" s="46">
        <f t="shared" si="89"/>
        <v>0</v>
      </c>
    </row>
    <row r="339" spans="3:139">
      <c r="C339" s="36" t="s">
        <v>532</v>
      </c>
      <c r="D339" s="36" t="s">
        <v>512</v>
      </c>
      <c r="E339" s="36" t="s">
        <v>516</v>
      </c>
      <c r="F339" s="38">
        <f t="shared" si="88"/>
        <v>2760</v>
      </c>
      <c r="G339" s="37" t="s">
        <v>514</v>
      </c>
      <c r="H339" s="47"/>
      <c r="I339" s="48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8"/>
      <c r="U339" s="48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8"/>
      <c r="AG339" s="48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>
        <v>38</v>
      </c>
      <c r="BL339" s="49">
        <v>0</v>
      </c>
      <c r="BM339" s="49">
        <v>20</v>
      </c>
      <c r="BN339" s="49">
        <v>0</v>
      </c>
      <c r="BO339" s="49">
        <v>125</v>
      </c>
      <c r="BP339" s="50">
        <v>199</v>
      </c>
      <c r="BQ339" s="50">
        <v>579</v>
      </c>
      <c r="BR339" s="50">
        <v>700</v>
      </c>
      <c r="BS339" s="50">
        <v>0</v>
      </c>
      <c r="BT339" s="50">
        <v>0</v>
      </c>
      <c r="BU339" s="50">
        <v>410</v>
      </c>
      <c r="BV339" s="50">
        <v>330</v>
      </c>
      <c r="BW339" s="50">
        <v>39</v>
      </c>
      <c r="BX339" s="50">
        <v>200</v>
      </c>
      <c r="BY339" s="50">
        <v>120</v>
      </c>
      <c r="BZ339" s="50"/>
      <c r="CA339" s="50">
        <v>0</v>
      </c>
      <c r="CB339" s="50">
        <v>0</v>
      </c>
      <c r="CC339" s="50">
        <v>0</v>
      </c>
      <c r="CD339" s="50">
        <v>0</v>
      </c>
      <c r="CE339" s="50">
        <v>0</v>
      </c>
      <c r="CF339" s="50">
        <v>0</v>
      </c>
      <c r="CG339" s="50"/>
      <c r="CH339" s="50">
        <v>0</v>
      </c>
      <c r="CI339" s="50">
        <v>0</v>
      </c>
      <c r="CJ339" s="50">
        <v>0</v>
      </c>
      <c r="CK339" s="50">
        <v>0</v>
      </c>
      <c r="CL339" s="50">
        <v>0</v>
      </c>
      <c r="CM339" s="50">
        <v>0</v>
      </c>
      <c r="CN339" s="51">
        <v>0</v>
      </c>
      <c r="CO339" s="51">
        <v>0</v>
      </c>
      <c r="CP339" s="51">
        <v>0</v>
      </c>
      <c r="CQ339" s="51">
        <v>0</v>
      </c>
      <c r="CR339" s="51">
        <v>0</v>
      </c>
      <c r="CS339" s="51">
        <v>0</v>
      </c>
      <c r="CT339" s="51">
        <v>0</v>
      </c>
      <c r="CU339" s="51">
        <v>0</v>
      </c>
      <c r="CV339" s="51">
        <v>0</v>
      </c>
      <c r="CW339" s="51">
        <v>0</v>
      </c>
      <c r="CX339" s="51">
        <v>0</v>
      </c>
      <c r="CY339" s="51">
        <v>0</v>
      </c>
      <c r="CZ339" s="51">
        <v>0</v>
      </c>
      <c r="DA339" s="51">
        <v>0</v>
      </c>
      <c r="DB339" s="51">
        <v>0</v>
      </c>
      <c r="DC339" s="51">
        <v>0</v>
      </c>
      <c r="DD339" s="51">
        <v>0</v>
      </c>
      <c r="DE339" s="51">
        <v>0</v>
      </c>
      <c r="DF339" s="52">
        <v>0</v>
      </c>
      <c r="DG339" s="52">
        <v>0</v>
      </c>
      <c r="DH339" s="52">
        <v>0</v>
      </c>
      <c r="DI339" s="52">
        <v>0</v>
      </c>
      <c r="DJ339" s="52">
        <v>0</v>
      </c>
      <c r="DK339" s="52">
        <v>0</v>
      </c>
      <c r="DL339" s="52">
        <v>0</v>
      </c>
      <c r="DM339" s="52">
        <v>0</v>
      </c>
      <c r="DN339" s="52">
        <v>0</v>
      </c>
      <c r="DO339" s="52">
        <v>0</v>
      </c>
      <c r="DP339" s="52">
        <v>0</v>
      </c>
      <c r="DQ339" s="52">
        <v>0</v>
      </c>
      <c r="DR339" s="52">
        <v>0</v>
      </c>
      <c r="DS339" s="53">
        <v>0</v>
      </c>
      <c r="DT339" s="53">
        <v>0</v>
      </c>
      <c r="DU339" s="53">
        <v>0</v>
      </c>
      <c r="DV339" s="53">
        <v>0</v>
      </c>
      <c r="DW339" s="53">
        <v>0</v>
      </c>
      <c r="DX339" s="2"/>
      <c r="DY339" s="2"/>
      <c r="DZ339" s="46">
        <f t="shared" si="80"/>
        <v>0</v>
      </c>
      <c r="EA339" s="46">
        <f t="shared" si="81"/>
        <v>0</v>
      </c>
      <c r="EB339" s="46">
        <f t="shared" si="82"/>
        <v>0</v>
      </c>
      <c r="EC339" s="46">
        <f t="shared" si="83"/>
        <v>0</v>
      </c>
      <c r="ED339" s="46">
        <f t="shared" si="84"/>
        <v>183</v>
      </c>
      <c r="EE339" s="46">
        <f t="shared" si="85"/>
        <v>2577</v>
      </c>
      <c r="EF339" s="46">
        <f t="shared" si="86"/>
        <v>0</v>
      </c>
      <c r="EG339" s="46">
        <f t="shared" si="87"/>
        <v>0</v>
      </c>
      <c r="EH339" s="46">
        <f t="shared" si="90"/>
        <v>0</v>
      </c>
      <c r="EI339" s="46">
        <f t="shared" si="89"/>
        <v>0</v>
      </c>
    </row>
    <row r="340" spans="3:139">
      <c r="C340" s="36" t="s">
        <v>533</v>
      </c>
      <c r="D340" s="36" t="s">
        <v>512</v>
      </c>
      <c r="E340" s="36" t="s">
        <v>516</v>
      </c>
      <c r="F340" s="38">
        <f t="shared" si="88"/>
        <v>3323</v>
      </c>
      <c r="G340" s="37" t="s">
        <v>514</v>
      </c>
      <c r="H340" s="47"/>
      <c r="I340" s="48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8"/>
      <c r="U340" s="48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8"/>
      <c r="AG340" s="48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>
        <v>330</v>
      </c>
      <c r="BP340" s="50">
        <v>320</v>
      </c>
      <c r="BQ340" s="50">
        <v>680</v>
      </c>
      <c r="BR340" s="50"/>
      <c r="BS340" s="50">
        <v>510</v>
      </c>
      <c r="BT340" s="50">
        <v>0</v>
      </c>
      <c r="BU340" s="50">
        <v>0</v>
      </c>
      <c r="BV340" s="50">
        <v>150</v>
      </c>
      <c r="BW340" s="50">
        <v>130</v>
      </c>
      <c r="BX340" s="50">
        <v>290</v>
      </c>
      <c r="BY340" s="50">
        <v>280</v>
      </c>
      <c r="BZ340" s="50">
        <v>70</v>
      </c>
      <c r="CA340" s="50">
        <v>60</v>
      </c>
      <c r="CB340" s="50">
        <v>460</v>
      </c>
      <c r="CC340" s="50">
        <v>0</v>
      </c>
      <c r="CD340" s="50">
        <v>0</v>
      </c>
      <c r="CE340" s="50">
        <v>0</v>
      </c>
      <c r="CF340" s="50">
        <v>0</v>
      </c>
      <c r="CG340" s="50"/>
      <c r="CH340" s="50">
        <v>0</v>
      </c>
      <c r="CI340" s="50">
        <v>0</v>
      </c>
      <c r="CJ340" s="50">
        <v>0</v>
      </c>
      <c r="CK340" s="50">
        <v>0</v>
      </c>
      <c r="CL340" s="50">
        <v>0</v>
      </c>
      <c r="CM340" s="50">
        <v>0</v>
      </c>
      <c r="CN340" s="51">
        <v>0</v>
      </c>
      <c r="CO340" s="51">
        <v>0</v>
      </c>
      <c r="CP340" s="51">
        <v>0</v>
      </c>
      <c r="CQ340" s="51">
        <v>0</v>
      </c>
      <c r="CR340" s="51">
        <v>0</v>
      </c>
      <c r="CS340" s="51">
        <v>0</v>
      </c>
      <c r="CT340" s="51">
        <v>0</v>
      </c>
      <c r="CU340" s="51">
        <v>0</v>
      </c>
      <c r="CV340" s="51">
        <v>0</v>
      </c>
      <c r="CW340" s="51">
        <v>0</v>
      </c>
      <c r="CX340" s="51">
        <v>0</v>
      </c>
      <c r="CY340" s="51">
        <v>0</v>
      </c>
      <c r="CZ340" s="51">
        <v>0</v>
      </c>
      <c r="DA340" s="51">
        <v>0</v>
      </c>
      <c r="DB340" s="51">
        <v>0</v>
      </c>
      <c r="DC340" s="51">
        <v>0</v>
      </c>
      <c r="DD340" s="51">
        <v>8</v>
      </c>
      <c r="DE340" s="51">
        <v>0</v>
      </c>
      <c r="DF340" s="52">
        <v>0</v>
      </c>
      <c r="DG340" s="52">
        <v>0</v>
      </c>
      <c r="DH340" s="52">
        <v>0</v>
      </c>
      <c r="DI340" s="52">
        <v>0</v>
      </c>
      <c r="DJ340" s="52">
        <v>0</v>
      </c>
      <c r="DK340" s="52">
        <v>0</v>
      </c>
      <c r="DL340" s="52">
        <v>0</v>
      </c>
      <c r="DM340" s="52">
        <v>35</v>
      </c>
      <c r="DN340" s="52">
        <v>0</v>
      </c>
      <c r="DO340" s="52">
        <v>0</v>
      </c>
      <c r="DP340" s="52">
        <v>0</v>
      </c>
      <c r="DQ340" s="52">
        <v>0</v>
      </c>
      <c r="DR340" s="52">
        <v>53</v>
      </c>
      <c r="DS340" s="53">
        <v>0</v>
      </c>
      <c r="DT340" s="53">
        <v>0</v>
      </c>
      <c r="DU340" s="53">
        <v>0</v>
      </c>
      <c r="DV340" s="53">
        <v>0</v>
      </c>
      <c r="DW340" s="53">
        <v>0</v>
      </c>
      <c r="DX340" s="2"/>
      <c r="DY340" s="2"/>
      <c r="DZ340" s="46">
        <f t="shared" si="80"/>
        <v>0</v>
      </c>
      <c r="EA340" s="46">
        <f t="shared" si="81"/>
        <v>0</v>
      </c>
      <c r="EB340" s="46">
        <f t="shared" si="82"/>
        <v>0</v>
      </c>
      <c r="EC340" s="46">
        <f t="shared" si="83"/>
        <v>0</v>
      </c>
      <c r="ED340" s="46">
        <f t="shared" si="84"/>
        <v>330</v>
      </c>
      <c r="EE340" s="46">
        <f t="shared" si="85"/>
        <v>2490</v>
      </c>
      <c r="EF340" s="46">
        <f t="shared" si="86"/>
        <v>460</v>
      </c>
      <c r="EG340" s="46">
        <f t="shared" si="87"/>
        <v>0</v>
      </c>
      <c r="EH340" s="46">
        <f t="shared" si="90"/>
        <v>8</v>
      </c>
      <c r="EI340" s="46">
        <f t="shared" si="89"/>
        <v>35</v>
      </c>
    </row>
    <row r="341" spans="3:139">
      <c r="C341" s="55" t="s">
        <v>534</v>
      </c>
      <c r="D341" s="36" t="s">
        <v>212</v>
      </c>
      <c r="E341" s="36"/>
      <c r="F341" s="38">
        <f t="shared" si="88"/>
        <v>0</v>
      </c>
      <c r="G341" s="37" t="s">
        <v>514</v>
      </c>
      <c r="H341" s="47"/>
      <c r="I341" s="48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8"/>
      <c r="U341" s="48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8"/>
      <c r="AG341" s="48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1"/>
      <c r="CO341" s="51"/>
      <c r="CP341" s="51">
        <v>0</v>
      </c>
      <c r="CQ341" s="51"/>
      <c r="CR341" s="51">
        <v>0</v>
      </c>
      <c r="CS341" s="51">
        <v>0</v>
      </c>
      <c r="CT341" s="51"/>
      <c r="CU341" s="51">
        <v>0</v>
      </c>
      <c r="CV341" s="51"/>
      <c r="CW341" s="51">
        <v>0</v>
      </c>
      <c r="CX341" s="51">
        <v>0</v>
      </c>
      <c r="CY341" s="51">
        <v>0</v>
      </c>
      <c r="CZ341" s="51">
        <v>0</v>
      </c>
      <c r="DA341" s="51">
        <v>0</v>
      </c>
      <c r="DB341" s="51"/>
      <c r="DC341" s="51">
        <v>0</v>
      </c>
      <c r="DD341" s="51">
        <v>0</v>
      </c>
      <c r="DE341" s="51">
        <v>0</v>
      </c>
      <c r="DF341" s="52">
        <v>0</v>
      </c>
      <c r="DG341" s="52">
        <v>0</v>
      </c>
      <c r="DH341" s="52">
        <v>0</v>
      </c>
      <c r="DI341" s="52">
        <v>0</v>
      </c>
      <c r="DJ341" s="52">
        <v>0</v>
      </c>
      <c r="DK341" s="52">
        <v>0</v>
      </c>
      <c r="DL341" s="52">
        <v>0</v>
      </c>
      <c r="DM341" s="52">
        <v>0</v>
      </c>
      <c r="DN341" s="52">
        <v>0</v>
      </c>
      <c r="DO341" s="52">
        <v>0</v>
      </c>
      <c r="DP341" s="52">
        <v>0</v>
      </c>
      <c r="DQ341" s="52">
        <v>0</v>
      </c>
      <c r="DR341" s="52">
        <v>0</v>
      </c>
      <c r="DS341" s="53">
        <v>0</v>
      </c>
      <c r="DT341" s="53">
        <v>0</v>
      </c>
      <c r="DU341" s="53">
        <v>0</v>
      </c>
      <c r="DV341" s="53">
        <v>0</v>
      </c>
      <c r="DW341" s="53">
        <v>0</v>
      </c>
      <c r="DX341" s="2"/>
      <c r="DY341" s="2"/>
      <c r="DZ341" s="46">
        <f t="shared" si="80"/>
        <v>0</v>
      </c>
      <c r="EA341" s="46">
        <f t="shared" si="81"/>
        <v>0</v>
      </c>
      <c r="EB341" s="46">
        <f t="shared" si="82"/>
        <v>0</v>
      </c>
      <c r="EC341" s="46">
        <f t="shared" si="83"/>
        <v>0</v>
      </c>
      <c r="ED341" s="46">
        <f t="shared" si="84"/>
        <v>0</v>
      </c>
      <c r="EE341" s="46">
        <f t="shared" si="85"/>
        <v>0</v>
      </c>
      <c r="EF341" s="46">
        <f t="shared" si="86"/>
        <v>0</v>
      </c>
      <c r="EG341" s="46">
        <f t="shared" si="87"/>
        <v>0</v>
      </c>
      <c r="EH341" s="46">
        <f t="shared" si="90"/>
        <v>0</v>
      </c>
      <c r="EI341" s="46">
        <f t="shared" si="89"/>
        <v>0</v>
      </c>
    </row>
    <row r="342" spans="3:139">
      <c r="C342" s="36" t="s">
        <v>535</v>
      </c>
      <c r="D342" s="36" t="s">
        <v>512</v>
      </c>
      <c r="E342" s="36" t="s">
        <v>516</v>
      </c>
      <c r="F342" s="38">
        <f t="shared" si="88"/>
        <v>2743</v>
      </c>
      <c r="G342" s="37" t="s">
        <v>514</v>
      </c>
      <c r="H342" s="47"/>
      <c r="I342" s="48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8"/>
      <c r="U342" s="48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8"/>
      <c r="AG342" s="48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>
        <v>960</v>
      </c>
      <c r="BN342" s="49">
        <v>120</v>
      </c>
      <c r="BO342" s="49">
        <v>100</v>
      </c>
      <c r="BP342" s="50">
        <v>0</v>
      </c>
      <c r="BQ342" s="50">
        <v>640</v>
      </c>
      <c r="BR342" s="50">
        <v>301</v>
      </c>
      <c r="BS342" s="50">
        <v>340</v>
      </c>
      <c r="BT342" s="50">
        <v>0</v>
      </c>
      <c r="BU342" s="50">
        <v>0</v>
      </c>
      <c r="BV342" s="50"/>
      <c r="BW342" s="50">
        <v>154</v>
      </c>
      <c r="BX342" s="50"/>
      <c r="BY342" s="50"/>
      <c r="BZ342" s="50">
        <v>10</v>
      </c>
      <c r="CA342" s="50">
        <v>0</v>
      </c>
      <c r="CB342" s="50">
        <v>0</v>
      </c>
      <c r="CC342" s="50">
        <v>0</v>
      </c>
      <c r="CD342" s="50">
        <v>0</v>
      </c>
      <c r="CE342" s="50">
        <v>0</v>
      </c>
      <c r="CF342" s="50">
        <v>0</v>
      </c>
      <c r="CG342" s="50"/>
      <c r="CH342" s="50">
        <v>0</v>
      </c>
      <c r="CI342" s="50">
        <v>0</v>
      </c>
      <c r="CJ342" s="50">
        <v>0</v>
      </c>
      <c r="CK342" s="50">
        <v>0</v>
      </c>
      <c r="CL342" s="50">
        <v>0</v>
      </c>
      <c r="CM342" s="50">
        <v>7</v>
      </c>
      <c r="CN342" s="51">
        <v>1</v>
      </c>
      <c r="CO342" s="51">
        <v>0</v>
      </c>
      <c r="CP342" s="51">
        <v>29</v>
      </c>
      <c r="CQ342" s="51">
        <v>0</v>
      </c>
      <c r="CR342" s="51">
        <v>0</v>
      </c>
      <c r="CS342" s="51">
        <v>0</v>
      </c>
      <c r="CT342" s="51">
        <v>0</v>
      </c>
      <c r="CU342" s="51">
        <v>0</v>
      </c>
      <c r="CV342" s="51">
        <v>0</v>
      </c>
      <c r="CW342" s="51">
        <v>0</v>
      </c>
      <c r="CX342" s="51">
        <v>0</v>
      </c>
      <c r="CY342" s="51">
        <v>0</v>
      </c>
      <c r="CZ342" s="51">
        <v>0</v>
      </c>
      <c r="DA342" s="51">
        <v>0</v>
      </c>
      <c r="DB342" s="51">
        <v>15</v>
      </c>
      <c r="DC342" s="51">
        <v>0</v>
      </c>
      <c r="DD342" s="51">
        <v>0</v>
      </c>
      <c r="DE342" s="51">
        <v>0</v>
      </c>
      <c r="DF342" s="52">
        <v>0</v>
      </c>
      <c r="DG342" s="52">
        <v>20</v>
      </c>
      <c r="DH342" s="52">
        <v>1</v>
      </c>
      <c r="DI342" s="52">
        <v>0</v>
      </c>
      <c r="DJ342" s="52">
        <v>0</v>
      </c>
      <c r="DK342" s="52">
        <v>0</v>
      </c>
      <c r="DL342" s="52">
        <v>0</v>
      </c>
      <c r="DM342" s="52">
        <v>2</v>
      </c>
      <c r="DN342" s="52">
        <v>0</v>
      </c>
      <c r="DO342" s="52">
        <v>38</v>
      </c>
      <c r="DP342" s="52">
        <v>0</v>
      </c>
      <c r="DQ342" s="52">
        <v>5</v>
      </c>
      <c r="DR342" s="52">
        <v>0</v>
      </c>
      <c r="DS342" s="53">
        <v>0</v>
      </c>
      <c r="DT342" s="53">
        <v>0</v>
      </c>
      <c r="DU342" s="53">
        <v>0</v>
      </c>
      <c r="DV342" s="53">
        <v>0</v>
      </c>
      <c r="DW342" s="53">
        <v>0</v>
      </c>
      <c r="DX342" s="2"/>
      <c r="DY342" s="2"/>
      <c r="DZ342" s="46">
        <f t="shared" si="80"/>
        <v>0</v>
      </c>
      <c r="EA342" s="46">
        <f t="shared" si="81"/>
        <v>0</v>
      </c>
      <c r="EB342" s="46">
        <f t="shared" si="82"/>
        <v>0</v>
      </c>
      <c r="EC342" s="46">
        <f t="shared" si="83"/>
        <v>0</v>
      </c>
      <c r="ED342" s="46">
        <f t="shared" si="84"/>
        <v>1180</v>
      </c>
      <c r="EE342" s="46">
        <f t="shared" si="85"/>
        <v>1445</v>
      </c>
      <c r="EF342" s="46">
        <f t="shared" si="86"/>
        <v>7</v>
      </c>
      <c r="EG342" s="46">
        <f t="shared" si="87"/>
        <v>30</v>
      </c>
      <c r="EH342" s="46">
        <f t="shared" si="90"/>
        <v>36</v>
      </c>
      <c r="EI342" s="46">
        <f t="shared" si="89"/>
        <v>40</v>
      </c>
    </row>
    <row r="343" spans="3:139">
      <c r="C343" s="36" t="s">
        <v>536</v>
      </c>
      <c r="D343" s="36" t="s">
        <v>512</v>
      </c>
      <c r="E343" s="36" t="s">
        <v>516</v>
      </c>
      <c r="F343" s="38">
        <f t="shared" si="88"/>
        <v>27369</v>
      </c>
      <c r="G343" s="37" t="s">
        <v>514</v>
      </c>
      <c r="H343" s="47"/>
      <c r="I343" s="48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8"/>
      <c r="U343" s="48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8"/>
      <c r="AG343" s="48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>
        <v>0</v>
      </c>
      <c r="BO343" s="49"/>
      <c r="BP343" s="50">
        <v>0</v>
      </c>
      <c r="BQ343" s="50">
        <v>0</v>
      </c>
      <c r="BR343" s="50">
        <v>8041</v>
      </c>
      <c r="BS343" s="50">
        <v>6840</v>
      </c>
      <c r="BT343" s="50">
        <v>7040</v>
      </c>
      <c r="BU343" s="50">
        <v>0</v>
      </c>
      <c r="BV343" s="50"/>
      <c r="BW343" s="50">
        <v>4306</v>
      </c>
      <c r="BX343" s="50">
        <v>630</v>
      </c>
      <c r="BY343" s="50"/>
      <c r="BZ343" s="50">
        <v>30</v>
      </c>
      <c r="CA343" s="50">
        <v>17</v>
      </c>
      <c r="CB343" s="50">
        <v>25</v>
      </c>
      <c r="CC343" s="50">
        <v>20</v>
      </c>
      <c r="CD343" s="50">
        <v>0</v>
      </c>
      <c r="CE343" s="50">
        <v>40</v>
      </c>
      <c r="CF343" s="50">
        <v>18</v>
      </c>
      <c r="CG343" s="50">
        <v>59</v>
      </c>
      <c r="CH343" s="50">
        <v>0</v>
      </c>
      <c r="CI343" s="50">
        <v>50</v>
      </c>
      <c r="CJ343" s="50">
        <v>0</v>
      </c>
      <c r="CK343" s="50">
        <v>0</v>
      </c>
      <c r="CL343" s="50">
        <v>0</v>
      </c>
      <c r="CM343" s="50">
        <v>42</v>
      </c>
      <c r="CN343" s="51">
        <v>8</v>
      </c>
      <c r="CO343" s="51">
        <v>0</v>
      </c>
      <c r="CP343" s="51">
        <v>0</v>
      </c>
      <c r="CQ343" s="51">
        <v>0</v>
      </c>
      <c r="CR343" s="51">
        <v>40</v>
      </c>
      <c r="CS343" s="51">
        <v>0</v>
      </c>
      <c r="CT343" s="51">
        <v>0</v>
      </c>
      <c r="CU343" s="51">
        <v>0</v>
      </c>
      <c r="CV343" s="51">
        <v>0</v>
      </c>
      <c r="CW343" s="51">
        <v>0</v>
      </c>
      <c r="CX343" s="51">
        <v>0</v>
      </c>
      <c r="CY343" s="51">
        <v>0</v>
      </c>
      <c r="CZ343" s="51">
        <v>0</v>
      </c>
      <c r="DA343" s="51">
        <v>0</v>
      </c>
      <c r="DB343" s="51">
        <v>69</v>
      </c>
      <c r="DC343" s="51">
        <v>0</v>
      </c>
      <c r="DD343" s="51">
        <v>1</v>
      </c>
      <c r="DE343" s="51">
        <v>0</v>
      </c>
      <c r="DF343" s="52">
        <v>0</v>
      </c>
      <c r="DG343" s="52">
        <v>0</v>
      </c>
      <c r="DH343" s="52">
        <v>0</v>
      </c>
      <c r="DI343" s="52">
        <v>0</v>
      </c>
      <c r="DJ343" s="52">
        <v>0</v>
      </c>
      <c r="DK343" s="52">
        <v>0</v>
      </c>
      <c r="DL343" s="52">
        <v>0</v>
      </c>
      <c r="DM343" s="52">
        <v>2</v>
      </c>
      <c r="DN343" s="52">
        <v>17</v>
      </c>
      <c r="DO343" s="52">
        <v>72</v>
      </c>
      <c r="DP343" s="52">
        <v>0</v>
      </c>
      <c r="DQ343" s="52">
        <v>2</v>
      </c>
      <c r="DR343" s="52">
        <v>46</v>
      </c>
      <c r="DS343" s="53">
        <v>0</v>
      </c>
      <c r="DT343" s="53">
        <v>0</v>
      </c>
      <c r="DU343" s="53">
        <v>0</v>
      </c>
      <c r="DV343" s="53">
        <v>0</v>
      </c>
      <c r="DW343" s="53">
        <v>0</v>
      </c>
      <c r="DX343" s="2"/>
      <c r="DY343" s="2"/>
      <c r="DZ343" s="46">
        <f t="shared" si="80"/>
        <v>0</v>
      </c>
      <c r="EA343" s="46">
        <f t="shared" si="81"/>
        <v>0</v>
      </c>
      <c r="EB343" s="46">
        <f t="shared" si="82"/>
        <v>0</v>
      </c>
      <c r="EC343" s="46">
        <f t="shared" si="83"/>
        <v>0</v>
      </c>
      <c r="ED343" s="46">
        <f t="shared" si="84"/>
        <v>0</v>
      </c>
      <c r="EE343" s="46">
        <f t="shared" si="85"/>
        <v>26904</v>
      </c>
      <c r="EF343" s="46">
        <f t="shared" si="86"/>
        <v>254</v>
      </c>
      <c r="EG343" s="46">
        <f t="shared" si="87"/>
        <v>48</v>
      </c>
      <c r="EH343" s="46">
        <f t="shared" si="90"/>
        <v>70</v>
      </c>
      <c r="EI343" s="46">
        <f t="shared" si="89"/>
        <v>91</v>
      </c>
    </row>
    <row r="344" spans="3:139">
      <c r="C344" s="36" t="s">
        <v>537</v>
      </c>
      <c r="D344" s="36" t="s">
        <v>512</v>
      </c>
      <c r="E344" s="36" t="s">
        <v>516</v>
      </c>
      <c r="F344" s="38">
        <f t="shared" si="88"/>
        <v>25</v>
      </c>
      <c r="G344" s="37" t="s">
        <v>514</v>
      </c>
      <c r="H344" s="47"/>
      <c r="I344" s="48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8"/>
      <c r="U344" s="48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8"/>
      <c r="AG344" s="48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>
        <v>20</v>
      </c>
      <c r="BO344" s="49"/>
      <c r="BP344" s="50">
        <v>0</v>
      </c>
      <c r="BQ344" s="50">
        <v>0</v>
      </c>
      <c r="BR344" s="50">
        <v>0</v>
      </c>
      <c r="BS344" s="50">
        <v>0</v>
      </c>
      <c r="BT344" s="50">
        <v>0</v>
      </c>
      <c r="BU344" s="50">
        <v>0</v>
      </c>
      <c r="BV344" s="50"/>
      <c r="BW344" s="50">
        <v>5</v>
      </c>
      <c r="BX344" s="50"/>
      <c r="BY344" s="50"/>
      <c r="BZ344" s="50"/>
      <c r="CA344" s="50">
        <v>0</v>
      </c>
      <c r="CB344" s="50">
        <v>0</v>
      </c>
      <c r="CC344" s="50">
        <v>0</v>
      </c>
      <c r="CD344" s="50">
        <v>0</v>
      </c>
      <c r="CE344" s="50">
        <v>0</v>
      </c>
      <c r="CF344" s="50">
        <v>0</v>
      </c>
      <c r="CG344" s="50"/>
      <c r="CH344" s="50">
        <v>0</v>
      </c>
      <c r="CI344" s="50">
        <v>0</v>
      </c>
      <c r="CJ344" s="50">
        <v>0</v>
      </c>
      <c r="CK344" s="50">
        <v>0</v>
      </c>
      <c r="CL344" s="50">
        <v>0</v>
      </c>
      <c r="CM344" s="50">
        <v>0</v>
      </c>
      <c r="CN344" s="51">
        <v>0</v>
      </c>
      <c r="CO344" s="51">
        <v>0</v>
      </c>
      <c r="CP344" s="51">
        <v>0</v>
      </c>
      <c r="CQ344" s="51">
        <v>0</v>
      </c>
      <c r="CR344" s="51">
        <v>0</v>
      </c>
      <c r="CS344" s="51">
        <v>0</v>
      </c>
      <c r="CT344" s="51">
        <v>0</v>
      </c>
      <c r="CU344" s="51">
        <v>0</v>
      </c>
      <c r="CV344" s="51">
        <v>0</v>
      </c>
      <c r="CW344" s="51">
        <v>0</v>
      </c>
      <c r="CX344" s="51">
        <v>0</v>
      </c>
      <c r="CY344" s="51">
        <v>0</v>
      </c>
      <c r="CZ344" s="51">
        <v>0</v>
      </c>
      <c r="DA344" s="51">
        <v>0</v>
      </c>
      <c r="DB344" s="51">
        <v>0</v>
      </c>
      <c r="DC344" s="51">
        <v>0</v>
      </c>
      <c r="DD344" s="51">
        <v>0</v>
      </c>
      <c r="DE344" s="51">
        <v>0</v>
      </c>
      <c r="DF344" s="52">
        <v>0</v>
      </c>
      <c r="DG344" s="52">
        <v>0</v>
      </c>
      <c r="DH344" s="52">
        <v>0</v>
      </c>
      <c r="DI344" s="52">
        <v>0</v>
      </c>
      <c r="DJ344" s="52">
        <v>0</v>
      </c>
      <c r="DK344" s="52">
        <v>0</v>
      </c>
      <c r="DL344" s="52">
        <v>0</v>
      </c>
      <c r="DM344" s="52">
        <v>0</v>
      </c>
      <c r="DN344" s="52">
        <v>0</v>
      </c>
      <c r="DO344" s="52">
        <v>0</v>
      </c>
      <c r="DP344" s="52">
        <v>0</v>
      </c>
      <c r="DQ344" s="52">
        <v>0</v>
      </c>
      <c r="DR344" s="52">
        <v>0</v>
      </c>
      <c r="DS344" s="53">
        <v>0</v>
      </c>
      <c r="DT344" s="53">
        <v>0</v>
      </c>
      <c r="DU344" s="53">
        <v>0</v>
      </c>
      <c r="DV344" s="53">
        <v>0</v>
      </c>
      <c r="DW344" s="53">
        <v>0</v>
      </c>
      <c r="DX344" s="2"/>
      <c r="DY344" s="2"/>
      <c r="DZ344" s="46">
        <f t="shared" si="80"/>
        <v>0</v>
      </c>
      <c r="EA344" s="46">
        <f t="shared" si="81"/>
        <v>0</v>
      </c>
      <c r="EB344" s="46">
        <f t="shared" si="82"/>
        <v>0</v>
      </c>
      <c r="EC344" s="46">
        <f t="shared" si="83"/>
        <v>0</v>
      </c>
      <c r="ED344" s="46">
        <f t="shared" si="84"/>
        <v>20</v>
      </c>
      <c r="EE344" s="46">
        <f t="shared" si="85"/>
        <v>5</v>
      </c>
      <c r="EF344" s="46">
        <f t="shared" si="86"/>
        <v>0</v>
      </c>
      <c r="EG344" s="46">
        <f t="shared" si="87"/>
        <v>0</v>
      </c>
      <c r="EH344" s="46">
        <f t="shared" si="90"/>
        <v>0</v>
      </c>
      <c r="EI344" s="46">
        <f t="shared" si="89"/>
        <v>0</v>
      </c>
    </row>
    <row r="345" spans="3:139">
      <c r="C345" s="36" t="s">
        <v>538</v>
      </c>
      <c r="D345" s="36" t="s">
        <v>512</v>
      </c>
      <c r="E345" s="36" t="s">
        <v>516</v>
      </c>
      <c r="F345" s="38">
        <f t="shared" si="88"/>
        <v>6113</v>
      </c>
      <c r="G345" s="37" t="s">
        <v>514</v>
      </c>
      <c r="H345" s="47"/>
      <c r="I345" s="48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8"/>
      <c r="U345" s="48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8"/>
      <c r="AG345" s="48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>
        <v>0</v>
      </c>
      <c r="BO345" s="49"/>
      <c r="BP345" s="50">
        <v>10</v>
      </c>
      <c r="BQ345" s="50">
        <v>130</v>
      </c>
      <c r="BR345" s="50">
        <v>681</v>
      </c>
      <c r="BS345" s="50">
        <v>160</v>
      </c>
      <c r="BT345" s="50">
        <v>0</v>
      </c>
      <c r="BU345" s="50">
        <v>1020</v>
      </c>
      <c r="BV345" s="50">
        <v>200</v>
      </c>
      <c r="BW345" s="50">
        <v>98</v>
      </c>
      <c r="BX345" s="50">
        <v>700</v>
      </c>
      <c r="BY345" s="50">
        <v>400</v>
      </c>
      <c r="BZ345" s="50">
        <v>310</v>
      </c>
      <c r="CA345" s="50">
        <v>10</v>
      </c>
      <c r="CB345" s="50">
        <v>240</v>
      </c>
      <c r="CC345" s="50">
        <v>0</v>
      </c>
      <c r="CD345" s="50">
        <v>150</v>
      </c>
      <c r="CE345" s="50">
        <v>0</v>
      </c>
      <c r="CF345" s="50">
        <v>107</v>
      </c>
      <c r="CG345" s="50"/>
      <c r="CH345" s="50">
        <v>178</v>
      </c>
      <c r="CI345" s="50">
        <v>375</v>
      </c>
      <c r="CJ345" s="50">
        <v>207</v>
      </c>
      <c r="CK345" s="50">
        <v>716</v>
      </c>
      <c r="CL345" s="50">
        <v>-9</v>
      </c>
      <c r="CM345" s="50">
        <v>288</v>
      </c>
      <c r="CN345" s="51">
        <v>9</v>
      </c>
      <c r="CO345" s="51">
        <v>0</v>
      </c>
      <c r="CP345" s="51">
        <v>69</v>
      </c>
      <c r="CQ345" s="51">
        <v>0</v>
      </c>
      <c r="CR345" s="51">
        <v>0</v>
      </c>
      <c r="CS345" s="51">
        <v>0</v>
      </c>
      <c r="CT345" s="51">
        <v>0</v>
      </c>
      <c r="CU345" s="51">
        <v>0</v>
      </c>
      <c r="CV345" s="51">
        <v>0</v>
      </c>
      <c r="CW345" s="51">
        <v>0</v>
      </c>
      <c r="CX345" s="51">
        <v>0</v>
      </c>
      <c r="CY345" s="51">
        <v>0</v>
      </c>
      <c r="CZ345" s="51">
        <v>0</v>
      </c>
      <c r="DA345" s="51">
        <v>0</v>
      </c>
      <c r="DB345" s="51">
        <v>0</v>
      </c>
      <c r="DC345" s="51">
        <v>24</v>
      </c>
      <c r="DD345" s="51">
        <v>0</v>
      </c>
      <c r="DE345" s="51">
        <v>0</v>
      </c>
      <c r="DF345" s="52">
        <v>0</v>
      </c>
      <c r="DG345" s="52">
        <v>0</v>
      </c>
      <c r="DH345" s="52">
        <v>0</v>
      </c>
      <c r="DI345" s="52">
        <v>0</v>
      </c>
      <c r="DJ345" s="52">
        <v>0</v>
      </c>
      <c r="DK345" s="52">
        <v>0</v>
      </c>
      <c r="DL345" s="52">
        <v>0</v>
      </c>
      <c r="DM345" s="52">
        <v>0</v>
      </c>
      <c r="DN345" s="52">
        <v>30</v>
      </c>
      <c r="DO345" s="52">
        <v>10</v>
      </c>
      <c r="DP345" s="52">
        <v>0</v>
      </c>
      <c r="DQ345" s="52">
        <v>0</v>
      </c>
      <c r="DR345" s="52">
        <v>0</v>
      </c>
      <c r="DS345" s="53">
        <v>0</v>
      </c>
      <c r="DT345" s="53">
        <v>0</v>
      </c>
      <c r="DU345" s="53">
        <v>0</v>
      </c>
      <c r="DV345" s="53">
        <v>0</v>
      </c>
      <c r="DW345" s="53">
        <v>0</v>
      </c>
      <c r="DX345" s="2"/>
      <c r="DY345" s="2"/>
      <c r="DZ345" s="46">
        <f t="shared" si="80"/>
        <v>0</v>
      </c>
      <c r="EA345" s="46">
        <f t="shared" si="81"/>
        <v>0</v>
      </c>
      <c r="EB345" s="46">
        <f t="shared" si="82"/>
        <v>0</v>
      </c>
      <c r="EC345" s="46">
        <f t="shared" si="83"/>
        <v>0</v>
      </c>
      <c r="ED345" s="46">
        <f t="shared" si="84"/>
        <v>0</v>
      </c>
      <c r="EE345" s="46">
        <f t="shared" si="85"/>
        <v>3719</v>
      </c>
      <c r="EF345" s="46">
        <f t="shared" si="86"/>
        <v>2252</v>
      </c>
      <c r="EG345" s="46">
        <f t="shared" si="87"/>
        <v>78</v>
      </c>
      <c r="EH345" s="46">
        <f t="shared" si="90"/>
        <v>24</v>
      </c>
      <c r="EI345" s="46">
        <f t="shared" si="89"/>
        <v>40</v>
      </c>
    </row>
    <row r="346" spans="3:139">
      <c r="C346" s="36" t="s">
        <v>539</v>
      </c>
      <c r="D346" s="36" t="s">
        <v>512</v>
      </c>
      <c r="E346" s="36" t="s">
        <v>516</v>
      </c>
      <c r="F346" s="38">
        <f t="shared" si="88"/>
        <v>1513</v>
      </c>
      <c r="G346" s="37" t="s">
        <v>514</v>
      </c>
      <c r="H346" s="47"/>
      <c r="I346" s="48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8"/>
      <c r="U346" s="48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8"/>
      <c r="AG346" s="48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>
        <v>0</v>
      </c>
      <c r="BO346" s="49"/>
      <c r="BP346" s="50">
        <v>10</v>
      </c>
      <c r="BQ346" s="50">
        <v>310</v>
      </c>
      <c r="BR346" s="50">
        <v>401</v>
      </c>
      <c r="BS346" s="50">
        <v>0</v>
      </c>
      <c r="BT346" s="50">
        <v>0</v>
      </c>
      <c r="BU346" s="50">
        <v>0</v>
      </c>
      <c r="BV346" s="50">
        <v>200</v>
      </c>
      <c r="BW346" s="50">
        <v>136</v>
      </c>
      <c r="BX346" s="50"/>
      <c r="BY346" s="50">
        <v>240</v>
      </c>
      <c r="BZ346" s="50"/>
      <c r="CA346" s="50">
        <v>0</v>
      </c>
      <c r="CB346" s="50">
        <v>100</v>
      </c>
      <c r="CC346" s="50">
        <v>0</v>
      </c>
      <c r="CD346" s="50">
        <v>0</v>
      </c>
      <c r="CE346" s="50">
        <v>0</v>
      </c>
      <c r="CF346" s="50">
        <v>0</v>
      </c>
      <c r="CG346" s="50"/>
      <c r="CH346" s="50">
        <v>100</v>
      </c>
      <c r="CI346" s="50">
        <v>-1</v>
      </c>
      <c r="CJ346" s="50">
        <v>1</v>
      </c>
      <c r="CK346" s="50">
        <v>-8</v>
      </c>
      <c r="CL346" s="50">
        <v>-1</v>
      </c>
      <c r="CM346" s="50">
        <v>0</v>
      </c>
      <c r="CN346" s="51">
        <v>0</v>
      </c>
      <c r="CO346" s="51">
        <v>0</v>
      </c>
      <c r="CP346" s="51">
        <v>0</v>
      </c>
      <c r="CQ346" s="51">
        <v>-1</v>
      </c>
      <c r="CR346" s="51">
        <v>-1</v>
      </c>
      <c r="CS346" s="51">
        <v>0</v>
      </c>
      <c r="CT346" s="51">
        <v>0</v>
      </c>
      <c r="CU346" s="51">
        <v>0</v>
      </c>
      <c r="CV346" s="51">
        <v>0</v>
      </c>
      <c r="CW346" s="51">
        <v>0</v>
      </c>
      <c r="CX346" s="51">
        <v>0</v>
      </c>
      <c r="CY346" s="51">
        <v>0</v>
      </c>
      <c r="CZ346" s="51">
        <v>0</v>
      </c>
      <c r="DA346" s="51">
        <v>0</v>
      </c>
      <c r="DB346" s="51">
        <v>0</v>
      </c>
      <c r="DC346" s="51">
        <v>0</v>
      </c>
      <c r="DD346" s="51">
        <v>0</v>
      </c>
      <c r="DE346" s="51">
        <v>0</v>
      </c>
      <c r="DF346" s="52">
        <v>0</v>
      </c>
      <c r="DG346" s="52">
        <v>0</v>
      </c>
      <c r="DH346" s="52">
        <v>0</v>
      </c>
      <c r="DI346" s="52">
        <v>0</v>
      </c>
      <c r="DJ346" s="52">
        <v>0</v>
      </c>
      <c r="DK346" s="52">
        <v>0</v>
      </c>
      <c r="DL346" s="52">
        <v>0</v>
      </c>
      <c r="DM346" s="52">
        <v>0</v>
      </c>
      <c r="DN346" s="52">
        <v>0</v>
      </c>
      <c r="DO346" s="52">
        <v>26</v>
      </c>
      <c r="DP346" s="52">
        <v>0</v>
      </c>
      <c r="DQ346" s="52">
        <v>1</v>
      </c>
      <c r="DR346" s="52">
        <v>0</v>
      </c>
      <c r="DS346" s="53">
        <v>0</v>
      </c>
      <c r="DT346" s="53">
        <v>0</v>
      </c>
      <c r="DU346" s="53">
        <v>0</v>
      </c>
      <c r="DV346" s="53">
        <v>0</v>
      </c>
      <c r="DW346" s="53">
        <v>0</v>
      </c>
      <c r="DX346" s="2"/>
      <c r="DY346" s="2"/>
      <c r="DZ346" s="46">
        <f t="shared" si="80"/>
        <v>0</v>
      </c>
      <c r="EA346" s="46">
        <f t="shared" si="81"/>
        <v>0</v>
      </c>
      <c r="EB346" s="46">
        <f t="shared" si="82"/>
        <v>0</v>
      </c>
      <c r="EC346" s="46">
        <f t="shared" si="83"/>
        <v>0</v>
      </c>
      <c r="ED346" s="46">
        <f t="shared" si="84"/>
        <v>0</v>
      </c>
      <c r="EE346" s="46">
        <f t="shared" si="85"/>
        <v>1297</v>
      </c>
      <c r="EF346" s="46">
        <f t="shared" si="86"/>
        <v>191</v>
      </c>
      <c r="EG346" s="46">
        <f t="shared" si="87"/>
        <v>-2</v>
      </c>
      <c r="EH346" s="46">
        <f t="shared" si="90"/>
        <v>0</v>
      </c>
      <c r="EI346" s="46">
        <f t="shared" si="89"/>
        <v>26</v>
      </c>
    </row>
    <row r="347" spans="3:139">
      <c r="C347" s="36" t="s">
        <v>540</v>
      </c>
      <c r="D347" s="36" t="s">
        <v>512</v>
      </c>
      <c r="E347" s="36" t="s">
        <v>513</v>
      </c>
      <c r="F347" s="38">
        <f t="shared" si="88"/>
        <v>540</v>
      </c>
      <c r="G347" s="37" t="s">
        <v>514</v>
      </c>
      <c r="H347" s="47"/>
      <c r="I347" s="48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8"/>
      <c r="U347" s="48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8"/>
      <c r="AG347" s="48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>
        <v>20</v>
      </c>
      <c r="BO347" s="49">
        <v>340</v>
      </c>
      <c r="BP347" s="50">
        <v>0</v>
      </c>
      <c r="BQ347" s="50">
        <v>0</v>
      </c>
      <c r="BR347" s="50">
        <v>101</v>
      </c>
      <c r="BS347" s="50">
        <v>-2</v>
      </c>
      <c r="BT347" s="50">
        <v>0</v>
      </c>
      <c r="BU347" s="50">
        <v>0</v>
      </c>
      <c r="BV347" s="50"/>
      <c r="BW347" s="50">
        <v>81</v>
      </c>
      <c r="BX347" s="50"/>
      <c r="BY347" s="50"/>
      <c r="BZ347" s="50"/>
      <c r="CA347" s="50">
        <v>0</v>
      </c>
      <c r="CB347" s="50">
        <v>0</v>
      </c>
      <c r="CC347" s="50">
        <v>0</v>
      </c>
      <c r="CD347" s="50">
        <v>0</v>
      </c>
      <c r="CE347" s="50">
        <v>0</v>
      </c>
      <c r="CF347" s="50">
        <v>0</v>
      </c>
      <c r="CG347" s="50"/>
      <c r="CH347" s="50">
        <v>0</v>
      </c>
      <c r="CI347" s="50">
        <v>0</v>
      </c>
      <c r="CJ347" s="50">
        <v>0</v>
      </c>
      <c r="CK347" s="50">
        <v>0</v>
      </c>
      <c r="CL347" s="50">
        <v>0</v>
      </c>
      <c r="CM347" s="50">
        <v>0</v>
      </c>
      <c r="CN347" s="51">
        <v>0</v>
      </c>
      <c r="CO347" s="51">
        <v>0</v>
      </c>
      <c r="CP347" s="51">
        <v>0</v>
      </c>
      <c r="CQ347" s="51">
        <v>0</v>
      </c>
      <c r="CR347" s="51">
        <v>0</v>
      </c>
      <c r="CS347" s="51">
        <v>0</v>
      </c>
      <c r="CT347" s="51">
        <v>0</v>
      </c>
      <c r="CU347" s="51">
        <v>0</v>
      </c>
      <c r="CV347" s="51">
        <v>0</v>
      </c>
      <c r="CW347" s="51">
        <v>0</v>
      </c>
      <c r="CX347" s="51">
        <v>0</v>
      </c>
      <c r="CY347" s="51">
        <v>0</v>
      </c>
      <c r="CZ347" s="51">
        <v>0</v>
      </c>
      <c r="DA347" s="51">
        <v>0</v>
      </c>
      <c r="DB347" s="51">
        <v>0</v>
      </c>
      <c r="DC347" s="51">
        <v>0</v>
      </c>
      <c r="DD347" s="51">
        <v>0</v>
      </c>
      <c r="DE347" s="51">
        <v>0</v>
      </c>
      <c r="DF347" s="52">
        <v>0</v>
      </c>
      <c r="DG347" s="52">
        <v>0</v>
      </c>
      <c r="DH347" s="52">
        <v>0</v>
      </c>
      <c r="DI347" s="52">
        <v>0</v>
      </c>
      <c r="DJ347" s="52">
        <v>0</v>
      </c>
      <c r="DK347" s="52">
        <v>0</v>
      </c>
      <c r="DL347" s="52">
        <v>0</v>
      </c>
      <c r="DM347" s="52">
        <v>0</v>
      </c>
      <c r="DN347" s="52">
        <v>0</v>
      </c>
      <c r="DO347" s="52">
        <v>0</v>
      </c>
      <c r="DP347" s="52">
        <v>0</v>
      </c>
      <c r="DQ347" s="52">
        <v>0</v>
      </c>
      <c r="DR347" s="52">
        <v>0</v>
      </c>
      <c r="DS347" s="53">
        <v>0</v>
      </c>
      <c r="DT347" s="53">
        <v>0</v>
      </c>
      <c r="DU347" s="53">
        <v>0</v>
      </c>
      <c r="DV347" s="53">
        <v>0</v>
      </c>
      <c r="DW347" s="53">
        <v>0</v>
      </c>
      <c r="DX347" s="2"/>
      <c r="DY347" s="2"/>
      <c r="DZ347" s="46">
        <f t="shared" si="80"/>
        <v>0</v>
      </c>
      <c r="EA347" s="46">
        <f t="shared" si="81"/>
        <v>0</v>
      </c>
      <c r="EB347" s="46">
        <f t="shared" si="82"/>
        <v>0</v>
      </c>
      <c r="EC347" s="46">
        <f t="shared" si="83"/>
        <v>0</v>
      </c>
      <c r="ED347" s="46">
        <f t="shared" si="84"/>
        <v>360</v>
      </c>
      <c r="EE347" s="46">
        <f t="shared" si="85"/>
        <v>180</v>
      </c>
      <c r="EF347" s="46">
        <f t="shared" si="86"/>
        <v>0</v>
      </c>
      <c r="EG347" s="46">
        <f t="shared" si="87"/>
        <v>0</v>
      </c>
      <c r="EH347" s="46">
        <f t="shared" si="90"/>
        <v>0</v>
      </c>
      <c r="EI347" s="46">
        <f t="shared" si="89"/>
        <v>0</v>
      </c>
    </row>
    <row r="348" spans="3:139">
      <c r="C348" s="36" t="s">
        <v>541</v>
      </c>
      <c r="D348" s="36" t="s">
        <v>212</v>
      </c>
      <c r="E348" s="36"/>
      <c r="F348" s="38">
        <f t="shared" si="88"/>
        <v>0</v>
      </c>
      <c r="G348" s="37" t="s">
        <v>514</v>
      </c>
      <c r="H348" s="47"/>
      <c r="I348" s="48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8"/>
      <c r="U348" s="48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8"/>
      <c r="AG348" s="48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>
        <v>0</v>
      </c>
      <c r="BO348" s="49"/>
      <c r="BP348" s="50">
        <v>0</v>
      </c>
      <c r="BQ348" s="50">
        <v>0</v>
      </c>
      <c r="BR348" s="50"/>
      <c r="BS348" s="50">
        <v>0</v>
      </c>
      <c r="BT348" s="50">
        <v>0</v>
      </c>
      <c r="BU348" s="50">
        <v>0</v>
      </c>
      <c r="BV348" s="50"/>
      <c r="BW348" s="50">
        <v>0</v>
      </c>
      <c r="BX348" s="50"/>
      <c r="BY348" s="50"/>
      <c r="BZ348" s="50"/>
      <c r="CA348" s="50">
        <v>0</v>
      </c>
      <c r="CB348" s="50">
        <v>0</v>
      </c>
      <c r="CC348" s="50">
        <v>0</v>
      </c>
      <c r="CD348" s="50">
        <v>0</v>
      </c>
      <c r="CE348" s="50">
        <v>0</v>
      </c>
      <c r="CF348" s="50">
        <v>0</v>
      </c>
      <c r="CG348" s="50"/>
      <c r="CH348" s="50">
        <v>0</v>
      </c>
      <c r="CI348" s="50">
        <v>0</v>
      </c>
      <c r="CJ348" s="50">
        <v>0</v>
      </c>
      <c r="CK348" s="50">
        <v>0</v>
      </c>
      <c r="CL348" s="50">
        <v>0</v>
      </c>
      <c r="CM348" s="50">
        <v>0</v>
      </c>
      <c r="CN348" s="51">
        <v>0</v>
      </c>
      <c r="CO348" s="51">
        <v>0</v>
      </c>
      <c r="CP348" s="51">
        <v>0</v>
      </c>
      <c r="CQ348" s="51"/>
      <c r="CR348" s="51">
        <v>0</v>
      </c>
      <c r="CS348" s="51">
        <v>0</v>
      </c>
      <c r="CT348" s="51"/>
      <c r="CU348" s="51">
        <v>0</v>
      </c>
      <c r="CV348" s="51"/>
      <c r="CW348" s="51">
        <v>0</v>
      </c>
      <c r="CX348" s="51">
        <v>0</v>
      </c>
      <c r="CY348" s="51">
        <v>0</v>
      </c>
      <c r="CZ348" s="51">
        <v>0</v>
      </c>
      <c r="DA348" s="51">
        <v>0</v>
      </c>
      <c r="DB348" s="51"/>
      <c r="DC348" s="51">
        <v>0</v>
      </c>
      <c r="DD348" s="51">
        <v>0</v>
      </c>
      <c r="DE348" s="51">
        <v>0</v>
      </c>
      <c r="DF348" s="52">
        <v>0</v>
      </c>
      <c r="DG348" s="52">
        <v>0</v>
      </c>
      <c r="DH348" s="52">
        <v>0</v>
      </c>
      <c r="DI348" s="52">
        <v>0</v>
      </c>
      <c r="DJ348" s="52">
        <v>0</v>
      </c>
      <c r="DK348" s="52">
        <v>0</v>
      </c>
      <c r="DL348" s="52">
        <v>0</v>
      </c>
      <c r="DM348" s="52">
        <v>0</v>
      </c>
      <c r="DN348" s="52">
        <v>0</v>
      </c>
      <c r="DO348" s="52">
        <v>0</v>
      </c>
      <c r="DP348" s="52">
        <v>0</v>
      </c>
      <c r="DQ348" s="52">
        <v>0</v>
      </c>
      <c r="DR348" s="52">
        <v>0</v>
      </c>
      <c r="DS348" s="53">
        <v>0</v>
      </c>
      <c r="DT348" s="53">
        <v>0</v>
      </c>
      <c r="DU348" s="53">
        <v>0</v>
      </c>
      <c r="DV348" s="53">
        <v>0</v>
      </c>
      <c r="DW348" s="53">
        <v>0</v>
      </c>
      <c r="DX348" s="2"/>
      <c r="DY348" s="2"/>
      <c r="DZ348" s="46">
        <f t="shared" si="80"/>
        <v>0</v>
      </c>
      <c r="EA348" s="46">
        <f t="shared" si="81"/>
        <v>0</v>
      </c>
      <c r="EB348" s="46">
        <f t="shared" si="82"/>
        <v>0</v>
      </c>
      <c r="EC348" s="46">
        <f t="shared" si="83"/>
        <v>0</v>
      </c>
      <c r="ED348" s="46">
        <f t="shared" si="84"/>
        <v>0</v>
      </c>
      <c r="EE348" s="46">
        <f t="shared" si="85"/>
        <v>0</v>
      </c>
      <c r="EF348" s="46">
        <f t="shared" si="86"/>
        <v>0</v>
      </c>
      <c r="EG348" s="46">
        <f t="shared" si="87"/>
        <v>0</v>
      </c>
      <c r="EH348" s="46">
        <f t="shared" si="90"/>
        <v>0</v>
      </c>
      <c r="EI348" s="46">
        <f t="shared" si="89"/>
        <v>0</v>
      </c>
    </row>
    <row r="349" spans="3:139">
      <c r="C349" s="36" t="s">
        <v>542</v>
      </c>
      <c r="D349" s="36" t="s">
        <v>512</v>
      </c>
      <c r="E349" s="36" t="s">
        <v>516</v>
      </c>
      <c r="F349" s="38">
        <f t="shared" si="88"/>
        <v>5656</v>
      </c>
      <c r="G349" s="37" t="s">
        <v>514</v>
      </c>
      <c r="H349" s="47"/>
      <c r="I349" s="48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8"/>
      <c r="U349" s="48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8"/>
      <c r="AG349" s="48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50"/>
      <c r="BQ349" s="50"/>
      <c r="BR349" s="50">
        <v>1</v>
      </c>
      <c r="BS349" s="50">
        <v>3100</v>
      </c>
      <c r="BT349" s="50">
        <v>1700</v>
      </c>
      <c r="BU349" s="50">
        <v>560</v>
      </c>
      <c r="BV349" s="50">
        <v>0</v>
      </c>
      <c r="BW349" s="50">
        <v>265</v>
      </c>
      <c r="BX349" s="50"/>
      <c r="BY349" s="50"/>
      <c r="BZ349" s="50"/>
      <c r="CA349" s="50">
        <v>0</v>
      </c>
      <c r="CB349" s="50">
        <v>0</v>
      </c>
      <c r="CC349" s="50">
        <v>0</v>
      </c>
      <c r="CD349" s="50">
        <v>0</v>
      </c>
      <c r="CE349" s="50">
        <v>0</v>
      </c>
      <c r="CF349" s="50">
        <v>0</v>
      </c>
      <c r="CG349" s="50"/>
      <c r="CH349" s="50">
        <v>0</v>
      </c>
      <c r="CI349" s="50">
        <v>0</v>
      </c>
      <c r="CJ349" s="50">
        <v>0</v>
      </c>
      <c r="CK349" s="50">
        <v>0</v>
      </c>
      <c r="CL349" s="50">
        <v>0</v>
      </c>
      <c r="CM349" s="50">
        <v>0</v>
      </c>
      <c r="CN349" s="51">
        <v>0</v>
      </c>
      <c r="CO349" s="51">
        <v>0</v>
      </c>
      <c r="CP349" s="51">
        <v>0</v>
      </c>
      <c r="CQ349" s="51">
        <v>30</v>
      </c>
      <c r="CR349" s="51">
        <v>0</v>
      </c>
      <c r="CS349" s="51">
        <v>0</v>
      </c>
      <c r="CT349" s="51">
        <v>0</v>
      </c>
      <c r="CU349" s="51">
        <v>0</v>
      </c>
      <c r="CV349" s="51">
        <v>0</v>
      </c>
      <c r="CW349" s="51">
        <v>0</v>
      </c>
      <c r="CX349" s="51">
        <v>0</v>
      </c>
      <c r="CY349" s="51">
        <v>0</v>
      </c>
      <c r="CZ349" s="51">
        <v>0</v>
      </c>
      <c r="DA349" s="51">
        <v>0</v>
      </c>
      <c r="DB349" s="51">
        <v>0</v>
      </c>
      <c r="DC349" s="51">
        <v>0</v>
      </c>
      <c r="DD349" s="51">
        <v>0</v>
      </c>
      <c r="DE349" s="51">
        <v>0</v>
      </c>
      <c r="DF349" s="52">
        <v>0</v>
      </c>
      <c r="DG349" s="52">
        <v>0</v>
      </c>
      <c r="DH349" s="52">
        <v>0</v>
      </c>
      <c r="DI349" s="52">
        <v>0</v>
      </c>
      <c r="DJ349" s="52">
        <v>0</v>
      </c>
      <c r="DK349" s="52">
        <v>0</v>
      </c>
      <c r="DL349" s="52">
        <v>0</v>
      </c>
      <c r="DM349" s="52">
        <v>0</v>
      </c>
      <c r="DN349" s="52">
        <v>0</v>
      </c>
      <c r="DO349" s="52">
        <v>0</v>
      </c>
      <c r="DP349" s="52">
        <v>0</v>
      </c>
      <c r="DQ349" s="52">
        <v>0</v>
      </c>
      <c r="DR349" s="52">
        <v>0</v>
      </c>
      <c r="DS349" s="53">
        <v>0</v>
      </c>
      <c r="DT349" s="53">
        <v>0</v>
      </c>
      <c r="DU349" s="53">
        <v>0</v>
      </c>
      <c r="DV349" s="53">
        <v>0</v>
      </c>
      <c r="DW349" s="53">
        <v>0</v>
      </c>
      <c r="DX349" s="2"/>
      <c r="DY349" s="2"/>
      <c r="DZ349" s="46">
        <f t="shared" si="80"/>
        <v>0</v>
      </c>
      <c r="EA349" s="46">
        <f t="shared" si="81"/>
        <v>0</v>
      </c>
      <c r="EB349" s="46">
        <f t="shared" si="82"/>
        <v>0</v>
      </c>
      <c r="EC349" s="46">
        <f t="shared" si="83"/>
        <v>0</v>
      </c>
      <c r="ED349" s="46">
        <f t="shared" si="84"/>
        <v>0</v>
      </c>
      <c r="EE349" s="46">
        <f t="shared" si="85"/>
        <v>5626</v>
      </c>
      <c r="EF349" s="46">
        <f t="shared" si="86"/>
        <v>0</v>
      </c>
      <c r="EG349" s="46">
        <f t="shared" si="87"/>
        <v>30</v>
      </c>
      <c r="EH349" s="46">
        <f t="shared" si="90"/>
        <v>0</v>
      </c>
      <c r="EI349" s="46">
        <f t="shared" si="89"/>
        <v>0</v>
      </c>
    </row>
    <row r="350" spans="3:139">
      <c r="C350" s="36" t="s">
        <v>543</v>
      </c>
      <c r="D350" s="36" t="s">
        <v>544</v>
      </c>
      <c r="E350" s="36" t="s">
        <v>545</v>
      </c>
      <c r="F350" s="38">
        <f t="shared" si="88"/>
        <v>125975</v>
      </c>
      <c r="G350" s="37" t="s">
        <v>546</v>
      </c>
      <c r="H350" s="47"/>
      <c r="I350" s="48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8"/>
      <c r="U350" s="48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8"/>
      <c r="AG350" s="48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  <c r="BP350" s="50"/>
      <c r="BQ350" s="50"/>
      <c r="BR350" s="50"/>
      <c r="BS350" s="50">
        <v>20</v>
      </c>
      <c r="BT350" s="50">
        <v>22</v>
      </c>
      <c r="BU350" s="50">
        <v>20</v>
      </c>
      <c r="BV350" s="50">
        <v>50</v>
      </c>
      <c r="BW350" s="50">
        <v>4080</v>
      </c>
      <c r="BX350" s="50">
        <v>4790</v>
      </c>
      <c r="BY350" s="50">
        <v>5980</v>
      </c>
      <c r="BZ350" s="50">
        <v>529</v>
      </c>
      <c r="CA350" s="50">
        <v>1640</v>
      </c>
      <c r="CB350" s="50">
        <v>5550</v>
      </c>
      <c r="CC350" s="50">
        <v>4828</v>
      </c>
      <c r="CD350" s="50">
        <v>4561</v>
      </c>
      <c r="CE350" s="50">
        <v>7696</v>
      </c>
      <c r="CF350" s="50">
        <v>5020</v>
      </c>
      <c r="CG350" s="50">
        <v>8281</v>
      </c>
      <c r="CH350" s="50">
        <v>9032</v>
      </c>
      <c r="CI350" s="50">
        <v>5925</v>
      </c>
      <c r="CJ350" s="50">
        <v>6622</v>
      </c>
      <c r="CK350" s="50">
        <v>4846</v>
      </c>
      <c r="CL350" s="50">
        <v>8846</v>
      </c>
      <c r="CM350" s="50">
        <v>6491</v>
      </c>
      <c r="CN350" s="51">
        <v>5349</v>
      </c>
      <c r="CO350" s="51">
        <v>6338</v>
      </c>
      <c r="CP350" s="51">
        <v>5166</v>
      </c>
      <c r="CQ350" s="51">
        <v>2350</v>
      </c>
      <c r="CR350" s="51">
        <v>2290</v>
      </c>
      <c r="CS350" s="51">
        <v>5258</v>
      </c>
      <c r="CT350" s="51">
        <v>3700</v>
      </c>
      <c r="CU350" s="51">
        <v>435</v>
      </c>
      <c r="CV350" s="51">
        <v>-1</v>
      </c>
      <c r="CW350" s="51">
        <v>4</v>
      </c>
      <c r="CX350" s="51">
        <v>0</v>
      </c>
      <c r="CY350" s="51">
        <v>0</v>
      </c>
      <c r="CZ350" s="51">
        <v>0</v>
      </c>
      <c r="DA350" s="51">
        <v>0</v>
      </c>
      <c r="DB350" s="51">
        <v>0</v>
      </c>
      <c r="DC350" s="51">
        <v>213</v>
      </c>
      <c r="DD350" s="51">
        <v>0</v>
      </c>
      <c r="DE350" s="51">
        <v>0</v>
      </c>
      <c r="DF350" s="52">
        <v>0</v>
      </c>
      <c r="DG350" s="52">
        <v>0</v>
      </c>
      <c r="DH350" s="52">
        <v>0</v>
      </c>
      <c r="DI350" s="52">
        <v>0</v>
      </c>
      <c r="DJ350" s="52">
        <v>0</v>
      </c>
      <c r="DK350" s="52">
        <v>0</v>
      </c>
      <c r="DL350" s="52">
        <v>1</v>
      </c>
      <c r="DM350" s="52">
        <v>0</v>
      </c>
      <c r="DN350" s="52">
        <v>0</v>
      </c>
      <c r="DO350" s="52">
        <v>0</v>
      </c>
      <c r="DP350" s="52">
        <v>0</v>
      </c>
      <c r="DQ350" s="52">
        <v>43</v>
      </c>
      <c r="DR350" s="52">
        <v>98</v>
      </c>
      <c r="DS350" s="53">
        <v>0</v>
      </c>
      <c r="DT350" s="53">
        <v>0</v>
      </c>
      <c r="DU350" s="53">
        <v>0</v>
      </c>
      <c r="DV350" s="53">
        <v>0</v>
      </c>
      <c r="DW350" s="53">
        <v>0</v>
      </c>
      <c r="DX350" s="2"/>
      <c r="DY350" s="2"/>
      <c r="DZ350" s="46">
        <f t="shared" si="80"/>
        <v>0</v>
      </c>
      <c r="EA350" s="46">
        <f t="shared" si="81"/>
        <v>0</v>
      </c>
      <c r="EB350" s="46">
        <f t="shared" si="82"/>
        <v>0</v>
      </c>
      <c r="EC350" s="46">
        <f t="shared" si="83"/>
        <v>0</v>
      </c>
      <c r="ED350" s="46">
        <f t="shared" si="84"/>
        <v>0</v>
      </c>
      <c r="EE350" s="46">
        <f t="shared" si="85"/>
        <v>17131</v>
      </c>
      <c r="EF350" s="46">
        <f t="shared" si="86"/>
        <v>77698</v>
      </c>
      <c r="EG350" s="46">
        <f t="shared" si="87"/>
        <v>30889</v>
      </c>
      <c r="EH350" s="46">
        <f t="shared" si="90"/>
        <v>213</v>
      </c>
      <c r="EI350" s="46">
        <f t="shared" si="89"/>
        <v>1</v>
      </c>
    </row>
    <row r="351" spans="3:139">
      <c r="C351" s="36" t="s">
        <v>547</v>
      </c>
      <c r="D351" s="36" t="s">
        <v>544</v>
      </c>
      <c r="E351" s="36" t="s">
        <v>545</v>
      </c>
      <c r="F351" s="38">
        <f t="shared" si="88"/>
        <v>115749</v>
      </c>
      <c r="G351" s="37" t="s">
        <v>546</v>
      </c>
      <c r="H351" s="47"/>
      <c r="I351" s="48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8"/>
      <c r="U351" s="48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8"/>
      <c r="AG351" s="48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  <c r="BP351" s="50"/>
      <c r="BQ351" s="50"/>
      <c r="BR351" s="50"/>
      <c r="BS351" s="50">
        <v>15</v>
      </c>
      <c r="BT351" s="50">
        <v>28</v>
      </c>
      <c r="BU351" s="50">
        <v>20</v>
      </c>
      <c r="BV351" s="50">
        <v>8570</v>
      </c>
      <c r="BW351" s="50">
        <v>1040</v>
      </c>
      <c r="BX351" s="50">
        <v>7930</v>
      </c>
      <c r="BY351" s="50">
        <v>11450</v>
      </c>
      <c r="BZ351" s="50">
        <v>8371</v>
      </c>
      <c r="CA351" s="50">
        <v>50</v>
      </c>
      <c r="CB351" s="50">
        <v>8260</v>
      </c>
      <c r="CC351" s="50">
        <v>2485</v>
      </c>
      <c r="CD351" s="50">
        <v>8937</v>
      </c>
      <c r="CE351" s="50">
        <v>4010</v>
      </c>
      <c r="CF351" s="50">
        <v>7389</v>
      </c>
      <c r="CG351" s="50">
        <v>3700</v>
      </c>
      <c r="CH351" s="50">
        <v>2375</v>
      </c>
      <c r="CI351" s="50">
        <v>3860</v>
      </c>
      <c r="CJ351" s="50">
        <v>5719</v>
      </c>
      <c r="CK351" s="50">
        <v>3172</v>
      </c>
      <c r="CL351" s="50">
        <v>3971</v>
      </c>
      <c r="CM351" s="50">
        <v>96</v>
      </c>
      <c r="CN351" s="51">
        <v>4450</v>
      </c>
      <c r="CO351" s="51">
        <v>2652</v>
      </c>
      <c r="CP351" s="51">
        <v>3620</v>
      </c>
      <c r="CQ351" s="51">
        <v>5600</v>
      </c>
      <c r="CR351" s="51">
        <v>1046</v>
      </c>
      <c r="CS351" s="51">
        <v>4130</v>
      </c>
      <c r="CT351" s="51">
        <v>2200</v>
      </c>
      <c r="CU351" s="51">
        <v>20</v>
      </c>
      <c r="CV351" s="51">
        <v>0</v>
      </c>
      <c r="CW351" s="51">
        <v>0</v>
      </c>
      <c r="CX351" s="51">
        <v>0</v>
      </c>
      <c r="CY351" s="51">
        <v>0</v>
      </c>
      <c r="CZ351" s="51">
        <v>135</v>
      </c>
      <c r="DA351" s="51">
        <v>0</v>
      </c>
      <c r="DB351" s="51">
        <v>0</v>
      </c>
      <c r="DC351" s="51">
        <v>231</v>
      </c>
      <c r="DD351" s="51">
        <v>0</v>
      </c>
      <c r="DE351" s="51">
        <v>0</v>
      </c>
      <c r="DF351" s="52">
        <v>0</v>
      </c>
      <c r="DG351" s="52">
        <v>71</v>
      </c>
      <c r="DH351" s="52">
        <v>0</v>
      </c>
      <c r="DI351" s="52">
        <v>0</v>
      </c>
      <c r="DJ351" s="52">
        <v>0</v>
      </c>
      <c r="DK351" s="52">
        <v>0</v>
      </c>
      <c r="DL351" s="52">
        <v>5</v>
      </c>
      <c r="DM351" s="52">
        <v>141</v>
      </c>
      <c r="DN351" s="52">
        <v>0</v>
      </c>
      <c r="DO351" s="52">
        <v>0</v>
      </c>
      <c r="DP351" s="52">
        <v>0</v>
      </c>
      <c r="DQ351" s="52">
        <v>0</v>
      </c>
      <c r="DR351" s="52">
        <v>198</v>
      </c>
      <c r="DS351" s="53">
        <v>0</v>
      </c>
      <c r="DT351" s="53">
        <v>0</v>
      </c>
      <c r="DU351" s="53">
        <v>0</v>
      </c>
      <c r="DV351" s="53">
        <v>0</v>
      </c>
      <c r="DW351" s="53">
        <v>0</v>
      </c>
      <c r="DX351" s="2"/>
      <c r="DY351" s="2"/>
      <c r="DZ351" s="46">
        <f t="shared" si="80"/>
        <v>0</v>
      </c>
      <c r="EA351" s="46">
        <f t="shared" si="81"/>
        <v>0</v>
      </c>
      <c r="EB351" s="46">
        <f t="shared" si="82"/>
        <v>0</v>
      </c>
      <c r="EC351" s="46">
        <f t="shared" si="83"/>
        <v>0</v>
      </c>
      <c r="ED351" s="46">
        <f t="shared" si="84"/>
        <v>0</v>
      </c>
      <c r="EE351" s="46">
        <f t="shared" si="85"/>
        <v>37474</v>
      </c>
      <c r="EF351" s="46">
        <f t="shared" si="86"/>
        <v>53974</v>
      </c>
      <c r="EG351" s="46">
        <f t="shared" si="87"/>
        <v>23718</v>
      </c>
      <c r="EH351" s="46">
        <f t="shared" si="90"/>
        <v>437</v>
      </c>
      <c r="EI351" s="46">
        <f t="shared" si="89"/>
        <v>146</v>
      </c>
    </row>
    <row r="352" spans="3:139">
      <c r="C352" s="36" t="s">
        <v>548</v>
      </c>
      <c r="D352" s="36" t="s">
        <v>544</v>
      </c>
      <c r="E352" s="36" t="s">
        <v>545</v>
      </c>
      <c r="F352" s="38">
        <f t="shared" si="88"/>
        <v>74</v>
      </c>
      <c r="G352" s="37" t="s">
        <v>546</v>
      </c>
      <c r="H352" s="47"/>
      <c r="I352" s="48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8"/>
      <c r="U352" s="48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8"/>
      <c r="AG352" s="48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50"/>
      <c r="BQ352" s="50"/>
      <c r="BR352" s="50"/>
      <c r="BS352" s="50">
        <v>45</v>
      </c>
      <c r="BT352" s="50">
        <v>0</v>
      </c>
      <c r="BU352" s="50">
        <v>29</v>
      </c>
      <c r="BV352" s="50">
        <v>0</v>
      </c>
      <c r="BW352" s="50">
        <v>0</v>
      </c>
      <c r="BX352" s="50"/>
      <c r="BY352" s="50"/>
      <c r="BZ352" s="50"/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0</v>
      </c>
      <c r="CG352" s="50"/>
      <c r="CH352" s="50">
        <v>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1">
        <v>0</v>
      </c>
      <c r="CO352" s="51">
        <v>0</v>
      </c>
      <c r="CP352" s="51">
        <v>0</v>
      </c>
      <c r="CQ352" s="51">
        <v>0</v>
      </c>
      <c r="CR352" s="51">
        <v>0</v>
      </c>
      <c r="CS352" s="51">
        <v>0</v>
      </c>
      <c r="CT352" s="51">
        <v>0</v>
      </c>
      <c r="CU352" s="51">
        <v>0</v>
      </c>
      <c r="CV352" s="51">
        <v>0</v>
      </c>
      <c r="CW352" s="51">
        <v>0</v>
      </c>
      <c r="CX352" s="51">
        <v>0</v>
      </c>
      <c r="CY352" s="51">
        <v>0</v>
      </c>
      <c r="CZ352" s="51">
        <v>0</v>
      </c>
      <c r="DA352" s="51">
        <v>0</v>
      </c>
      <c r="DB352" s="51">
        <v>0</v>
      </c>
      <c r="DC352" s="51">
        <v>0</v>
      </c>
      <c r="DD352" s="51">
        <v>0</v>
      </c>
      <c r="DE352" s="51">
        <v>0</v>
      </c>
      <c r="DF352" s="52">
        <v>0</v>
      </c>
      <c r="DG352" s="52">
        <v>0</v>
      </c>
      <c r="DH352" s="52">
        <v>0</v>
      </c>
      <c r="DI352" s="52">
        <v>0</v>
      </c>
      <c r="DJ352" s="52">
        <v>0</v>
      </c>
      <c r="DK352" s="52">
        <v>0</v>
      </c>
      <c r="DL352" s="52">
        <v>0</v>
      </c>
      <c r="DM352" s="52">
        <v>0</v>
      </c>
      <c r="DN352" s="52">
        <v>0</v>
      </c>
      <c r="DO352" s="52">
        <v>0</v>
      </c>
      <c r="DP352" s="52">
        <v>0</v>
      </c>
      <c r="DQ352" s="52">
        <v>0</v>
      </c>
      <c r="DR352" s="52">
        <v>0</v>
      </c>
      <c r="DS352" s="53">
        <v>0</v>
      </c>
      <c r="DT352" s="53">
        <v>0</v>
      </c>
      <c r="DU352" s="53">
        <v>0</v>
      </c>
      <c r="DV352" s="53">
        <v>0</v>
      </c>
      <c r="DW352" s="53">
        <v>0</v>
      </c>
      <c r="DX352" s="2"/>
      <c r="DY352" s="2"/>
      <c r="DZ352" s="46">
        <f t="shared" si="80"/>
        <v>0</v>
      </c>
      <c r="EA352" s="46">
        <f t="shared" si="81"/>
        <v>0</v>
      </c>
      <c r="EB352" s="46">
        <f t="shared" si="82"/>
        <v>0</v>
      </c>
      <c r="EC352" s="46">
        <f t="shared" si="83"/>
        <v>0</v>
      </c>
      <c r="ED352" s="46">
        <f t="shared" si="84"/>
        <v>0</v>
      </c>
      <c r="EE352" s="46">
        <f t="shared" si="85"/>
        <v>74</v>
      </c>
      <c r="EF352" s="46">
        <f t="shared" si="86"/>
        <v>0</v>
      </c>
      <c r="EG352" s="46">
        <f t="shared" si="87"/>
        <v>0</v>
      </c>
      <c r="EH352" s="46">
        <f t="shared" si="90"/>
        <v>0</v>
      </c>
      <c r="EI352" s="46">
        <f t="shared" si="89"/>
        <v>0</v>
      </c>
    </row>
    <row r="353" spans="3:139">
      <c r="C353" s="36" t="s">
        <v>549</v>
      </c>
      <c r="D353" s="36" t="s">
        <v>544</v>
      </c>
      <c r="E353" s="36" t="s">
        <v>545</v>
      </c>
      <c r="F353" s="38">
        <f t="shared" si="88"/>
        <v>1195</v>
      </c>
      <c r="G353" s="37" t="s">
        <v>546</v>
      </c>
      <c r="H353" s="47"/>
      <c r="I353" s="48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8"/>
      <c r="U353" s="48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8"/>
      <c r="AG353" s="48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50"/>
      <c r="BQ353" s="50"/>
      <c r="BR353" s="50"/>
      <c r="BS353" s="50"/>
      <c r="BT353" s="50"/>
      <c r="BU353" s="50">
        <v>20</v>
      </c>
      <c r="BV353" s="50"/>
      <c r="BW353" s="50">
        <v>0</v>
      </c>
      <c r="BX353" s="50">
        <v>350</v>
      </c>
      <c r="BY353" s="50"/>
      <c r="BZ353" s="50">
        <v>10</v>
      </c>
      <c r="CA353" s="50">
        <v>0</v>
      </c>
      <c r="CB353" s="50">
        <v>0</v>
      </c>
      <c r="CC353" s="50">
        <v>0</v>
      </c>
      <c r="CD353" s="50">
        <v>0</v>
      </c>
      <c r="CE353" s="50">
        <v>400</v>
      </c>
      <c r="CF353" s="50">
        <v>0</v>
      </c>
      <c r="CG353" s="50"/>
      <c r="CH353" s="50">
        <v>0</v>
      </c>
      <c r="CI353" s="50">
        <v>0</v>
      </c>
      <c r="CJ353" s="50">
        <v>0</v>
      </c>
      <c r="CK353" s="50">
        <v>41</v>
      </c>
      <c r="CL353" s="50">
        <v>8</v>
      </c>
      <c r="CM353" s="50">
        <v>0</v>
      </c>
      <c r="CN353" s="51">
        <v>90</v>
      </c>
      <c r="CO353" s="51">
        <v>91</v>
      </c>
      <c r="CP353" s="51">
        <v>115</v>
      </c>
      <c r="CQ353" s="51">
        <v>0</v>
      </c>
      <c r="CR353" s="51">
        <v>70</v>
      </c>
      <c r="CS353" s="51">
        <v>0</v>
      </c>
      <c r="CT353" s="51">
        <v>0</v>
      </c>
      <c r="CU353" s="51">
        <v>0</v>
      </c>
      <c r="CV353" s="51">
        <v>0</v>
      </c>
      <c r="CW353" s="51">
        <v>0</v>
      </c>
      <c r="CX353" s="51">
        <v>0</v>
      </c>
      <c r="CY353" s="51">
        <v>0</v>
      </c>
      <c r="CZ353" s="51">
        <v>0</v>
      </c>
      <c r="DA353" s="51">
        <v>0</v>
      </c>
      <c r="DB353" s="51">
        <v>0</v>
      </c>
      <c r="DC353" s="51">
        <v>0</v>
      </c>
      <c r="DD353" s="51">
        <v>0</v>
      </c>
      <c r="DE353" s="51">
        <v>0</v>
      </c>
      <c r="DF353" s="52">
        <v>0</v>
      </c>
      <c r="DG353" s="52">
        <v>0</v>
      </c>
      <c r="DH353" s="52">
        <v>0</v>
      </c>
      <c r="DI353" s="52">
        <v>0</v>
      </c>
      <c r="DJ353" s="52">
        <v>0</v>
      </c>
      <c r="DK353" s="52">
        <v>0</v>
      </c>
      <c r="DL353" s="52">
        <v>0</v>
      </c>
      <c r="DM353" s="52">
        <v>0</v>
      </c>
      <c r="DN353" s="52">
        <v>0</v>
      </c>
      <c r="DO353" s="52">
        <v>0</v>
      </c>
      <c r="DP353" s="52">
        <v>0</v>
      </c>
      <c r="DQ353" s="52">
        <v>0</v>
      </c>
      <c r="DR353" s="52">
        <v>0</v>
      </c>
      <c r="DS353" s="53">
        <v>0</v>
      </c>
      <c r="DT353" s="53">
        <v>0</v>
      </c>
      <c r="DU353" s="53">
        <v>0</v>
      </c>
      <c r="DV353" s="53">
        <v>0</v>
      </c>
      <c r="DW353" s="53">
        <v>0</v>
      </c>
      <c r="DX353" s="2"/>
      <c r="DY353" s="2"/>
      <c r="DZ353" s="46">
        <f t="shared" si="80"/>
        <v>0</v>
      </c>
      <c r="EA353" s="46">
        <f t="shared" si="81"/>
        <v>0</v>
      </c>
      <c r="EB353" s="46">
        <f t="shared" si="82"/>
        <v>0</v>
      </c>
      <c r="EC353" s="46">
        <f t="shared" si="83"/>
        <v>0</v>
      </c>
      <c r="ED353" s="46">
        <f t="shared" si="84"/>
        <v>0</v>
      </c>
      <c r="EE353" s="46">
        <f t="shared" si="85"/>
        <v>380</v>
      </c>
      <c r="EF353" s="46">
        <f t="shared" si="86"/>
        <v>449</v>
      </c>
      <c r="EG353" s="46">
        <f t="shared" si="87"/>
        <v>366</v>
      </c>
      <c r="EH353" s="46">
        <f t="shared" si="90"/>
        <v>0</v>
      </c>
      <c r="EI353" s="46">
        <f t="shared" si="89"/>
        <v>0</v>
      </c>
    </row>
    <row r="354" spans="3:139">
      <c r="C354" s="36" t="s">
        <v>550</v>
      </c>
      <c r="D354" s="36" t="s">
        <v>544</v>
      </c>
      <c r="E354" s="36" t="s">
        <v>545</v>
      </c>
      <c r="F354" s="38">
        <f t="shared" si="88"/>
        <v>6465</v>
      </c>
      <c r="G354" s="37" t="s">
        <v>546</v>
      </c>
      <c r="H354" s="47"/>
      <c r="I354" s="48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8"/>
      <c r="U354" s="48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8"/>
      <c r="AG354" s="48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50"/>
      <c r="BQ354" s="50"/>
      <c r="BR354" s="50"/>
      <c r="BS354" s="50"/>
      <c r="BT354" s="50"/>
      <c r="BU354" s="50">
        <v>20</v>
      </c>
      <c r="BV354" s="50">
        <v>210</v>
      </c>
      <c r="BW354" s="50">
        <v>360</v>
      </c>
      <c r="BX354" s="50">
        <v>240</v>
      </c>
      <c r="BY354" s="50">
        <v>110</v>
      </c>
      <c r="BZ354" s="50">
        <v>126</v>
      </c>
      <c r="CA354" s="50">
        <v>100</v>
      </c>
      <c r="CB354" s="50">
        <v>240</v>
      </c>
      <c r="CC354" s="50">
        <v>499</v>
      </c>
      <c r="CD354" s="50">
        <v>149</v>
      </c>
      <c r="CE354" s="50">
        <v>250</v>
      </c>
      <c r="CF354" s="50">
        <v>250</v>
      </c>
      <c r="CG354" s="50">
        <v>42</v>
      </c>
      <c r="CH354" s="50">
        <v>396</v>
      </c>
      <c r="CI354" s="50">
        <v>540</v>
      </c>
      <c r="CJ354" s="50">
        <v>470</v>
      </c>
      <c r="CK354" s="50">
        <v>92</v>
      </c>
      <c r="CL354" s="50">
        <v>690</v>
      </c>
      <c r="CM354" s="50">
        <v>140</v>
      </c>
      <c r="CN354" s="51">
        <v>162</v>
      </c>
      <c r="CO354" s="51">
        <v>388</v>
      </c>
      <c r="CP354" s="51">
        <v>197</v>
      </c>
      <c r="CQ354" s="51">
        <v>391</v>
      </c>
      <c r="CR354" s="51">
        <v>221</v>
      </c>
      <c r="CS354" s="51">
        <v>-1</v>
      </c>
      <c r="CT354" s="51">
        <v>119</v>
      </c>
      <c r="CU354" s="51">
        <v>0</v>
      </c>
      <c r="CV354" s="51">
        <v>0</v>
      </c>
      <c r="CW354" s="51">
        <v>0</v>
      </c>
      <c r="CX354" s="51">
        <v>0</v>
      </c>
      <c r="CY354" s="51">
        <v>0</v>
      </c>
      <c r="CZ354" s="51">
        <v>0</v>
      </c>
      <c r="DA354" s="51">
        <v>0</v>
      </c>
      <c r="DB354" s="51">
        <v>39</v>
      </c>
      <c r="DC354" s="51">
        <v>0</v>
      </c>
      <c r="DD354" s="51">
        <v>0</v>
      </c>
      <c r="DE354" s="51">
        <v>0</v>
      </c>
      <c r="DF354" s="52">
        <v>0</v>
      </c>
      <c r="DG354" s="52">
        <v>0</v>
      </c>
      <c r="DH354" s="52">
        <v>0</v>
      </c>
      <c r="DI354" s="52">
        <v>0</v>
      </c>
      <c r="DJ354" s="52">
        <v>0</v>
      </c>
      <c r="DK354" s="52">
        <v>0</v>
      </c>
      <c r="DL354" s="52">
        <v>0</v>
      </c>
      <c r="DM354" s="52">
        <v>0</v>
      </c>
      <c r="DN354" s="52">
        <v>0</v>
      </c>
      <c r="DO354" s="52">
        <v>25</v>
      </c>
      <c r="DP354" s="52">
        <v>0</v>
      </c>
      <c r="DQ354" s="52">
        <v>0</v>
      </c>
      <c r="DR354" s="52">
        <v>0</v>
      </c>
      <c r="DS354" s="53">
        <v>0</v>
      </c>
      <c r="DT354" s="53">
        <v>0</v>
      </c>
      <c r="DU354" s="53">
        <v>0</v>
      </c>
      <c r="DV354" s="53">
        <v>0</v>
      </c>
      <c r="DW354" s="53">
        <v>0</v>
      </c>
      <c r="DX354" s="2"/>
      <c r="DY354" s="2"/>
      <c r="DZ354" s="46">
        <f t="shared" si="80"/>
        <v>0</v>
      </c>
      <c r="EA354" s="46">
        <f t="shared" si="81"/>
        <v>0</v>
      </c>
      <c r="EB354" s="46">
        <f t="shared" si="82"/>
        <v>0</v>
      </c>
      <c r="EC354" s="46">
        <f t="shared" si="83"/>
        <v>0</v>
      </c>
      <c r="ED354" s="46">
        <f t="shared" si="84"/>
        <v>0</v>
      </c>
      <c r="EE354" s="46">
        <f t="shared" si="85"/>
        <v>1166</v>
      </c>
      <c r="EF354" s="46">
        <f t="shared" si="86"/>
        <v>3758</v>
      </c>
      <c r="EG354" s="46">
        <f t="shared" si="87"/>
        <v>1477</v>
      </c>
      <c r="EH354" s="46">
        <f t="shared" si="90"/>
        <v>39</v>
      </c>
      <c r="EI354" s="46">
        <f t="shared" si="89"/>
        <v>25</v>
      </c>
    </row>
    <row r="355" spans="3:139">
      <c r="C355" s="36" t="s">
        <v>551</v>
      </c>
      <c r="D355" s="36" t="s">
        <v>544</v>
      </c>
      <c r="E355" s="36" t="s">
        <v>545</v>
      </c>
      <c r="F355" s="38">
        <f t="shared" si="88"/>
        <v>18117</v>
      </c>
      <c r="G355" s="37" t="s">
        <v>546</v>
      </c>
      <c r="H355" s="47"/>
      <c r="I355" s="48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8"/>
      <c r="U355" s="48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8"/>
      <c r="AG355" s="48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50"/>
      <c r="BQ355" s="50"/>
      <c r="BR355" s="50"/>
      <c r="BS355" s="50"/>
      <c r="BT355" s="50"/>
      <c r="BU355" s="50">
        <v>26</v>
      </c>
      <c r="BV355" s="50">
        <v>690</v>
      </c>
      <c r="BW355" s="50">
        <v>740</v>
      </c>
      <c r="BX355" s="50">
        <v>1100</v>
      </c>
      <c r="BY355" s="50">
        <v>2100</v>
      </c>
      <c r="BZ355" s="50">
        <v>1430</v>
      </c>
      <c r="CA355" s="50">
        <v>1000</v>
      </c>
      <c r="CB355" s="50">
        <v>2200</v>
      </c>
      <c r="CC355" s="50">
        <v>2859</v>
      </c>
      <c r="CD355" s="50">
        <v>400</v>
      </c>
      <c r="CE355" s="50">
        <v>350</v>
      </c>
      <c r="CF355" s="50">
        <v>400</v>
      </c>
      <c r="CG355" s="50">
        <v>456</v>
      </c>
      <c r="CH355" s="50">
        <v>306</v>
      </c>
      <c r="CI355" s="50">
        <v>719</v>
      </c>
      <c r="CJ355" s="50">
        <v>666</v>
      </c>
      <c r="CK355" s="50">
        <v>650</v>
      </c>
      <c r="CL355" s="50">
        <v>416</v>
      </c>
      <c r="CM355" s="50">
        <v>793</v>
      </c>
      <c r="CN355" s="51">
        <v>657</v>
      </c>
      <c r="CO355" s="51">
        <v>-1</v>
      </c>
      <c r="CP355" s="51">
        <v>110</v>
      </c>
      <c r="CQ355" s="51">
        <v>-7</v>
      </c>
      <c r="CR355" s="51">
        <v>-3</v>
      </c>
      <c r="CS355" s="51">
        <v>0</v>
      </c>
      <c r="CT355" s="51">
        <v>0</v>
      </c>
      <c r="CU355" s="51">
        <v>0</v>
      </c>
      <c r="CV355" s="51">
        <v>0</v>
      </c>
      <c r="CW355" s="51">
        <v>0</v>
      </c>
      <c r="CX355" s="51">
        <v>0</v>
      </c>
      <c r="CY355" s="51">
        <v>0</v>
      </c>
      <c r="CZ355" s="51">
        <v>0</v>
      </c>
      <c r="DA355" s="51">
        <v>0</v>
      </c>
      <c r="DB355" s="51">
        <v>0</v>
      </c>
      <c r="DC355" s="51">
        <v>60</v>
      </c>
      <c r="DD355" s="51">
        <v>0</v>
      </c>
      <c r="DE355" s="51">
        <v>0</v>
      </c>
      <c r="DF355" s="52">
        <v>0</v>
      </c>
      <c r="DG355" s="52">
        <v>0</v>
      </c>
      <c r="DH355" s="52">
        <v>0</v>
      </c>
      <c r="DI355" s="52">
        <v>0</v>
      </c>
      <c r="DJ355" s="52">
        <v>0</v>
      </c>
      <c r="DK355" s="52">
        <v>0</v>
      </c>
      <c r="DL355" s="52">
        <v>0</v>
      </c>
      <c r="DM355" s="52">
        <v>0</v>
      </c>
      <c r="DN355" s="52">
        <v>0</v>
      </c>
      <c r="DO355" s="52">
        <v>0</v>
      </c>
      <c r="DP355" s="52">
        <v>0</v>
      </c>
      <c r="DQ355" s="52">
        <v>0</v>
      </c>
      <c r="DR355" s="52">
        <v>0</v>
      </c>
      <c r="DS355" s="53">
        <v>0</v>
      </c>
      <c r="DT355" s="53">
        <v>0</v>
      </c>
      <c r="DU355" s="53">
        <v>0</v>
      </c>
      <c r="DV355" s="53">
        <v>0</v>
      </c>
      <c r="DW355" s="53">
        <v>0</v>
      </c>
      <c r="DX355" s="2"/>
      <c r="DY355" s="2"/>
      <c r="DZ355" s="46">
        <f t="shared" si="80"/>
        <v>0</v>
      </c>
      <c r="EA355" s="46">
        <f t="shared" si="81"/>
        <v>0</v>
      </c>
      <c r="EB355" s="46">
        <f t="shared" si="82"/>
        <v>0</v>
      </c>
      <c r="EC355" s="46">
        <f t="shared" si="83"/>
        <v>0</v>
      </c>
      <c r="ED355" s="46">
        <f t="shared" si="84"/>
        <v>0</v>
      </c>
      <c r="EE355" s="46">
        <f t="shared" si="85"/>
        <v>7086</v>
      </c>
      <c r="EF355" s="46">
        <f t="shared" si="86"/>
        <v>10215</v>
      </c>
      <c r="EG355" s="46">
        <f t="shared" si="87"/>
        <v>756</v>
      </c>
      <c r="EH355" s="46">
        <f t="shared" si="90"/>
        <v>60</v>
      </c>
      <c r="EI355" s="46">
        <f t="shared" si="89"/>
        <v>0</v>
      </c>
    </row>
    <row r="356" spans="3:139">
      <c r="C356" s="36" t="s">
        <v>552</v>
      </c>
      <c r="D356" s="36" t="s">
        <v>544</v>
      </c>
      <c r="E356" s="36" t="s">
        <v>545</v>
      </c>
      <c r="F356" s="38">
        <f t="shared" si="88"/>
        <v>99459</v>
      </c>
      <c r="G356" s="37" t="s">
        <v>546</v>
      </c>
      <c r="H356" s="47"/>
      <c r="I356" s="48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8"/>
      <c r="U356" s="48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8"/>
      <c r="AG356" s="48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50"/>
      <c r="BQ356" s="50"/>
      <c r="BR356" s="50"/>
      <c r="BS356" s="50"/>
      <c r="BT356" s="50"/>
      <c r="BU356" s="50">
        <v>22</v>
      </c>
      <c r="BV356" s="50">
        <v>50</v>
      </c>
      <c r="BW356" s="50">
        <v>1700</v>
      </c>
      <c r="BX356" s="50">
        <v>1800</v>
      </c>
      <c r="BY356" s="50">
        <v>3640</v>
      </c>
      <c r="BZ356" s="50">
        <v>2940</v>
      </c>
      <c r="CA356" s="50">
        <v>3800</v>
      </c>
      <c r="CB356" s="50">
        <v>2930</v>
      </c>
      <c r="CC356" s="50">
        <v>5228</v>
      </c>
      <c r="CD356" s="50">
        <v>2488</v>
      </c>
      <c r="CE356" s="50">
        <v>4770</v>
      </c>
      <c r="CF356" s="50">
        <v>5418</v>
      </c>
      <c r="CG356" s="50">
        <v>4040</v>
      </c>
      <c r="CH356" s="50">
        <v>6389</v>
      </c>
      <c r="CI356" s="50">
        <v>6166</v>
      </c>
      <c r="CJ356" s="50">
        <v>3860</v>
      </c>
      <c r="CK356" s="50">
        <v>4630</v>
      </c>
      <c r="CL356" s="50">
        <v>3155</v>
      </c>
      <c r="CM356" s="50">
        <v>4074</v>
      </c>
      <c r="CN356" s="51">
        <v>3733</v>
      </c>
      <c r="CO356" s="51">
        <v>5044</v>
      </c>
      <c r="CP356" s="51">
        <v>4175</v>
      </c>
      <c r="CQ356" s="51">
        <v>5070</v>
      </c>
      <c r="CR356" s="51">
        <v>6560</v>
      </c>
      <c r="CS356" s="51">
        <v>3371</v>
      </c>
      <c r="CT356" s="51">
        <v>4049</v>
      </c>
      <c r="CU356" s="51">
        <v>0</v>
      </c>
      <c r="CV356" s="51">
        <v>0</v>
      </c>
      <c r="CW356" s="51">
        <v>0</v>
      </c>
      <c r="CX356" s="51">
        <v>0</v>
      </c>
      <c r="CY356" s="51">
        <v>0</v>
      </c>
      <c r="CZ356" s="51">
        <v>0</v>
      </c>
      <c r="DA356" s="51">
        <v>60</v>
      </c>
      <c r="DB356" s="51">
        <v>0</v>
      </c>
      <c r="DC356" s="51">
        <v>238</v>
      </c>
      <c r="DD356" s="51">
        <v>0</v>
      </c>
      <c r="DE356" s="51">
        <v>0</v>
      </c>
      <c r="DF356" s="52">
        <v>0</v>
      </c>
      <c r="DG356" s="52">
        <v>0</v>
      </c>
      <c r="DH356" s="52">
        <v>0</v>
      </c>
      <c r="DI356" s="52">
        <v>0</v>
      </c>
      <c r="DJ356" s="52">
        <v>0</v>
      </c>
      <c r="DK356" s="52">
        <v>0</v>
      </c>
      <c r="DL356" s="52">
        <v>0</v>
      </c>
      <c r="DM356" s="52">
        <v>0</v>
      </c>
      <c r="DN356" s="52">
        <v>3</v>
      </c>
      <c r="DO356" s="52">
        <v>56</v>
      </c>
      <c r="DP356" s="52">
        <v>0</v>
      </c>
      <c r="DQ356" s="52">
        <v>0</v>
      </c>
      <c r="DR356" s="52">
        <v>0</v>
      </c>
      <c r="DS356" s="53">
        <v>0</v>
      </c>
      <c r="DT356" s="53">
        <v>0</v>
      </c>
      <c r="DU356" s="53">
        <v>0</v>
      </c>
      <c r="DV356" s="53">
        <v>0</v>
      </c>
      <c r="DW356" s="53">
        <v>0</v>
      </c>
      <c r="DX356" s="2"/>
      <c r="DY356" s="2"/>
      <c r="DZ356" s="46">
        <f t="shared" si="80"/>
        <v>0</v>
      </c>
      <c r="EA356" s="46">
        <f t="shared" si="81"/>
        <v>0</v>
      </c>
      <c r="EB356" s="46">
        <f t="shared" si="82"/>
        <v>0</v>
      </c>
      <c r="EC356" s="46">
        <f t="shared" si="83"/>
        <v>0</v>
      </c>
      <c r="ED356" s="46">
        <f t="shared" si="84"/>
        <v>0</v>
      </c>
      <c r="EE356" s="46">
        <f t="shared" si="85"/>
        <v>13952</v>
      </c>
      <c r="EF356" s="46">
        <f t="shared" si="86"/>
        <v>53148</v>
      </c>
      <c r="EG356" s="46">
        <f t="shared" si="87"/>
        <v>32002</v>
      </c>
      <c r="EH356" s="46">
        <f t="shared" si="90"/>
        <v>298</v>
      </c>
      <c r="EI356" s="46">
        <f t="shared" si="89"/>
        <v>59</v>
      </c>
    </row>
    <row r="357" spans="3:139">
      <c r="C357" s="36" t="s">
        <v>553</v>
      </c>
      <c r="D357" s="36" t="s">
        <v>544</v>
      </c>
      <c r="E357" s="36" t="s">
        <v>545</v>
      </c>
      <c r="F357" s="38">
        <f t="shared" si="88"/>
        <v>11675</v>
      </c>
      <c r="G357" s="37" t="s">
        <v>546</v>
      </c>
      <c r="H357" s="47"/>
      <c r="I357" s="48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8"/>
      <c r="U357" s="48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8"/>
      <c r="AG357" s="48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50"/>
      <c r="BQ357" s="50"/>
      <c r="BR357" s="50"/>
      <c r="BS357" s="50"/>
      <c r="BT357" s="50"/>
      <c r="BU357" s="50">
        <v>18</v>
      </c>
      <c r="BV357" s="50">
        <v>49</v>
      </c>
      <c r="BW357" s="50">
        <v>200</v>
      </c>
      <c r="BX357" s="50">
        <v>400</v>
      </c>
      <c r="BY357" s="50"/>
      <c r="BZ357" s="50">
        <v>46</v>
      </c>
      <c r="CA357" s="50">
        <v>0</v>
      </c>
      <c r="CB357" s="50">
        <v>1690</v>
      </c>
      <c r="CC357" s="50">
        <v>599</v>
      </c>
      <c r="CD357" s="50">
        <v>0</v>
      </c>
      <c r="CE357" s="50">
        <v>1640</v>
      </c>
      <c r="CF357" s="50">
        <v>553</v>
      </c>
      <c r="CG357" s="50">
        <v>-7</v>
      </c>
      <c r="CH357" s="50">
        <v>279</v>
      </c>
      <c r="CI357" s="50">
        <v>100</v>
      </c>
      <c r="CJ357" s="50">
        <v>300</v>
      </c>
      <c r="CK357" s="50">
        <v>770</v>
      </c>
      <c r="CL357" s="50">
        <v>1010</v>
      </c>
      <c r="CM357" s="50">
        <v>442</v>
      </c>
      <c r="CN357" s="51">
        <v>957</v>
      </c>
      <c r="CO357" s="51">
        <v>97</v>
      </c>
      <c r="CP357" s="51">
        <v>18</v>
      </c>
      <c r="CQ357" s="51">
        <v>459</v>
      </c>
      <c r="CR357" s="51">
        <v>1195</v>
      </c>
      <c r="CS357" s="51">
        <v>360</v>
      </c>
      <c r="CT357" s="51">
        <v>500</v>
      </c>
      <c r="CU357" s="51">
        <v>0</v>
      </c>
      <c r="CV357" s="51">
        <v>0</v>
      </c>
      <c r="CW357" s="51">
        <v>0</v>
      </c>
      <c r="CX357" s="51">
        <v>0</v>
      </c>
      <c r="CY357" s="51">
        <v>0</v>
      </c>
      <c r="CZ357" s="51">
        <v>0</v>
      </c>
      <c r="DA357" s="51">
        <v>0</v>
      </c>
      <c r="DB357" s="51">
        <v>0</v>
      </c>
      <c r="DC357" s="51">
        <v>0</v>
      </c>
      <c r="DD357" s="51">
        <v>0</v>
      </c>
      <c r="DE357" s="51">
        <v>0</v>
      </c>
      <c r="DF357" s="52">
        <v>0</v>
      </c>
      <c r="DG357" s="52">
        <v>0</v>
      </c>
      <c r="DH357" s="52">
        <v>0</v>
      </c>
      <c r="DI357" s="52">
        <v>0</v>
      </c>
      <c r="DJ357" s="52">
        <v>0</v>
      </c>
      <c r="DK357" s="52">
        <v>0</v>
      </c>
      <c r="DL357" s="52">
        <v>0</v>
      </c>
      <c r="DM357" s="52">
        <v>0</v>
      </c>
      <c r="DN357" s="52">
        <v>0</v>
      </c>
      <c r="DO357" s="52">
        <v>0</v>
      </c>
      <c r="DP357" s="52">
        <v>0</v>
      </c>
      <c r="DQ357" s="52">
        <v>0</v>
      </c>
      <c r="DR357" s="52">
        <v>0</v>
      </c>
      <c r="DS357" s="53">
        <v>0</v>
      </c>
      <c r="DT357" s="53">
        <v>0</v>
      </c>
      <c r="DU357" s="53">
        <v>0</v>
      </c>
      <c r="DV357" s="53">
        <v>0</v>
      </c>
      <c r="DW357" s="53">
        <v>0</v>
      </c>
      <c r="DX357" s="2"/>
      <c r="DY357" s="2"/>
      <c r="DZ357" s="46">
        <f t="shared" si="80"/>
        <v>0</v>
      </c>
      <c r="EA357" s="46">
        <f t="shared" si="81"/>
        <v>0</v>
      </c>
      <c r="EB357" s="46">
        <f t="shared" si="82"/>
        <v>0</v>
      </c>
      <c r="EC357" s="46">
        <f t="shared" si="83"/>
        <v>0</v>
      </c>
      <c r="ED357" s="46">
        <f t="shared" si="84"/>
        <v>0</v>
      </c>
      <c r="EE357" s="46">
        <f t="shared" si="85"/>
        <v>713</v>
      </c>
      <c r="EF357" s="46">
        <f t="shared" si="86"/>
        <v>7376</v>
      </c>
      <c r="EG357" s="46">
        <f t="shared" si="87"/>
        <v>3586</v>
      </c>
      <c r="EH357" s="46">
        <f t="shared" si="90"/>
        <v>0</v>
      </c>
      <c r="EI357" s="46">
        <f t="shared" si="89"/>
        <v>0</v>
      </c>
    </row>
    <row r="358" spans="3:139">
      <c r="C358" s="36" t="s">
        <v>554</v>
      </c>
      <c r="D358" s="36" t="s">
        <v>544</v>
      </c>
      <c r="E358" s="36" t="s">
        <v>545</v>
      </c>
      <c r="F358" s="38">
        <f t="shared" si="88"/>
        <v>1849</v>
      </c>
      <c r="G358" s="37" t="s">
        <v>546</v>
      </c>
      <c r="H358" s="47"/>
      <c r="I358" s="48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8"/>
      <c r="U358" s="48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8"/>
      <c r="AG358" s="48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50"/>
      <c r="BQ358" s="50"/>
      <c r="BR358" s="50"/>
      <c r="BS358" s="50"/>
      <c r="BT358" s="50"/>
      <c r="BU358" s="50">
        <v>10</v>
      </c>
      <c r="BV358" s="50">
        <v>30</v>
      </c>
      <c r="BW358" s="50">
        <v>0</v>
      </c>
      <c r="BX358" s="50">
        <v>200</v>
      </c>
      <c r="BY358" s="50">
        <v>500</v>
      </c>
      <c r="BZ358" s="50">
        <v>1180</v>
      </c>
      <c r="CA358" s="50">
        <v>0</v>
      </c>
      <c r="CB358" s="50">
        <v>0</v>
      </c>
      <c r="CC358" s="50">
        <v>0</v>
      </c>
      <c r="CD358" s="50">
        <v>0</v>
      </c>
      <c r="CE358" s="50">
        <v>0</v>
      </c>
      <c r="CF358" s="50">
        <v>0</v>
      </c>
      <c r="CG358" s="50"/>
      <c r="CH358" s="50">
        <v>0</v>
      </c>
      <c r="CI358" s="50">
        <v>0</v>
      </c>
      <c r="CJ358" s="50">
        <v>0</v>
      </c>
      <c r="CK358" s="50">
        <v>0</v>
      </c>
      <c r="CL358" s="50">
        <v>0</v>
      </c>
      <c r="CM358" s="50">
        <v>0</v>
      </c>
      <c r="CN358" s="51">
        <v>0</v>
      </c>
      <c r="CO358" s="51">
        <v>0</v>
      </c>
      <c r="CP358" s="51">
        <v>0</v>
      </c>
      <c r="CQ358" s="51">
        <v>0</v>
      </c>
      <c r="CR358" s="51">
        <v>0</v>
      </c>
      <c r="CS358" s="51">
        <v>0</v>
      </c>
      <c r="CT358" s="51">
        <v>0</v>
      </c>
      <c r="CU358" s="51">
        <v>0</v>
      </c>
      <c r="CV358" s="51">
        <v>0</v>
      </c>
      <c r="CW358" s="51">
        <v>0</v>
      </c>
      <c r="CX358" s="51">
        <v>-71</v>
      </c>
      <c r="CY358" s="51">
        <v>0</v>
      </c>
      <c r="CZ358" s="51">
        <v>0</v>
      </c>
      <c r="DA358" s="51">
        <v>0</v>
      </c>
      <c r="DB358" s="51">
        <v>0</v>
      </c>
      <c r="DC358" s="51">
        <v>0</v>
      </c>
      <c r="DD358" s="51">
        <v>0</v>
      </c>
      <c r="DE358" s="51">
        <v>0</v>
      </c>
      <c r="DF358" s="52">
        <v>0</v>
      </c>
      <c r="DG358" s="52">
        <v>0</v>
      </c>
      <c r="DH358" s="52">
        <v>0</v>
      </c>
      <c r="DI358" s="52">
        <v>0</v>
      </c>
      <c r="DJ358" s="52">
        <v>0</v>
      </c>
      <c r="DK358" s="52">
        <v>0</v>
      </c>
      <c r="DL358" s="52">
        <v>0</v>
      </c>
      <c r="DM358" s="52">
        <v>0</v>
      </c>
      <c r="DN358" s="52">
        <v>0</v>
      </c>
      <c r="DO358" s="52">
        <v>0</v>
      </c>
      <c r="DP358" s="52">
        <v>0</v>
      </c>
      <c r="DQ358" s="52">
        <v>0</v>
      </c>
      <c r="DR358" s="52">
        <v>0</v>
      </c>
      <c r="DS358" s="53">
        <v>0</v>
      </c>
      <c r="DT358" s="53">
        <v>0</v>
      </c>
      <c r="DU358" s="53">
        <v>0</v>
      </c>
      <c r="DV358" s="53">
        <v>0</v>
      </c>
      <c r="DW358" s="53">
        <v>0</v>
      </c>
      <c r="DX358" s="2"/>
      <c r="DY358" s="2"/>
      <c r="DZ358" s="46">
        <f t="shared" si="80"/>
        <v>0</v>
      </c>
      <c r="EA358" s="46">
        <f t="shared" si="81"/>
        <v>0</v>
      </c>
      <c r="EB358" s="46">
        <f t="shared" si="82"/>
        <v>0</v>
      </c>
      <c r="EC358" s="46">
        <f t="shared" si="83"/>
        <v>0</v>
      </c>
      <c r="ED358" s="46">
        <f t="shared" si="84"/>
        <v>0</v>
      </c>
      <c r="EE358" s="46">
        <f t="shared" si="85"/>
        <v>1920</v>
      </c>
      <c r="EF358" s="46">
        <f t="shared" si="86"/>
        <v>0</v>
      </c>
      <c r="EG358" s="46">
        <f t="shared" si="87"/>
        <v>-71</v>
      </c>
      <c r="EH358" s="46">
        <f t="shared" si="90"/>
        <v>0</v>
      </c>
      <c r="EI358" s="46">
        <f t="shared" si="89"/>
        <v>0</v>
      </c>
    </row>
    <row r="359" spans="3:139">
      <c r="C359" s="36" t="s">
        <v>555</v>
      </c>
      <c r="D359" s="36" t="s">
        <v>544</v>
      </c>
      <c r="E359" s="36" t="s">
        <v>545</v>
      </c>
      <c r="F359" s="38">
        <f t="shared" si="88"/>
        <v>31246</v>
      </c>
      <c r="G359" s="37" t="s">
        <v>546</v>
      </c>
      <c r="H359" s="47"/>
      <c r="I359" s="48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8"/>
      <c r="U359" s="48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8"/>
      <c r="AG359" s="48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50"/>
      <c r="BQ359" s="50"/>
      <c r="BR359" s="50"/>
      <c r="BS359" s="50"/>
      <c r="BT359" s="50"/>
      <c r="BU359" s="50">
        <v>9</v>
      </c>
      <c r="BV359" s="50">
        <v>30</v>
      </c>
      <c r="BW359" s="50">
        <v>3210</v>
      </c>
      <c r="BX359" s="50">
        <v>750</v>
      </c>
      <c r="BY359" s="50">
        <v>2790</v>
      </c>
      <c r="BZ359" s="50">
        <v>781</v>
      </c>
      <c r="CA359" s="50">
        <v>701</v>
      </c>
      <c r="CB359" s="50">
        <v>1510</v>
      </c>
      <c r="CC359" s="50">
        <v>1099</v>
      </c>
      <c r="CD359" s="50">
        <v>1350</v>
      </c>
      <c r="CE359" s="50">
        <v>1780</v>
      </c>
      <c r="CF359" s="50">
        <v>845</v>
      </c>
      <c r="CG359" s="50">
        <v>1100</v>
      </c>
      <c r="CH359" s="50">
        <v>431</v>
      </c>
      <c r="CI359" s="50">
        <v>1971</v>
      </c>
      <c r="CJ359" s="50">
        <v>360</v>
      </c>
      <c r="CK359" s="50">
        <v>2638</v>
      </c>
      <c r="CL359" s="50">
        <v>1483</v>
      </c>
      <c r="CM359" s="50">
        <v>411</v>
      </c>
      <c r="CN359" s="51">
        <v>1693</v>
      </c>
      <c r="CO359" s="51">
        <v>468</v>
      </c>
      <c r="CP359" s="51">
        <v>1100</v>
      </c>
      <c r="CQ359" s="51">
        <v>628</v>
      </c>
      <c r="CR359" s="51">
        <v>1150</v>
      </c>
      <c r="CS359" s="51">
        <v>508</v>
      </c>
      <c r="CT359" s="51">
        <v>1247</v>
      </c>
      <c r="CU359" s="51">
        <v>1150</v>
      </c>
      <c r="CV359" s="51">
        <v>0</v>
      </c>
      <c r="CW359" s="51">
        <v>0</v>
      </c>
      <c r="CX359" s="51">
        <v>0</v>
      </c>
      <c r="CY359" s="51">
        <v>0</v>
      </c>
      <c r="CZ359" s="51">
        <v>0</v>
      </c>
      <c r="DA359" s="51">
        <v>0</v>
      </c>
      <c r="DB359" s="51">
        <v>-10</v>
      </c>
      <c r="DC359" s="51">
        <v>0</v>
      </c>
      <c r="DD359" s="51">
        <v>0</v>
      </c>
      <c r="DE359" s="51">
        <v>0</v>
      </c>
      <c r="DF359" s="52">
        <v>0</v>
      </c>
      <c r="DG359" s="52">
        <v>0</v>
      </c>
      <c r="DH359" s="52">
        <v>0</v>
      </c>
      <c r="DI359" s="52">
        <v>0</v>
      </c>
      <c r="DJ359" s="52">
        <v>0</v>
      </c>
      <c r="DK359" s="52">
        <v>0</v>
      </c>
      <c r="DL359" s="52">
        <v>26</v>
      </c>
      <c r="DM359" s="52">
        <v>0</v>
      </c>
      <c r="DN359" s="52">
        <v>0</v>
      </c>
      <c r="DO359" s="52">
        <v>0</v>
      </c>
      <c r="DP359" s="52">
        <v>0</v>
      </c>
      <c r="DQ359" s="52">
        <v>37</v>
      </c>
      <c r="DR359" s="52">
        <v>71</v>
      </c>
      <c r="DS359" s="53">
        <v>0</v>
      </c>
      <c r="DT359" s="53">
        <v>0</v>
      </c>
      <c r="DU359" s="53">
        <v>0</v>
      </c>
      <c r="DV359" s="53">
        <v>0</v>
      </c>
      <c r="DW359" s="53">
        <v>0</v>
      </c>
      <c r="DX359" s="2"/>
      <c r="DY359" s="2"/>
      <c r="DZ359" s="46">
        <f t="shared" si="80"/>
        <v>0</v>
      </c>
      <c r="EA359" s="46">
        <f t="shared" si="81"/>
        <v>0</v>
      </c>
      <c r="EB359" s="46">
        <f t="shared" si="82"/>
        <v>0</v>
      </c>
      <c r="EC359" s="46">
        <f t="shared" si="83"/>
        <v>0</v>
      </c>
      <c r="ED359" s="46">
        <f t="shared" si="84"/>
        <v>0</v>
      </c>
      <c r="EE359" s="46">
        <f t="shared" si="85"/>
        <v>8271</v>
      </c>
      <c r="EF359" s="46">
        <f t="shared" si="86"/>
        <v>14978</v>
      </c>
      <c r="EG359" s="46">
        <f t="shared" si="87"/>
        <v>7944</v>
      </c>
      <c r="EH359" s="46">
        <f t="shared" si="90"/>
        <v>-10</v>
      </c>
      <c r="EI359" s="46">
        <f t="shared" si="89"/>
        <v>26</v>
      </c>
    </row>
    <row r="360" spans="3:139">
      <c r="C360" s="36" t="s">
        <v>556</v>
      </c>
      <c r="D360" s="36" t="s">
        <v>544</v>
      </c>
      <c r="E360" s="36" t="s">
        <v>545</v>
      </c>
      <c r="F360" s="38">
        <f t="shared" si="88"/>
        <v>20658</v>
      </c>
      <c r="G360" s="37" t="s">
        <v>546</v>
      </c>
      <c r="H360" s="47"/>
      <c r="I360" s="48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8"/>
      <c r="U360" s="48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8"/>
      <c r="AG360" s="48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50"/>
      <c r="BQ360" s="50"/>
      <c r="BR360" s="50"/>
      <c r="BS360" s="50"/>
      <c r="BT360" s="50"/>
      <c r="BU360" s="50">
        <v>8</v>
      </c>
      <c r="BV360" s="50">
        <v>560</v>
      </c>
      <c r="BW360" s="50">
        <v>400</v>
      </c>
      <c r="BX360" s="50">
        <v>1390</v>
      </c>
      <c r="BY360" s="50">
        <v>1120</v>
      </c>
      <c r="BZ360" s="50">
        <v>1131</v>
      </c>
      <c r="CA360" s="50">
        <v>0</v>
      </c>
      <c r="CB360" s="50">
        <v>1100</v>
      </c>
      <c r="CC360" s="50">
        <v>602</v>
      </c>
      <c r="CD360" s="50">
        <v>549</v>
      </c>
      <c r="CE360" s="50">
        <v>603</v>
      </c>
      <c r="CF360" s="50">
        <v>730</v>
      </c>
      <c r="CG360" s="50">
        <v>609</v>
      </c>
      <c r="CH360" s="50">
        <v>249</v>
      </c>
      <c r="CI360" s="50">
        <v>1380</v>
      </c>
      <c r="CJ360" s="50">
        <v>621</v>
      </c>
      <c r="CK360" s="50">
        <v>1233</v>
      </c>
      <c r="CL360" s="50">
        <v>1868</v>
      </c>
      <c r="CM360" s="50">
        <v>293</v>
      </c>
      <c r="CN360" s="51">
        <v>1610</v>
      </c>
      <c r="CO360" s="51">
        <v>1345</v>
      </c>
      <c r="CP360" s="51">
        <v>401</v>
      </c>
      <c r="CQ360" s="51">
        <v>800</v>
      </c>
      <c r="CR360" s="51">
        <v>782</v>
      </c>
      <c r="CS360" s="51">
        <v>239</v>
      </c>
      <c r="CT360" s="51">
        <v>729</v>
      </c>
      <c r="CU360" s="51">
        <v>50</v>
      </c>
      <c r="CV360" s="51">
        <v>0</v>
      </c>
      <c r="CW360" s="51">
        <v>0</v>
      </c>
      <c r="CX360" s="51">
        <v>0</v>
      </c>
      <c r="CY360" s="51">
        <v>0</v>
      </c>
      <c r="CZ360" s="51">
        <v>20</v>
      </c>
      <c r="DA360" s="51">
        <v>9</v>
      </c>
      <c r="DB360" s="51">
        <v>0</v>
      </c>
      <c r="DC360" s="51">
        <v>22</v>
      </c>
      <c r="DD360" s="51">
        <v>0</v>
      </c>
      <c r="DE360" s="51">
        <v>0</v>
      </c>
      <c r="DF360" s="52">
        <v>75</v>
      </c>
      <c r="DG360" s="52">
        <v>0</v>
      </c>
      <c r="DH360" s="52">
        <v>0</v>
      </c>
      <c r="DI360" s="52">
        <v>0</v>
      </c>
      <c r="DJ360" s="52">
        <v>0</v>
      </c>
      <c r="DK360" s="52">
        <v>34</v>
      </c>
      <c r="DL360" s="52">
        <v>0</v>
      </c>
      <c r="DM360" s="52">
        <v>96</v>
      </c>
      <c r="DN360" s="52">
        <v>0</v>
      </c>
      <c r="DO360" s="52">
        <v>0</v>
      </c>
      <c r="DP360" s="52">
        <v>0</v>
      </c>
      <c r="DQ360" s="52">
        <v>0</v>
      </c>
      <c r="DR360" s="52">
        <v>0</v>
      </c>
      <c r="DS360" s="53">
        <v>0</v>
      </c>
      <c r="DT360" s="53">
        <v>0</v>
      </c>
      <c r="DU360" s="53">
        <v>0</v>
      </c>
      <c r="DV360" s="53">
        <v>0</v>
      </c>
      <c r="DW360" s="53">
        <v>0</v>
      </c>
      <c r="DX360" s="2"/>
      <c r="DY360" s="2"/>
      <c r="DZ360" s="46">
        <f t="shared" si="80"/>
        <v>0</v>
      </c>
      <c r="EA360" s="46">
        <f t="shared" si="81"/>
        <v>0</v>
      </c>
      <c r="EB360" s="46">
        <f t="shared" si="82"/>
        <v>0</v>
      </c>
      <c r="EC360" s="46">
        <f t="shared" si="83"/>
        <v>0</v>
      </c>
      <c r="ED360" s="46">
        <f t="shared" si="84"/>
        <v>0</v>
      </c>
      <c r="EE360" s="46">
        <f t="shared" si="85"/>
        <v>4609</v>
      </c>
      <c r="EF360" s="46">
        <f t="shared" si="86"/>
        <v>9837</v>
      </c>
      <c r="EG360" s="46">
        <f t="shared" si="87"/>
        <v>5956</v>
      </c>
      <c r="EH360" s="46">
        <f t="shared" si="90"/>
        <v>126</v>
      </c>
      <c r="EI360" s="46">
        <f t="shared" si="89"/>
        <v>96</v>
      </c>
    </row>
    <row r="361" spans="3:139">
      <c r="C361" s="36" t="s">
        <v>557</v>
      </c>
      <c r="D361" s="36" t="s">
        <v>544</v>
      </c>
      <c r="E361" s="36" t="s">
        <v>545</v>
      </c>
      <c r="F361" s="38">
        <f t="shared" si="88"/>
        <v>1878</v>
      </c>
      <c r="G361" s="37" t="s">
        <v>546</v>
      </c>
      <c r="H361" s="47"/>
      <c r="I361" s="48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8"/>
      <c r="U361" s="48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8"/>
      <c r="AG361" s="48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50"/>
      <c r="BQ361" s="50"/>
      <c r="BR361" s="50"/>
      <c r="BS361" s="50"/>
      <c r="BT361" s="50"/>
      <c r="BU361" s="50"/>
      <c r="BV361" s="50">
        <v>20</v>
      </c>
      <c r="BW361" s="50">
        <v>0</v>
      </c>
      <c r="BX361" s="50">
        <v>150</v>
      </c>
      <c r="BY361" s="50"/>
      <c r="BZ361" s="50">
        <v>47</v>
      </c>
      <c r="CA361" s="50">
        <v>0</v>
      </c>
      <c r="CB361" s="50">
        <v>60</v>
      </c>
      <c r="CC361" s="50">
        <v>0</v>
      </c>
      <c r="CD361" s="50">
        <v>100</v>
      </c>
      <c r="CE361" s="50">
        <v>80</v>
      </c>
      <c r="CF361" s="50">
        <v>0</v>
      </c>
      <c r="CG361" s="50">
        <v>-9</v>
      </c>
      <c r="CH361" s="50">
        <v>9</v>
      </c>
      <c r="CI361" s="50">
        <v>200</v>
      </c>
      <c r="CJ361" s="50">
        <v>105</v>
      </c>
      <c r="CK361" s="50">
        <v>5</v>
      </c>
      <c r="CL361" s="50">
        <v>233</v>
      </c>
      <c r="CM361" s="50">
        <v>50</v>
      </c>
      <c r="CN361" s="51">
        <v>16</v>
      </c>
      <c r="CO361" s="51">
        <v>294</v>
      </c>
      <c r="CP361" s="51">
        <v>4</v>
      </c>
      <c r="CQ361" s="51">
        <v>150</v>
      </c>
      <c r="CR361" s="51">
        <v>99</v>
      </c>
      <c r="CS361" s="51">
        <v>150</v>
      </c>
      <c r="CT361" s="51">
        <v>115</v>
      </c>
      <c r="CU361" s="51">
        <v>0</v>
      </c>
      <c r="CV361" s="51">
        <v>0</v>
      </c>
      <c r="CW361" s="51">
        <v>0</v>
      </c>
      <c r="CX361" s="51">
        <v>0</v>
      </c>
      <c r="CY361" s="51">
        <v>0</v>
      </c>
      <c r="CZ361" s="51">
        <v>0</v>
      </c>
      <c r="DA361" s="51">
        <v>0</v>
      </c>
      <c r="DB361" s="51">
        <v>0</v>
      </c>
      <c r="DC361" s="51">
        <v>0</v>
      </c>
      <c r="DD361" s="51">
        <v>0</v>
      </c>
      <c r="DE361" s="51">
        <v>0</v>
      </c>
      <c r="DF361" s="52">
        <v>0</v>
      </c>
      <c r="DG361" s="52">
        <v>0</v>
      </c>
      <c r="DH361" s="52">
        <v>0</v>
      </c>
      <c r="DI361" s="52">
        <v>0</v>
      </c>
      <c r="DJ361" s="52">
        <v>0</v>
      </c>
      <c r="DK361" s="52">
        <v>0</v>
      </c>
      <c r="DL361" s="52">
        <v>0</v>
      </c>
      <c r="DM361" s="52">
        <v>0</v>
      </c>
      <c r="DN361" s="52">
        <v>0</v>
      </c>
      <c r="DO361" s="52">
        <v>0</v>
      </c>
      <c r="DP361" s="52">
        <v>0</v>
      </c>
      <c r="DQ361" s="52">
        <v>0</v>
      </c>
      <c r="DR361" s="52">
        <v>0</v>
      </c>
      <c r="DS361" s="53">
        <v>0</v>
      </c>
      <c r="DT361" s="53">
        <v>0</v>
      </c>
      <c r="DU361" s="53">
        <v>0</v>
      </c>
      <c r="DV361" s="53">
        <v>0</v>
      </c>
      <c r="DW361" s="53">
        <v>0</v>
      </c>
      <c r="DX361" s="2"/>
      <c r="DY361" s="2"/>
      <c r="DZ361" s="46">
        <f t="shared" si="80"/>
        <v>0</v>
      </c>
      <c r="EA361" s="46">
        <f t="shared" si="81"/>
        <v>0</v>
      </c>
      <c r="EB361" s="46">
        <f t="shared" si="82"/>
        <v>0</v>
      </c>
      <c r="EC361" s="46">
        <f t="shared" si="83"/>
        <v>0</v>
      </c>
      <c r="ED361" s="46">
        <f t="shared" si="84"/>
        <v>0</v>
      </c>
      <c r="EE361" s="46">
        <f t="shared" si="85"/>
        <v>217</v>
      </c>
      <c r="EF361" s="46">
        <f t="shared" si="86"/>
        <v>833</v>
      </c>
      <c r="EG361" s="46">
        <f t="shared" si="87"/>
        <v>828</v>
      </c>
      <c r="EH361" s="46">
        <f t="shared" si="90"/>
        <v>0</v>
      </c>
      <c r="EI361" s="46">
        <f t="shared" si="89"/>
        <v>0</v>
      </c>
    </row>
    <row r="362" spans="3:139">
      <c r="C362" s="36" t="s">
        <v>558</v>
      </c>
      <c r="D362" s="36" t="s">
        <v>544</v>
      </c>
      <c r="E362" s="36" t="s">
        <v>545</v>
      </c>
      <c r="F362" s="38">
        <f t="shared" si="88"/>
        <v>20</v>
      </c>
      <c r="G362" s="37" t="s">
        <v>546</v>
      </c>
      <c r="H362" s="47"/>
      <c r="I362" s="48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8"/>
      <c r="U362" s="48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8"/>
      <c r="AG362" s="48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  <c r="BP362" s="50"/>
      <c r="BQ362" s="50"/>
      <c r="BR362" s="50"/>
      <c r="BS362" s="50"/>
      <c r="BT362" s="50"/>
      <c r="BU362" s="50"/>
      <c r="BV362" s="50"/>
      <c r="BW362" s="50">
        <v>20</v>
      </c>
      <c r="BX362" s="50"/>
      <c r="BY362" s="50"/>
      <c r="BZ362" s="50"/>
      <c r="CA362" s="50">
        <v>0</v>
      </c>
      <c r="CB362" s="50">
        <v>0</v>
      </c>
      <c r="CC362" s="50">
        <v>0</v>
      </c>
      <c r="CD362" s="50">
        <v>0</v>
      </c>
      <c r="CE362" s="50">
        <v>0</v>
      </c>
      <c r="CF362" s="50">
        <v>0</v>
      </c>
      <c r="CG362" s="50"/>
      <c r="CH362" s="50">
        <v>0</v>
      </c>
      <c r="CI362" s="50">
        <v>0</v>
      </c>
      <c r="CJ362" s="50">
        <v>0</v>
      </c>
      <c r="CK362" s="50">
        <v>0</v>
      </c>
      <c r="CL362" s="50">
        <v>0</v>
      </c>
      <c r="CM362" s="50">
        <v>0</v>
      </c>
      <c r="CN362" s="51">
        <v>0</v>
      </c>
      <c r="CO362" s="51">
        <v>0</v>
      </c>
      <c r="CP362" s="51">
        <v>0</v>
      </c>
      <c r="CQ362" s="51">
        <v>0</v>
      </c>
      <c r="CR362" s="51">
        <v>0</v>
      </c>
      <c r="CS362" s="51">
        <v>0</v>
      </c>
      <c r="CT362" s="51">
        <v>0</v>
      </c>
      <c r="CU362" s="51">
        <v>0</v>
      </c>
      <c r="CV362" s="51">
        <v>0</v>
      </c>
      <c r="CW362" s="51">
        <v>0</v>
      </c>
      <c r="CX362" s="51">
        <v>0</v>
      </c>
      <c r="CY362" s="51">
        <v>0</v>
      </c>
      <c r="CZ362" s="51">
        <v>0</v>
      </c>
      <c r="DA362" s="51">
        <v>0</v>
      </c>
      <c r="DB362" s="51">
        <v>0</v>
      </c>
      <c r="DC362" s="51">
        <v>0</v>
      </c>
      <c r="DD362" s="51">
        <v>0</v>
      </c>
      <c r="DE362" s="51">
        <v>0</v>
      </c>
      <c r="DF362" s="52">
        <v>0</v>
      </c>
      <c r="DG362" s="52">
        <v>0</v>
      </c>
      <c r="DH362" s="52">
        <v>0</v>
      </c>
      <c r="DI362" s="52">
        <v>0</v>
      </c>
      <c r="DJ362" s="52">
        <v>0</v>
      </c>
      <c r="DK362" s="52">
        <v>0</v>
      </c>
      <c r="DL362" s="52">
        <v>0</v>
      </c>
      <c r="DM362" s="52">
        <v>0</v>
      </c>
      <c r="DN362" s="52">
        <v>0</v>
      </c>
      <c r="DO362" s="52">
        <v>0</v>
      </c>
      <c r="DP362" s="52">
        <v>0</v>
      </c>
      <c r="DQ362" s="52">
        <v>0</v>
      </c>
      <c r="DR362" s="52">
        <v>0</v>
      </c>
      <c r="DS362" s="53">
        <v>0</v>
      </c>
      <c r="DT362" s="53">
        <v>0</v>
      </c>
      <c r="DU362" s="53">
        <v>0</v>
      </c>
      <c r="DV362" s="53">
        <v>0</v>
      </c>
      <c r="DW362" s="53">
        <v>0</v>
      </c>
      <c r="DX362" s="2"/>
      <c r="DY362" s="2"/>
      <c r="DZ362" s="46">
        <f t="shared" si="80"/>
        <v>0</v>
      </c>
      <c r="EA362" s="46">
        <f t="shared" si="81"/>
        <v>0</v>
      </c>
      <c r="EB362" s="46">
        <f t="shared" si="82"/>
        <v>0</v>
      </c>
      <c r="EC362" s="46">
        <f t="shared" si="83"/>
        <v>0</v>
      </c>
      <c r="ED362" s="46">
        <f t="shared" si="84"/>
        <v>0</v>
      </c>
      <c r="EE362" s="46">
        <f t="shared" si="85"/>
        <v>20</v>
      </c>
      <c r="EF362" s="46">
        <f t="shared" si="86"/>
        <v>0</v>
      </c>
      <c r="EG362" s="46">
        <f t="shared" si="87"/>
        <v>0</v>
      </c>
      <c r="EH362" s="46">
        <f t="shared" si="90"/>
        <v>0</v>
      </c>
      <c r="EI362" s="46">
        <f t="shared" si="89"/>
        <v>0</v>
      </c>
    </row>
    <row r="363" spans="3:139">
      <c r="C363" s="36" t="s">
        <v>559</v>
      </c>
      <c r="D363" s="36" t="s">
        <v>544</v>
      </c>
      <c r="E363" s="36" t="s">
        <v>545</v>
      </c>
      <c r="F363" s="38">
        <f t="shared" si="88"/>
        <v>2427</v>
      </c>
      <c r="G363" s="37" t="s">
        <v>546</v>
      </c>
      <c r="H363" s="47"/>
      <c r="I363" s="48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8"/>
      <c r="U363" s="48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8"/>
      <c r="AG363" s="48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50"/>
      <c r="BQ363" s="50"/>
      <c r="BR363" s="50"/>
      <c r="BS363" s="50"/>
      <c r="BT363" s="50"/>
      <c r="BU363" s="50"/>
      <c r="BV363" s="50">
        <v>10</v>
      </c>
      <c r="BW363" s="50">
        <v>0</v>
      </c>
      <c r="BX363" s="50">
        <v>20</v>
      </c>
      <c r="BY363" s="50"/>
      <c r="BZ363" s="50"/>
      <c r="CA363" s="50">
        <v>0</v>
      </c>
      <c r="CB363" s="50">
        <v>0</v>
      </c>
      <c r="CC363" s="50">
        <v>0</v>
      </c>
      <c r="CD363" s="50">
        <v>170</v>
      </c>
      <c r="CE363" s="50">
        <v>0</v>
      </c>
      <c r="CF363" s="50">
        <v>329</v>
      </c>
      <c r="CG363" s="50">
        <v>315</v>
      </c>
      <c r="CH363" s="50">
        <v>0</v>
      </c>
      <c r="CI363" s="50">
        <v>89</v>
      </c>
      <c r="CJ363" s="50">
        <v>103</v>
      </c>
      <c r="CK363" s="50">
        <v>101</v>
      </c>
      <c r="CL363" s="50">
        <v>451</v>
      </c>
      <c r="CM363" s="50">
        <v>-11</v>
      </c>
      <c r="CN363" s="51">
        <v>280</v>
      </c>
      <c r="CO363" s="51">
        <v>0</v>
      </c>
      <c r="CP363" s="51">
        <v>3</v>
      </c>
      <c r="CQ363" s="51">
        <v>-4</v>
      </c>
      <c r="CR363" s="51">
        <v>0</v>
      </c>
      <c r="CS363" s="51">
        <v>119</v>
      </c>
      <c r="CT363" s="51">
        <v>220</v>
      </c>
      <c r="CU363" s="51">
        <v>130</v>
      </c>
      <c r="CV363" s="51">
        <v>0</v>
      </c>
      <c r="CW363" s="51">
        <v>130</v>
      </c>
      <c r="CX363" s="51">
        <v>0</v>
      </c>
      <c r="CY363" s="51">
        <v>0</v>
      </c>
      <c r="CZ363" s="51">
        <v>0</v>
      </c>
      <c r="DA363" s="51">
        <v>0</v>
      </c>
      <c r="DB363" s="51">
        <v>0</v>
      </c>
      <c r="DC363" s="51">
        <v>0</v>
      </c>
      <c r="DD363" s="51">
        <v>0</v>
      </c>
      <c r="DE363" s="51">
        <v>0</v>
      </c>
      <c r="DF363" s="52">
        <v>-28</v>
      </c>
      <c r="DG363" s="52">
        <v>0</v>
      </c>
      <c r="DH363" s="52">
        <v>0</v>
      </c>
      <c r="DI363" s="52">
        <v>0</v>
      </c>
      <c r="DJ363" s="52">
        <v>0</v>
      </c>
      <c r="DK363" s="52">
        <v>0</v>
      </c>
      <c r="DL363" s="52">
        <v>0</v>
      </c>
      <c r="DM363" s="52">
        <v>0</v>
      </c>
      <c r="DN363" s="52">
        <v>0</v>
      </c>
      <c r="DO363" s="52">
        <v>0</v>
      </c>
      <c r="DP363" s="52">
        <v>0</v>
      </c>
      <c r="DQ363" s="52">
        <v>0</v>
      </c>
      <c r="DR363" s="52">
        <v>0</v>
      </c>
      <c r="DS363" s="53">
        <v>0</v>
      </c>
      <c r="DT363" s="53">
        <v>0</v>
      </c>
      <c r="DU363" s="53">
        <v>0</v>
      </c>
      <c r="DV363" s="53">
        <v>0</v>
      </c>
      <c r="DW363" s="53">
        <v>0</v>
      </c>
      <c r="DX363" s="2"/>
      <c r="DY363" s="2"/>
      <c r="DZ363" s="46">
        <f t="shared" si="80"/>
        <v>0</v>
      </c>
      <c r="EA363" s="46">
        <f t="shared" si="81"/>
        <v>0</v>
      </c>
      <c r="EB363" s="46">
        <f t="shared" si="82"/>
        <v>0</v>
      </c>
      <c r="EC363" s="46">
        <f t="shared" si="83"/>
        <v>0</v>
      </c>
      <c r="ED363" s="46">
        <f t="shared" si="84"/>
        <v>0</v>
      </c>
      <c r="EE363" s="46">
        <f t="shared" si="85"/>
        <v>30</v>
      </c>
      <c r="EF363" s="46">
        <f t="shared" si="86"/>
        <v>1547</v>
      </c>
      <c r="EG363" s="46">
        <f t="shared" si="87"/>
        <v>878</v>
      </c>
      <c r="EH363" s="46">
        <f t="shared" si="90"/>
        <v>-28</v>
      </c>
      <c r="EI363" s="46">
        <f t="shared" si="89"/>
        <v>0</v>
      </c>
    </row>
    <row r="364" spans="3:139">
      <c r="C364" s="36" t="s">
        <v>560</v>
      </c>
      <c r="D364" s="36" t="s">
        <v>544</v>
      </c>
      <c r="E364" s="36" t="s">
        <v>545</v>
      </c>
      <c r="F364" s="38">
        <f t="shared" si="88"/>
        <v>2133</v>
      </c>
      <c r="G364" s="37" t="s">
        <v>546</v>
      </c>
      <c r="H364" s="47"/>
      <c r="I364" s="48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8"/>
      <c r="U364" s="48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8"/>
      <c r="AG364" s="48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  <c r="BP364" s="50"/>
      <c r="BQ364" s="50"/>
      <c r="BR364" s="50"/>
      <c r="BS364" s="50"/>
      <c r="BT364" s="50"/>
      <c r="BU364" s="50"/>
      <c r="BV364" s="50">
        <v>10</v>
      </c>
      <c r="BW364" s="50">
        <v>0</v>
      </c>
      <c r="BX364" s="50"/>
      <c r="BY364" s="50">
        <v>5</v>
      </c>
      <c r="BZ364" s="50">
        <v>20</v>
      </c>
      <c r="CA364" s="50">
        <v>0</v>
      </c>
      <c r="CB364" s="50">
        <v>200</v>
      </c>
      <c r="CC364" s="50">
        <v>0</v>
      </c>
      <c r="CD364" s="50">
        <v>100</v>
      </c>
      <c r="CE364" s="50">
        <v>50</v>
      </c>
      <c r="CF364" s="50">
        <v>150</v>
      </c>
      <c r="CG364" s="50">
        <v>146</v>
      </c>
      <c r="CH364" s="50">
        <v>131</v>
      </c>
      <c r="CI364" s="50">
        <v>13</v>
      </c>
      <c r="CJ364" s="50">
        <v>107</v>
      </c>
      <c r="CK364" s="50">
        <v>116</v>
      </c>
      <c r="CL364" s="50">
        <v>28</v>
      </c>
      <c r="CM364" s="50">
        <v>0</v>
      </c>
      <c r="CN364" s="51">
        <v>100</v>
      </c>
      <c r="CO364" s="51">
        <v>41</v>
      </c>
      <c r="CP364" s="51">
        <v>149</v>
      </c>
      <c r="CQ364" s="51">
        <v>0</v>
      </c>
      <c r="CR364" s="51">
        <v>49</v>
      </c>
      <c r="CS364" s="51">
        <v>160</v>
      </c>
      <c r="CT364" s="51">
        <v>120</v>
      </c>
      <c r="CU364" s="51">
        <v>130</v>
      </c>
      <c r="CV364" s="51">
        <v>0</v>
      </c>
      <c r="CW364" s="51">
        <v>310</v>
      </c>
      <c r="CX364" s="51">
        <v>48</v>
      </c>
      <c r="CY364" s="51">
        <v>0</v>
      </c>
      <c r="CZ364" s="51">
        <v>0</v>
      </c>
      <c r="DA364" s="51">
        <v>0</v>
      </c>
      <c r="DB364" s="51">
        <v>0</v>
      </c>
      <c r="DC364" s="51">
        <v>0</v>
      </c>
      <c r="DD364" s="51">
        <v>0</v>
      </c>
      <c r="DE364" s="51">
        <v>0</v>
      </c>
      <c r="DF364" s="52">
        <v>-50</v>
      </c>
      <c r="DG364" s="52">
        <v>0</v>
      </c>
      <c r="DH364" s="52">
        <v>0</v>
      </c>
      <c r="DI364" s="52">
        <v>0</v>
      </c>
      <c r="DJ364" s="52">
        <v>0</v>
      </c>
      <c r="DK364" s="52">
        <v>0</v>
      </c>
      <c r="DL364" s="52">
        <v>0</v>
      </c>
      <c r="DM364" s="52">
        <v>0</v>
      </c>
      <c r="DN364" s="52">
        <v>0</v>
      </c>
      <c r="DO364" s="52">
        <v>0</v>
      </c>
      <c r="DP364" s="52">
        <v>0</v>
      </c>
      <c r="DQ364" s="52">
        <v>0</v>
      </c>
      <c r="DR364" s="52">
        <v>0</v>
      </c>
      <c r="DS364" s="53">
        <v>0</v>
      </c>
      <c r="DT364" s="53">
        <v>0</v>
      </c>
      <c r="DU364" s="53">
        <v>0</v>
      </c>
      <c r="DV364" s="53">
        <v>0</v>
      </c>
      <c r="DW364" s="53">
        <v>0</v>
      </c>
      <c r="DX364" s="2"/>
      <c r="DY364" s="2"/>
      <c r="DZ364" s="46">
        <f t="shared" si="80"/>
        <v>0</v>
      </c>
      <c r="EA364" s="46">
        <f t="shared" si="81"/>
        <v>0</v>
      </c>
      <c r="EB364" s="46">
        <f t="shared" si="82"/>
        <v>0</v>
      </c>
      <c r="EC364" s="46">
        <f t="shared" si="83"/>
        <v>0</v>
      </c>
      <c r="ED364" s="46">
        <f t="shared" si="84"/>
        <v>0</v>
      </c>
      <c r="EE364" s="46">
        <f t="shared" si="85"/>
        <v>35</v>
      </c>
      <c r="EF364" s="46">
        <f t="shared" si="86"/>
        <v>1041</v>
      </c>
      <c r="EG364" s="46">
        <f t="shared" si="87"/>
        <v>1107</v>
      </c>
      <c r="EH364" s="46">
        <f t="shared" si="90"/>
        <v>-50</v>
      </c>
      <c r="EI364" s="46">
        <f t="shared" si="89"/>
        <v>0</v>
      </c>
    </row>
    <row r="365" spans="3:139">
      <c r="C365" s="36" t="s">
        <v>561</v>
      </c>
      <c r="D365" s="36" t="s">
        <v>544</v>
      </c>
      <c r="E365" s="36" t="s">
        <v>545</v>
      </c>
      <c r="F365" s="38">
        <f t="shared" si="88"/>
        <v>20</v>
      </c>
      <c r="G365" s="37" t="s">
        <v>546</v>
      </c>
      <c r="H365" s="47"/>
      <c r="I365" s="48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8"/>
      <c r="U365" s="48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8"/>
      <c r="AG365" s="48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  <c r="BP365" s="50"/>
      <c r="BQ365" s="50"/>
      <c r="BR365" s="50"/>
      <c r="BS365" s="50"/>
      <c r="BT365" s="50"/>
      <c r="BU365" s="50"/>
      <c r="BV365" s="50"/>
      <c r="BW365" s="50">
        <v>20</v>
      </c>
      <c r="BX365" s="50"/>
      <c r="BY365" s="50"/>
      <c r="BZ365" s="50"/>
      <c r="CA365" s="50">
        <v>0</v>
      </c>
      <c r="CB365" s="50">
        <v>0</v>
      </c>
      <c r="CC365" s="50">
        <v>0</v>
      </c>
      <c r="CD365" s="50">
        <v>0</v>
      </c>
      <c r="CE365" s="50">
        <v>0</v>
      </c>
      <c r="CF365" s="50">
        <v>0</v>
      </c>
      <c r="CG365" s="50"/>
      <c r="CH365" s="50">
        <v>0</v>
      </c>
      <c r="CI365" s="50">
        <v>0</v>
      </c>
      <c r="CJ365" s="50">
        <v>0</v>
      </c>
      <c r="CK365" s="50">
        <v>0</v>
      </c>
      <c r="CL365" s="50">
        <v>0</v>
      </c>
      <c r="CM365" s="50">
        <v>0</v>
      </c>
      <c r="CN365" s="51">
        <v>0</v>
      </c>
      <c r="CO365" s="51">
        <v>0</v>
      </c>
      <c r="CP365" s="51">
        <v>0</v>
      </c>
      <c r="CQ365" s="51">
        <v>0</v>
      </c>
      <c r="CR365" s="51">
        <v>0</v>
      </c>
      <c r="CS365" s="51">
        <v>0</v>
      </c>
      <c r="CT365" s="51">
        <v>0</v>
      </c>
      <c r="CU365" s="51">
        <v>0</v>
      </c>
      <c r="CV365" s="51">
        <v>0</v>
      </c>
      <c r="CW365" s="51">
        <v>0</v>
      </c>
      <c r="CX365" s="51">
        <v>0</v>
      </c>
      <c r="CY365" s="51">
        <v>0</v>
      </c>
      <c r="CZ365" s="51">
        <v>0</v>
      </c>
      <c r="DA365" s="51">
        <v>0</v>
      </c>
      <c r="DB365" s="51">
        <v>0</v>
      </c>
      <c r="DC365" s="51">
        <v>0</v>
      </c>
      <c r="DD365" s="51">
        <v>0</v>
      </c>
      <c r="DE365" s="51">
        <v>0</v>
      </c>
      <c r="DF365" s="52">
        <v>0</v>
      </c>
      <c r="DG365" s="52">
        <v>0</v>
      </c>
      <c r="DH365" s="52">
        <v>0</v>
      </c>
      <c r="DI365" s="52">
        <v>0</v>
      </c>
      <c r="DJ365" s="52">
        <v>0</v>
      </c>
      <c r="DK365" s="52">
        <v>0</v>
      </c>
      <c r="DL365" s="52">
        <v>0</v>
      </c>
      <c r="DM365" s="52">
        <v>0</v>
      </c>
      <c r="DN365" s="52">
        <v>0</v>
      </c>
      <c r="DO365" s="52">
        <v>0</v>
      </c>
      <c r="DP365" s="52">
        <v>0</v>
      </c>
      <c r="DQ365" s="52">
        <v>0</v>
      </c>
      <c r="DR365" s="52">
        <v>6</v>
      </c>
      <c r="DS365" s="53">
        <v>0</v>
      </c>
      <c r="DT365" s="53">
        <v>0</v>
      </c>
      <c r="DU365" s="53">
        <v>0</v>
      </c>
      <c r="DV365" s="53">
        <v>0</v>
      </c>
      <c r="DW365" s="53">
        <v>0</v>
      </c>
      <c r="DX365" s="2"/>
      <c r="DY365" s="2"/>
      <c r="DZ365" s="46">
        <f t="shared" si="80"/>
        <v>0</v>
      </c>
      <c r="EA365" s="46">
        <f t="shared" si="81"/>
        <v>0</v>
      </c>
      <c r="EB365" s="46">
        <f t="shared" si="82"/>
        <v>0</v>
      </c>
      <c r="EC365" s="46">
        <f t="shared" si="83"/>
        <v>0</v>
      </c>
      <c r="ED365" s="46">
        <f t="shared" si="84"/>
        <v>0</v>
      </c>
      <c r="EE365" s="46">
        <f t="shared" si="85"/>
        <v>20</v>
      </c>
      <c r="EF365" s="46">
        <f t="shared" si="86"/>
        <v>0</v>
      </c>
      <c r="EG365" s="46">
        <f t="shared" si="87"/>
        <v>0</v>
      </c>
      <c r="EH365" s="46">
        <f t="shared" si="90"/>
        <v>0</v>
      </c>
      <c r="EI365" s="46">
        <f t="shared" si="89"/>
        <v>0</v>
      </c>
    </row>
    <row r="366" spans="3:139">
      <c r="C366" s="36" t="s">
        <v>562</v>
      </c>
      <c r="D366" s="36" t="s">
        <v>544</v>
      </c>
      <c r="E366" s="36" t="s">
        <v>545</v>
      </c>
      <c r="F366" s="38">
        <f t="shared" si="88"/>
        <v>20</v>
      </c>
      <c r="G366" s="37" t="s">
        <v>546</v>
      </c>
      <c r="H366" s="47"/>
      <c r="I366" s="48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8"/>
      <c r="U366" s="48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8"/>
      <c r="AG366" s="48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  <c r="BP366" s="50"/>
      <c r="BQ366" s="50"/>
      <c r="BR366" s="50"/>
      <c r="BS366" s="50"/>
      <c r="BT366" s="50"/>
      <c r="BU366" s="50"/>
      <c r="BV366" s="50">
        <v>20</v>
      </c>
      <c r="BW366" s="50">
        <v>0</v>
      </c>
      <c r="BX366" s="50"/>
      <c r="BY366" s="50"/>
      <c r="BZ366" s="50"/>
      <c r="CA366" s="50">
        <v>0</v>
      </c>
      <c r="CB366" s="50">
        <v>0</v>
      </c>
      <c r="CC366" s="50">
        <v>0</v>
      </c>
      <c r="CD366" s="50">
        <v>0</v>
      </c>
      <c r="CE366" s="50">
        <v>0</v>
      </c>
      <c r="CF366" s="50">
        <v>0</v>
      </c>
      <c r="CG366" s="50"/>
      <c r="CH366" s="50">
        <v>0</v>
      </c>
      <c r="CI366" s="50">
        <v>0</v>
      </c>
      <c r="CJ366" s="50">
        <v>0</v>
      </c>
      <c r="CK366" s="50">
        <v>0</v>
      </c>
      <c r="CL366" s="50">
        <v>0</v>
      </c>
      <c r="CM366" s="50">
        <v>0</v>
      </c>
      <c r="CN366" s="51">
        <v>0</v>
      </c>
      <c r="CO366" s="51">
        <v>0</v>
      </c>
      <c r="CP366" s="51">
        <v>0</v>
      </c>
      <c r="CQ366" s="51">
        <v>0</v>
      </c>
      <c r="CR366" s="51">
        <v>0</v>
      </c>
      <c r="CS366" s="51">
        <v>0</v>
      </c>
      <c r="CT366" s="51">
        <v>0</v>
      </c>
      <c r="CU366" s="51">
        <v>0</v>
      </c>
      <c r="CV366" s="51">
        <v>0</v>
      </c>
      <c r="CW366" s="51">
        <v>0</v>
      </c>
      <c r="CX366" s="51">
        <v>0</v>
      </c>
      <c r="CY366" s="51">
        <v>0</v>
      </c>
      <c r="CZ366" s="51">
        <v>0</v>
      </c>
      <c r="DA366" s="51">
        <v>0</v>
      </c>
      <c r="DB366" s="51">
        <v>0</v>
      </c>
      <c r="DC366" s="51">
        <v>0</v>
      </c>
      <c r="DD366" s="51">
        <v>0</v>
      </c>
      <c r="DE366" s="51">
        <v>0</v>
      </c>
      <c r="DF366" s="52">
        <v>0</v>
      </c>
      <c r="DG366" s="52">
        <v>0</v>
      </c>
      <c r="DH366" s="52">
        <v>0</v>
      </c>
      <c r="DI366" s="52">
        <v>0</v>
      </c>
      <c r="DJ366" s="52">
        <v>0</v>
      </c>
      <c r="DK366" s="52">
        <v>0</v>
      </c>
      <c r="DL366" s="52">
        <v>0</v>
      </c>
      <c r="DM366" s="52">
        <v>0</v>
      </c>
      <c r="DN366" s="52">
        <v>0</v>
      </c>
      <c r="DO366" s="52">
        <v>0</v>
      </c>
      <c r="DP366" s="52">
        <v>0</v>
      </c>
      <c r="DQ366" s="52">
        <v>0</v>
      </c>
      <c r="DR366" s="52">
        <v>4</v>
      </c>
      <c r="DS366" s="53">
        <v>0</v>
      </c>
      <c r="DT366" s="53">
        <v>0</v>
      </c>
      <c r="DU366" s="53">
        <v>0</v>
      </c>
      <c r="DV366" s="53">
        <v>0</v>
      </c>
      <c r="DW366" s="53">
        <v>0</v>
      </c>
      <c r="DX366" s="2"/>
      <c r="DY366" s="2"/>
      <c r="DZ366" s="46">
        <f t="shared" si="80"/>
        <v>0</v>
      </c>
      <c r="EA366" s="46">
        <f t="shared" si="81"/>
        <v>0</v>
      </c>
      <c r="EB366" s="46">
        <f t="shared" si="82"/>
        <v>0</v>
      </c>
      <c r="EC366" s="46">
        <f t="shared" si="83"/>
        <v>0</v>
      </c>
      <c r="ED366" s="46">
        <f t="shared" si="84"/>
        <v>0</v>
      </c>
      <c r="EE366" s="46">
        <f t="shared" si="85"/>
        <v>20</v>
      </c>
      <c r="EF366" s="46">
        <f t="shared" si="86"/>
        <v>0</v>
      </c>
      <c r="EG366" s="46">
        <f t="shared" si="87"/>
        <v>0</v>
      </c>
      <c r="EH366" s="46">
        <f t="shared" si="90"/>
        <v>0</v>
      </c>
      <c r="EI366" s="46">
        <f t="shared" si="89"/>
        <v>0</v>
      </c>
    </row>
    <row r="367" spans="3:139">
      <c r="C367" s="36" t="s">
        <v>563</v>
      </c>
      <c r="D367" s="36" t="s">
        <v>544</v>
      </c>
      <c r="E367" s="36" t="s">
        <v>545</v>
      </c>
      <c r="F367" s="38">
        <f t="shared" si="88"/>
        <v>13234</v>
      </c>
      <c r="G367" s="37" t="s">
        <v>546</v>
      </c>
      <c r="H367" s="47"/>
      <c r="I367" s="48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8"/>
      <c r="U367" s="48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8"/>
      <c r="AG367" s="48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  <c r="BP367" s="50"/>
      <c r="BQ367" s="50"/>
      <c r="BR367" s="50"/>
      <c r="BS367" s="50"/>
      <c r="BT367" s="50"/>
      <c r="BU367" s="50"/>
      <c r="BV367" s="50"/>
      <c r="BW367" s="50">
        <v>20</v>
      </c>
      <c r="BX367" s="50">
        <v>1890</v>
      </c>
      <c r="BY367" s="50">
        <v>160</v>
      </c>
      <c r="BZ367" s="50">
        <v>884</v>
      </c>
      <c r="CA367" s="50">
        <v>0</v>
      </c>
      <c r="CB367" s="50">
        <v>1160</v>
      </c>
      <c r="CC367" s="50">
        <v>547</v>
      </c>
      <c r="CD367" s="50">
        <v>440</v>
      </c>
      <c r="CE367" s="50">
        <v>691</v>
      </c>
      <c r="CF367" s="50">
        <v>37</v>
      </c>
      <c r="CG367" s="50">
        <v>332</v>
      </c>
      <c r="CH367" s="50">
        <v>7</v>
      </c>
      <c r="CI367" s="50">
        <v>846</v>
      </c>
      <c r="CJ367" s="50">
        <v>487</v>
      </c>
      <c r="CK367" s="50">
        <v>529</v>
      </c>
      <c r="CL367" s="50">
        <v>355</v>
      </c>
      <c r="CM367" s="50">
        <v>450</v>
      </c>
      <c r="CN367" s="51">
        <v>379</v>
      </c>
      <c r="CO367" s="51">
        <v>710</v>
      </c>
      <c r="CP367" s="51">
        <v>250</v>
      </c>
      <c r="CQ367" s="51">
        <v>1400</v>
      </c>
      <c r="CR367" s="51">
        <v>407</v>
      </c>
      <c r="CS367" s="51">
        <v>209</v>
      </c>
      <c r="CT367" s="51">
        <v>880</v>
      </c>
      <c r="CU367" s="51">
        <v>60</v>
      </c>
      <c r="CV367" s="51">
        <v>0</v>
      </c>
      <c r="CW367" s="51">
        <v>0</v>
      </c>
      <c r="CX367" s="51">
        <v>0</v>
      </c>
      <c r="CY367" s="51">
        <v>0</v>
      </c>
      <c r="CZ367" s="51">
        <v>0</v>
      </c>
      <c r="DA367" s="51">
        <v>0</v>
      </c>
      <c r="DB367" s="51">
        <v>0</v>
      </c>
      <c r="DC367" s="51">
        <v>0</v>
      </c>
      <c r="DD367" s="51">
        <v>0</v>
      </c>
      <c r="DE367" s="51">
        <v>0</v>
      </c>
      <c r="DF367" s="52">
        <v>0</v>
      </c>
      <c r="DG367" s="52">
        <v>0</v>
      </c>
      <c r="DH367" s="52">
        <v>0</v>
      </c>
      <c r="DI367" s="52">
        <v>23</v>
      </c>
      <c r="DJ367" s="52">
        <v>0</v>
      </c>
      <c r="DK367" s="52">
        <v>64</v>
      </c>
      <c r="DL367" s="52">
        <v>17</v>
      </c>
      <c r="DM367" s="52">
        <v>0</v>
      </c>
      <c r="DN367" s="52">
        <v>0</v>
      </c>
      <c r="DO367" s="52">
        <v>0</v>
      </c>
      <c r="DP367" s="52">
        <v>0</v>
      </c>
      <c r="DQ367" s="52">
        <v>0</v>
      </c>
      <c r="DR367" s="52">
        <v>0</v>
      </c>
      <c r="DS367" s="53">
        <v>0</v>
      </c>
      <c r="DT367" s="53">
        <v>0</v>
      </c>
      <c r="DU367" s="53">
        <v>0</v>
      </c>
      <c r="DV367" s="53">
        <v>0</v>
      </c>
      <c r="DW367" s="53">
        <v>0</v>
      </c>
      <c r="DX367" s="2"/>
      <c r="DY367" s="2"/>
      <c r="DZ367" s="46">
        <f t="shared" si="80"/>
        <v>0</v>
      </c>
      <c r="EA367" s="46">
        <f t="shared" si="81"/>
        <v>0</v>
      </c>
      <c r="EB367" s="46">
        <f t="shared" si="82"/>
        <v>0</v>
      </c>
      <c r="EC367" s="46">
        <f t="shared" si="83"/>
        <v>0</v>
      </c>
      <c r="ED367" s="46">
        <f t="shared" si="84"/>
        <v>0</v>
      </c>
      <c r="EE367" s="46">
        <f t="shared" si="85"/>
        <v>2954</v>
      </c>
      <c r="EF367" s="46">
        <f t="shared" si="86"/>
        <v>5881</v>
      </c>
      <c r="EG367" s="46">
        <f t="shared" si="87"/>
        <v>4295</v>
      </c>
      <c r="EH367" s="46">
        <f t="shared" si="90"/>
        <v>23</v>
      </c>
      <c r="EI367" s="46">
        <f t="shared" si="89"/>
        <v>17</v>
      </c>
    </row>
    <row r="368" spans="3:139">
      <c r="C368" s="36" t="s">
        <v>564</v>
      </c>
      <c r="D368" s="36" t="s">
        <v>544</v>
      </c>
      <c r="E368" s="36" t="s">
        <v>545</v>
      </c>
      <c r="F368" s="38">
        <f t="shared" si="88"/>
        <v>33403</v>
      </c>
      <c r="G368" s="37" t="s">
        <v>546</v>
      </c>
      <c r="H368" s="47"/>
      <c r="I368" s="48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8"/>
      <c r="U368" s="48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8"/>
      <c r="AG368" s="48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  <c r="BP368" s="50"/>
      <c r="BQ368" s="50"/>
      <c r="BR368" s="50"/>
      <c r="BS368" s="50"/>
      <c r="BT368" s="50"/>
      <c r="BU368" s="50"/>
      <c r="BV368" s="50"/>
      <c r="BW368" s="50">
        <v>800</v>
      </c>
      <c r="BX368" s="50">
        <v>850</v>
      </c>
      <c r="BY368" s="50">
        <v>450</v>
      </c>
      <c r="BZ368" s="50">
        <v>1029</v>
      </c>
      <c r="CA368" s="50">
        <v>260</v>
      </c>
      <c r="CB368" s="50">
        <v>800</v>
      </c>
      <c r="CC368" s="50">
        <v>450</v>
      </c>
      <c r="CD368" s="50">
        <v>1560</v>
      </c>
      <c r="CE368" s="50">
        <v>750</v>
      </c>
      <c r="CF368" s="50">
        <v>887</v>
      </c>
      <c r="CG368" s="50">
        <v>630</v>
      </c>
      <c r="CH368" s="50">
        <v>1865</v>
      </c>
      <c r="CI368" s="50">
        <v>1870</v>
      </c>
      <c r="CJ368" s="50">
        <v>977</v>
      </c>
      <c r="CK368" s="50">
        <v>2666</v>
      </c>
      <c r="CL368" s="50">
        <v>2391</v>
      </c>
      <c r="CM368" s="50">
        <v>2318</v>
      </c>
      <c r="CN368" s="51">
        <v>1260</v>
      </c>
      <c r="CO368" s="51">
        <v>2234</v>
      </c>
      <c r="CP368" s="51">
        <v>1890</v>
      </c>
      <c r="CQ368" s="51">
        <v>2844</v>
      </c>
      <c r="CR368" s="51">
        <v>1298</v>
      </c>
      <c r="CS368" s="51">
        <v>599</v>
      </c>
      <c r="CT368" s="51">
        <v>2650</v>
      </c>
      <c r="CU368" s="51">
        <v>0</v>
      </c>
      <c r="CV368" s="51">
        <v>0</v>
      </c>
      <c r="CW368" s="51">
        <v>0</v>
      </c>
      <c r="CX368" s="51">
        <v>0</v>
      </c>
      <c r="CY368" s="51">
        <v>0</v>
      </c>
      <c r="CZ368" s="51">
        <v>0</v>
      </c>
      <c r="DA368" s="51">
        <v>0</v>
      </c>
      <c r="DB368" s="51">
        <v>0</v>
      </c>
      <c r="DC368" s="51">
        <v>0</v>
      </c>
      <c r="DD368" s="51">
        <v>0</v>
      </c>
      <c r="DE368" s="51">
        <v>0</v>
      </c>
      <c r="DF368" s="52">
        <v>0</v>
      </c>
      <c r="DG368" s="52">
        <v>0</v>
      </c>
      <c r="DH368" s="52">
        <v>0</v>
      </c>
      <c r="DI368" s="52">
        <v>0</v>
      </c>
      <c r="DJ368" s="52">
        <v>0</v>
      </c>
      <c r="DK368" s="52">
        <v>0</v>
      </c>
      <c r="DL368" s="52">
        <v>0</v>
      </c>
      <c r="DM368" s="52">
        <v>18</v>
      </c>
      <c r="DN368" s="52">
        <v>57</v>
      </c>
      <c r="DO368" s="52">
        <v>0</v>
      </c>
      <c r="DP368" s="52">
        <v>0</v>
      </c>
      <c r="DQ368" s="52">
        <v>0</v>
      </c>
      <c r="DR368" s="52">
        <v>49</v>
      </c>
      <c r="DS368" s="53">
        <v>0</v>
      </c>
      <c r="DT368" s="53">
        <v>0</v>
      </c>
      <c r="DU368" s="53">
        <v>0</v>
      </c>
      <c r="DV368" s="53">
        <v>0</v>
      </c>
      <c r="DW368" s="53">
        <v>0</v>
      </c>
      <c r="DX368" s="2"/>
      <c r="DY368" s="2"/>
      <c r="DZ368" s="46">
        <f t="shared" si="80"/>
        <v>0</v>
      </c>
      <c r="EA368" s="46">
        <f t="shared" si="81"/>
        <v>0</v>
      </c>
      <c r="EB368" s="46">
        <f t="shared" si="82"/>
        <v>0</v>
      </c>
      <c r="EC368" s="46">
        <f t="shared" si="83"/>
        <v>0</v>
      </c>
      <c r="ED368" s="46">
        <f t="shared" si="84"/>
        <v>0</v>
      </c>
      <c r="EE368" s="46">
        <f t="shared" si="85"/>
        <v>3389</v>
      </c>
      <c r="EF368" s="46">
        <f t="shared" si="86"/>
        <v>17164</v>
      </c>
      <c r="EG368" s="46">
        <f t="shared" si="87"/>
        <v>12775</v>
      </c>
      <c r="EH368" s="46">
        <f t="shared" si="90"/>
        <v>0</v>
      </c>
      <c r="EI368" s="46">
        <f t="shared" si="89"/>
        <v>75</v>
      </c>
    </row>
    <row r="369" spans="3:139">
      <c r="C369" s="36" t="s">
        <v>565</v>
      </c>
      <c r="D369" s="36" t="s">
        <v>544</v>
      </c>
      <c r="E369" s="36" t="s">
        <v>545</v>
      </c>
      <c r="F369" s="38">
        <f t="shared" si="88"/>
        <v>458</v>
      </c>
      <c r="G369" s="37" t="s">
        <v>546</v>
      </c>
      <c r="H369" s="47"/>
      <c r="I369" s="48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8"/>
      <c r="U369" s="48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8"/>
      <c r="AG369" s="48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50"/>
      <c r="BQ369" s="50"/>
      <c r="BR369" s="50"/>
      <c r="BS369" s="50"/>
      <c r="BT369" s="50"/>
      <c r="BU369" s="50"/>
      <c r="BV369" s="50"/>
      <c r="BW369" s="50">
        <v>20</v>
      </c>
      <c r="BX369" s="50">
        <v>130</v>
      </c>
      <c r="BY369" s="50">
        <v>60</v>
      </c>
      <c r="BZ369" s="50">
        <v>9</v>
      </c>
      <c r="CA369" s="50">
        <v>0</v>
      </c>
      <c r="CB369" s="50">
        <v>100</v>
      </c>
      <c r="CC369" s="50">
        <v>0</v>
      </c>
      <c r="CD369" s="50">
        <v>0</v>
      </c>
      <c r="CE369" s="50">
        <v>0</v>
      </c>
      <c r="CF369" s="50">
        <v>-1</v>
      </c>
      <c r="CG369" s="50">
        <v>40</v>
      </c>
      <c r="CH369" s="50">
        <v>-8</v>
      </c>
      <c r="CI369" s="50">
        <v>108</v>
      </c>
      <c r="CJ369" s="50">
        <v>0</v>
      </c>
      <c r="CK369" s="50">
        <v>0</v>
      </c>
      <c r="CL369" s="50">
        <v>0</v>
      </c>
      <c r="CM369" s="50">
        <v>0</v>
      </c>
      <c r="CN369" s="51">
        <v>0</v>
      </c>
      <c r="CO369" s="51">
        <v>0</v>
      </c>
      <c r="CP369" s="51">
        <v>0</v>
      </c>
      <c r="CQ369" s="51">
        <v>0</v>
      </c>
      <c r="CR369" s="51">
        <v>0</v>
      </c>
      <c r="CS369" s="51">
        <v>0</v>
      </c>
      <c r="CT369" s="51">
        <v>0</v>
      </c>
      <c r="CU369" s="51">
        <v>0</v>
      </c>
      <c r="CV369" s="51">
        <v>0</v>
      </c>
      <c r="CW369" s="51">
        <v>0</v>
      </c>
      <c r="CX369" s="51">
        <v>0</v>
      </c>
      <c r="CY369" s="51">
        <v>0</v>
      </c>
      <c r="CZ369" s="51">
        <v>0</v>
      </c>
      <c r="DA369" s="51">
        <v>0</v>
      </c>
      <c r="DB369" s="51">
        <v>0</v>
      </c>
      <c r="DC369" s="51">
        <v>0</v>
      </c>
      <c r="DD369" s="51">
        <v>0</v>
      </c>
      <c r="DE369" s="51">
        <v>0</v>
      </c>
      <c r="DF369" s="52">
        <v>0</v>
      </c>
      <c r="DG369" s="52">
        <v>0</v>
      </c>
      <c r="DH369" s="52">
        <v>0</v>
      </c>
      <c r="DI369" s="52">
        <v>0</v>
      </c>
      <c r="DJ369" s="52">
        <v>0</v>
      </c>
      <c r="DK369" s="52">
        <v>0</v>
      </c>
      <c r="DL369" s="52">
        <v>0</v>
      </c>
      <c r="DM369" s="52">
        <v>0</v>
      </c>
      <c r="DN369" s="52">
        <v>0</v>
      </c>
      <c r="DO369" s="52">
        <v>0</v>
      </c>
      <c r="DP369" s="52">
        <v>0</v>
      </c>
      <c r="DQ369" s="52">
        <v>0</v>
      </c>
      <c r="DR369" s="52">
        <v>2</v>
      </c>
      <c r="DS369" s="53">
        <v>0</v>
      </c>
      <c r="DT369" s="53">
        <v>0</v>
      </c>
      <c r="DU369" s="53">
        <v>0</v>
      </c>
      <c r="DV369" s="53">
        <v>0</v>
      </c>
      <c r="DW369" s="53">
        <v>0</v>
      </c>
      <c r="DX369" s="2"/>
      <c r="DY369" s="2"/>
      <c r="DZ369" s="46">
        <f t="shared" si="80"/>
        <v>0</v>
      </c>
      <c r="EA369" s="46">
        <f t="shared" si="81"/>
        <v>0</v>
      </c>
      <c r="EB369" s="46">
        <f t="shared" si="82"/>
        <v>0</v>
      </c>
      <c r="EC369" s="46">
        <f t="shared" si="83"/>
        <v>0</v>
      </c>
      <c r="ED369" s="46">
        <f t="shared" si="84"/>
        <v>0</v>
      </c>
      <c r="EE369" s="46">
        <f t="shared" si="85"/>
        <v>219</v>
      </c>
      <c r="EF369" s="46">
        <f t="shared" si="86"/>
        <v>239</v>
      </c>
      <c r="EG369" s="46">
        <f t="shared" si="87"/>
        <v>0</v>
      </c>
      <c r="EH369" s="46">
        <f t="shared" si="90"/>
        <v>0</v>
      </c>
      <c r="EI369" s="46">
        <f t="shared" si="89"/>
        <v>0</v>
      </c>
    </row>
    <row r="370" spans="3:139">
      <c r="C370" s="36" t="s">
        <v>566</v>
      </c>
      <c r="D370" s="36" t="s">
        <v>544</v>
      </c>
      <c r="E370" s="36" t="s">
        <v>545</v>
      </c>
      <c r="F370" s="38">
        <f t="shared" si="88"/>
        <v>4370</v>
      </c>
      <c r="G370" s="37" t="s">
        <v>546</v>
      </c>
      <c r="H370" s="47"/>
      <c r="I370" s="48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8"/>
      <c r="U370" s="48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8"/>
      <c r="AG370" s="48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50"/>
      <c r="BQ370" s="50"/>
      <c r="BR370" s="50"/>
      <c r="BS370" s="50"/>
      <c r="BT370" s="50"/>
      <c r="BU370" s="50"/>
      <c r="BV370" s="50"/>
      <c r="BW370" s="50">
        <v>219</v>
      </c>
      <c r="BX370" s="50">
        <v>340</v>
      </c>
      <c r="BY370" s="50"/>
      <c r="BZ370" s="50">
        <v>210</v>
      </c>
      <c r="CA370" s="50">
        <v>540</v>
      </c>
      <c r="CB370" s="50">
        <v>300</v>
      </c>
      <c r="CC370" s="50">
        <v>0</v>
      </c>
      <c r="CD370" s="50">
        <v>0</v>
      </c>
      <c r="CE370" s="50">
        <v>50</v>
      </c>
      <c r="CF370" s="50">
        <v>100</v>
      </c>
      <c r="CG370" s="50"/>
      <c r="CH370" s="50">
        <v>93</v>
      </c>
      <c r="CI370" s="50">
        <v>407</v>
      </c>
      <c r="CJ370" s="50">
        <v>544</v>
      </c>
      <c r="CK370" s="50">
        <v>-1</v>
      </c>
      <c r="CL370" s="50">
        <v>498</v>
      </c>
      <c r="CM370" s="50">
        <v>0</v>
      </c>
      <c r="CN370" s="51">
        <v>99</v>
      </c>
      <c r="CO370" s="51">
        <v>93</v>
      </c>
      <c r="CP370" s="51">
        <v>407</v>
      </c>
      <c r="CQ370" s="51">
        <v>147</v>
      </c>
      <c r="CR370" s="51">
        <v>324</v>
      </c>
      <c r="CS370" s="51">
        <v>0</v>
      </c>
      <c r="CT370" s="51">
        <v>0</v>
      </c>
      <c r="CU370" s="51">
        <v>0</v>
      </c>
      <c r="CV370" s="51">
        <v>0</v>
      </c>
      <c r="CW370" s="51">
        <v>0</v>
      </c>
      <c r="CX370" s="51">
        <v>0</v>
      </c>
      <c r="CY370" s="51">
        <v>0</v>
      </c>
      <c r="CZ370" s="51">
        <v>0</v>
      </c>
      <c r="DA370" s="51">
        <v>0</v>
      </c>
      <c r="DB370" s="51">
        <v>0</v>
      </c>
      <c r="DC370" s="51">
        <v>0</v>
      </c>
      <c r="DD370" s="51">
        <v>0</v>
      </c>
      <c r="DE370" s="51">
        <v>0</v>
      </c>
      <c r="DF370" s="52">
        <v>0</v>
      </c>
      <c r="DG370" s="52">
        <v>0</v>
      </c>
      <c r="DH370" s="52">
        <v>0</v>
      </c>
      <c r="DI370" s="52">
        <v>0</v>
      </c>
      <c r="DJ370" s="52">
        <v>0</v>
      </c>
      <c r="DK370" s="52">
        <v>0</v>
      </c>
      <c r="DL370" s="52">
        <v>0</v>
      </c>
      <c r="DM370" s="52">
        <v>0</v>
      </c>
      <c r="DN370" s="52">
        <v>0</v>
      </c>
      <c r="DO370" s="52">
        <v>0</v>
      </c>
      <c r="DP370" s="52">
        <v>0</v>
      </c>
      <c r="DQ370" s="52">
        <v>0</v>
      </c>
      <c r="DR370" s="52">
        <v>9</v>
      </c>
      <c r="DS370" s="53">
        <v>0</v>
      </c>
      <c r="DT370" s="53">
        <v>0</v>
      </c>
      <c r="DU370" s="53">
        <v>0</v>
      </c>
      <c r="DV370" s="53">
        <v>0</v>
      </c>
      <c r="DW370" s="53">
        <v>0</v>
      </c>
      <c r="DX370" s="2"/>
      <c r="DY370" s="2"/>
      <c r="DZ370" s="46">
        <f t="shared" si="80"/>
        <v>0</v>
      </c>
      <c r="EA370" s="46">
        <f t="shared" si="81"/>
        <v>0</v>
      </c>
      <c r="EB370" s="46">
        <f t="shared" si="82"/>
        <v>0</v>
      </c>
      <c r="EC370" s="46">
        <f t="shared" si="83"/>
        <v>0</v>
      </c>
      <c r="ED370" s="46">
        <f t="shared" si="84"/>
        <v>0</v>
      </c>
      <c r="EE370" s="46">
        <f t="shared" si="85"/>
        <v>1309</v>
      </c>
      <c r="EF370" s="46">
        <f t="shared" si="86"/>
        <v>1991</v>
      </c>
      <c r="EG370" s="46">
        <f t="shared" si="87"/>
        <v>1070</v>
      </c>
      <c r="EH370" s="46">
        <f t="shared" si="90"/>
        <v>0</v>
      </c>
      <c r="EI370" s="46">
        <f t="shared" si="89"/>
        <v>0</v>
      </c>
    </row>
    <row r="371" spans="3:139">
      <c r="C371" s="36" t="s">
        <v>567</v>
      </c>
      <c r="D371" s="36" t="s">
        <v>544</v>
      </c>
      <c r="E371" s="36" t="s">
        <v>545</v>
      </c>
      <c r="F371" s="38">
        <f t="shared" si="88"/>
        <v>5237</v>
      </c>
      <c r="G371" s="37" t="s">
        <v>546</v>
      </c>
      <c r="H371" s="47"/>
      <c r="I371" s="48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8"/>
      <c r="U371" s="48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8"/>
      <c r="AG371" s="48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50"/>
      <c r="BQ371" s="50"/>
      <c r="BR371" s="50"/>
      <c r="BS371" s="50"/>
      <c r="BT371" s="50"/>
      <c r="BU371" s="50"/>
      <c r="BV371" s="50"/>
      <c r="BW371" s="50">
        <v>420</v>
      </c>
      <c r="BX371" s="50">
        <v>550</v>
      </c>
      <c r="BY371" s="50">
        <v>60</v>
      </c>
      <c r="BZ371" s="50">
        <v>756</v>
      </c>
      <c r="CA371" s="50">
        <v>160</v>
      </c>
      <c r="CB371" s="50">
        <v>300</v>
      </c>
      <c r="CC371" s="50">
        <v>440</v>
      </c>
      <c r="CD371" s="50">
        <v>449</v>
      </c>
      <c r="CE371" s="50">
        <v>390</v>
      </c>
      <c r="CF371" s="50">
        <v>50</v>
      </c>
      <c r="CG371" s="50">
        <v>160</v>
      </c>
      <c r="CH371" s="50">
        <v>10</v>
      </c>
      <c r="CI371" s="50">
        <v>548</v>
      </c>
      <c r="CJ371" s="50">
        <v>-16</v>
      </c>
      <c r="CK371" s="50">
        <v>179</v>
      </c>
      <c r="CL371" s="50">
        <v>300</v>
      </c>
      <c r="CM371" s="50">
        <v>67</v>
      </c>
      <c r="CN371" s="51">
        <v>13</v>
      </c>
      <c r="CO371" s="51">
        <v>91</v>
      </c>
      <c r="CP371" s="51">
        <v>90</v>
      </c>
      <c r="CQ371" s="51">
        <v>179</v>
      </c>
      <c r="CR371" s="51">
        <v>19</v>
      </c>
      <c r="CS371" s="51">
        <v>-1</v>
      </c>
      <c r="CT371" s="51">
        <v>0</v>
      </c>
      <c r="CU371" s="51">
        <v>0</v>
      </c>
      <c r="CV371" s="51">
        <v>0</v>
      </c>
      <c r="CW371" s="51">
        <v>0</v>
      </c>
      <c r="CX371" s="51">
        <v>0</v>
      </c>
      <c r="CY371" s="51">
        <v>0</v>
      </c>
      <c r="CZ371" s="51">
        <v>0</v>
      </c>
      <c r="DA371" s="51">
        <v>0</v>
      </c>
      <c r="DB371" s="51">
        <v>0</v>
      </c>
      <c r="DC371" s="51">
        <v>0</v>
      </c>
      <c r="DD371" s="51">
        <v>0</v>
      </c>
      <c r="DE371" s="51">
        <v>0</v>
      </c>
      <c r="DF371" s="52">
        <v>0</v>
      </c>
      <c r="DG371" s="52">
        <v>0</v>
      </c>
      <c r="DH371" s="52">
        <v>0</v>
      </c>
      <c r="DI371" s="52">
        <v>0</v>
      </c>
      <c r="DJ371" s="52">
        <v>0</v>
      </c>
      <c r="DK371" s="52">
        <v>0</v>
      </c>
      <c r="DL371" s="52">
        <v>0</v>
      </c>
      <c r="DM371" s="52">
        <v>23</v>
      </c>
      <c r="DN371" s="52">
        <v>0</v>
      </c>
      <c r="DO371" s="52">
        <v>0</v>
      </c>
      <c r="DP371" s="52">
        <v>0</v>
      </c>
      <c r="DQ371" s="52">
        <v>0</v>
      </c>
      <c r="DR371" s="52">
        <v>34</v>
      </c>
      <c r="DS371" s="53">
        <v>0</v>
      </c>
      <c r="DT371" s="53">
        <v>0</v>
      </c>
      <c r="DU371" s="53">
        <v>0</v>
      </c>
      <c r="DV371" s="53">
        <v>0</v>
      </c>
      <c r="DW371" s="53">
        <v>0</v>
      </c>
      <c r="DX371" s="2"/>
      <c r="DY371" s="2"/>
      <c r="DZ371" s="46">
        <f t="shared" si="80"/>
        <v>0</v>
      </c>
      <c r="EA371" s="46">
        <f t="shared" si="81"/>
        <v>0</v>
      </c>
      <c r="EB371" s="46">
        <f t="shared" si="82"/>
        <v>0</v>
      </c>
      <c r="EC371" s="46">
        <f t="shared" si="83"/>
        <v>0</v>
      </c>
      <c r="ED371" s="46">
        <f t="shared" si="84"/>
        <v>0</v>
      </c>
      <c r="EE371" s="46">
        <f t="shared" si="85"/>
        <v>1946</v>
      </c>
      <c r="EF371" s="46">
        <f t="shared" si="86"/>
        <v>2877</v>
      </c>
      <c r="EG371" s="46">
        <f t="shared" si="87"/>
        <v>391</v>
      </c>
      <c r="EH371" s="46">
        <f t="shared" si="90"/>
        <v>0</v>
      </c>
      <c r="EI371" s="46">
        <f t="shared" si="89"/>
        <v>23</v>
      </c>
    </row>
    <row r="372" spans="3:139">
      <c r="C372" s="36" t="s">
        <v>568</v>
      </c>
      <c r="D372" s="36" t="s">
        <v>544</v>
      </c>
      <c r="E372" s="36" t="s">
        <v>545</v>
      </c>
      <c r="F372" s="38">
        <f t="shared" si="88"/>
        <v>2909</v>
      </c>
      <c r="G372" s="37" t="s">
        <v>546</v>
      </c>
      <c r="H372" s="47"/>
      <c r="I372" s="48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8"/>
      <c r="U372" s="48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8"/>
      <c r="AG372" s="48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50"/>
      <c r="BQ372" s="50"/>
      <c r="BR372" s="50"/>
      <c r="BS372" s="50"/>
      <c r="BT372" s="50"/>
      <c r="BU372" s="50"/>
      <c r="BV372" s="50"/>
      <c r="BW372" s="50">
        <v>20</v>
      </c>
      <c r="BX372" s="50">
        <v>450</v>
      </c>
      <c r="BY372" s="50"/>
      <c r="BZ372" s="50">
        <v>160</v>
      </c>
      <c r="CA372" s="50">
        <v>250</v>
      </c>
      <c r="CB372" s="50">
        <v>0</v>
      </c>
      <c r="CC372" s="50">
        <v>0</v>
      </c>
      <c r="CD372" s="50">
        <v>790</v>
      </c>
      <c r="CE372" s="50">
        <v>0</v>
      </c>
      <c r="CF372" s="50">
        <v>100</v>
      </c>
      <c r="CG372" s="50">
        <v>200</v>
      </c>
      <c r="CH372" s="50">
        <v>30</v>
      </c>
      <c r="CI372" s="50">
        <v>0</v>
      </c>
      <c r="CJ372" s="50">
        <v>491</v>
      </c>
      <c r="CK372" s="50">
        <v>8</v>
      </c>
      <c r="CL372" s="50">
        <v>300</v>
      </c>
      <c r="CM372" s="50">
        <v>110</v>
      </c>
      <c r="CN372" s="51">
        <v>0</v>
      </c>
      <c r="CO372" s="51">
        <v>0</v>
      </c>
      <c r="CP372" s="51">
        <v>0</v>
      </c>
      <c r="CQ372" s="51">
        <v>0</v>
      </c>
      <c r="CR372" s="51">
        <v>0</v>
      </c>
      <c r="CS372" s="51">
        <v>0</v>
      </c>
      <c r="CT372" s="51">
        <v>0</v>
      </c>
      <c r="CU372" s="51">
        <v>0</v>
      </c>
      <c r="CV372" s="51">
        <v>0</v>
      </c>
      <c r="CW372" s="51">
        <v>0</v>
      </c>
      <c r="CX372" s="51">
        <v>0</v>
      </c>
      <c r="CY372" s="51">
        <v>0</v>
      </c>
      <c r="CZ372" s="51">
        <v>0</v>
      </c>
      <c r="DA372" s="51">
        <v>0</v>
      </c>
      <c r="DB372" s="51">
        <v>0</v>
      </c>
      <c r="DC372" s="51">
        <v>0</v>
      </c>
      <c r="DD372" s="51">
        <v>0</v>
      </c>
      <c r="DE372" s="51">
        <v>0</v>
      </c>
      <c r="DF372" s="52">
        <v>0</v>
      </c>
      <c r="DG372" s="52">
        <v>0</v>
      </c>
      <c r="DH372" s="52">
        <v>0</v>
      </c>
      <c r="DI372" s="52">
        <v>0</v>
      </c>
      <c r="DJ372" s="52">
        <v>0</v>
      </c>
      <c r="DK372" s="52">
        <v>0</v>
      </c>
      <c r="DL372" s="52">
        <v>0</v>
      </c>
      <c r="DM372" s="52">
        <v>0</v>
      </c>
      <c r="DN372" s="52">
        <v>0</v>
      </c>
      <c r="DO372" s="52">
        <v>0</v>
      </c>
      <c r="DP372" s="52">
        <v>0</v>
      </c>
      <c r="DQ372" s="52">
        <v>0</v>
      </c>
      <c r="DR372" s="52">
        <v>0</v>
      </c>
      <c r="DS372" s="53">
        <v>0</v>
      </c>
      <c r="DT372" s="53">
        <v>0</v>
      </c>
      <c r="DU372" s="53">
        <v>0</v>
      </c>
      <c r="DV372" s="53">
        <v>0</v>
      </c>
      <c r="DW372" s="53">
        <v>0</v>
      </c>
      <c r="DX372" s="2"/>
      <c r="DY372" s="2"/>
      <c r="DZ372" s="46">
        <f t="shared" si="80"/>
        <v>0</v>
      </c>
      <c r="EA372" s="46">
        <f t="shared" si="81"/>
        <v>0</v>
      </c>
      <c r="EB372" s="46">
        <f t="shared" si="82"/>
        <v>0</v>
      </c>
      <c r="EC372" s="46">
        <f t="shared" si="83"/>
        <v>0</v>
      </c>
      <c r="ED372" s="46">
        <f t="shared" si="84"/>
        <v>0</v>
      </c>
      <c r="EE372" s="46">
        <f t="shared" si="85"/>
        <v>880</v>
      </c>
      <c r="EF372" s="46">
        <f t="shared" si="86"/>
        <v>2029</v>
      </c>
      <c r="EG372" s="46">
        <f t="shared" si="87"/>
        <v>0</v>
      </c>
      <c r="EH372" s="46">
        <f t="shared" si="90"/>
        <v>0</v>
      </c>
      <c r="EI372" s="46">
        <f t="shared" si="89"/>
        <v>0</v>
      </c>
    </row>
    <row r="373" spans="3:139">
      <c r="C373" s="36" t="s">
        <v>569</v>
      </c>
      <c r="D373" s="36" t="s">
        <v>544</v>
      </c>
      <c r="E373" s="36" t="s">
        <v>545</v>
      </c>
      <c r="F373" s="38">
        <f t="shared" si="88"/>
        <v>235</v>
      </c>
      <c r="G373" s="37" t="s">
        <v>546</v>
      </c>
      <c r="H373" s="47"/>
      <c r="I373" s="48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8"/>
      <c r="U373" s="48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8"/>
      <c r="AG373" s="48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  <c r="BP373" s="50"/>
      <c r="BQ373" s="50"/>
      <c r="BR373" s="50"/>
      <c r="BS373" s="50"/>
      <c r="BT373" s="50"/>
      <c r="BU373" s="50"/>
      <c r="BV373" s="50"/>
      <c r="BW373" s="50">
        <v>20</v>
      </c>
      <c r="BX373" s="50">
        <v>160</v>
      </c>
      <c r="BY373" s="50"/>
      <c r="BZ373" s="50">
        <v>42</v>
      </c>
      <c r="CA373" s="50">
        <v>0</v>
      </c>
      <c r="CB373" s="50">
        <v>0</v>
      </c>
      <c r="CC373" s="50">
        <v>0</v>
      </c>
      <c r="CD373" s="50">
        <v>0</v>
      </c>
      <c r="CE373" s="50">
        <v>0</v>
      </c>
      <c r="CF373" s="50">
        <v>0</v>
      </c>
      <c r="CG373" s="50"/>
      <c r="CH373" s="50">
        <v>-3</v>
      </c>
      <c r="CI373" s="50">
        <v>0</v>
      </c>
      <c r="CJ373" s="50">
        <v>0</v>
      </c>
      <c r="CK373" s="50">
        <v>16</v>
      </c>
      <c r="CL373" s="50">
        <v>0</v>
      </c>
      <c r="CM373" s="50">
        <v>0</v>
      </c>
      <c r="CN373" s="51">
        <v>0</v>
      </c>
      <c r="CO373" s="51">
        <v>0</v>
      </c>
      <c r="CP373" s="51">
        <v>0</v>
      </c>
      <c r="CQ373" s="51">
        <v>0</v>
      </c>
      <c r="CR373" s="51">
        <v>0</v>
      </c>
      <c r="CS373" s="51">
        <v>0</v>
      </c>
      <c r="CT373" s="51">
        <v>0</v>
      </c>
      <c r="CU373" s="51">
        <v>0</v>
      </c>
      <c r="CV373" s="51">
        <v>0</v>
      </c>
      <c r="CW373" s="51">
        <v>0</v>
      </c>
      <c r="CX373" s="51">
        <v>0</v>
      </c>
      <c r="CY373" s="51">
        <v>0</v>
      </c>
      <c r="CZ373" s="51">
        <v>0</v>
      </c>
      <c r="DA373" s="51">
        <v>0</v>
      </c>
      <c r="DB373" s="51">
        <v>0</v>
      </c>
      <c r="DC373" s="51">
        <v>0</v>
      </c>
      <c r="DD373" s="51">
        <v>0</v>
      </c>
      <c r="DE373" s="51">
        <v>0</v>
      </c>
      <c r="DF373" s="52">
        <v>0</v>
      </c>
      <c r="DG373" s="52">
        <v>0</v>
      </c>
      <c r="DH373" s="52">
        <v>0</v>
      </c>
      <c r="DI373" s="52">
        <v>0</v>
      </c>
      <c r="DJ373" s="52">
        <v>0</v>
      </c>
      <c r="DK373" s="52">
        <v>0</v>
      </c>
      <c r="DL373" s="52">
        <v>0</v>
      </c>
      <c r="DM373" s="52">
        <v>0</v>
      </c>
      <c r="DN373" s="52">
        <v>0</v>
      </c>
      <c r="DO373" s="52">
        <v>0</v>
      </c>
      <c r="DP373" s="52">
        <v>0</v>
      </c>
      <c r="DQ373" s="52">
        <v>0</v>
      </c>
      <c r="DR373" s="52">
        <v>0</v>
      </c>
      <c r="DS373" s="53">
        <v>0</v>
      </c>
      <c r="DT373" s="53">
        <v>0</v>
      </c>
      <c r="DU373" s="53">
        <v>0</v>
      </c>
      <c r="DV373" s="53">
        <v>0</v>
      </c>
      <c r="DW373" s="53">
        <v>0</v>
      </c>
      <c r="DX373" s="2"/>
      <c r="DY373" s="2"/>
      <c r="DZ373" s="46">
        <f t="shared" si="80"/>
        <v>0</v>
      </c>
      <c r="EA373" s="46">
        <f t="shared" si="81"/>
        <v>0</v>
      </c>
      <c r="EB373" s="46">
        <f t="shared" si="82"/>
        <v>0</v>
      </c>
      <c r="EC373" s="46">
        <f t="shared" si="83"/>
        <v>0</v>
      </c>
      <c r="ED373" s="46">
        <f t="shared" si="84"/>
        <v>0</v>
      </c>
      <c r="EE373" s="46">
        <f t="shared" si="85"/>
        <v>222</v>
      </c>
      <c r="EF373" s="46">
        <f t="shared" si="86"/>
        <v>13</v>
      </c>
      <c r="EG373" s="46">
        <f t="shared" si="87"/>
        <v>0</v>
      </c>
      <c r="EH373" s="46">
        <f t="shared" si="90"/>
        <v>0</v>
      </c>
      <c r="EI373" s="46">
        <f t="shared" si="89"/>
        <v>0</v>
      </c>
    </row>
    <row r="374" spans="3:139">
      <c r="C374" s="36" t="s">
        <v>570</v>
      </c>
      <c r="D374" s="36" t="s">
        <v>544</v>
      </c>
      <c r="E374" s="36" t="s">
        <v>545</v>
      </c>
      <c r="F374" s="38">
        <f t="shared" si="88"/>
        <v>8519</v>
      </c>
      <c r="G374" s="37" t="s">
        <v>546</v>
      </c>
      <c r="H374" s="47"/>
      <c r="I374" s="48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8"/>
      <c r="U374" s="48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8"/>
      <c r="AG374" s="48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M374" s="49"/>
      <c r="BN374" s="49"/>
      <c r="BO374" s="49"/>
      <c r="BP374" s="50"/>
      <c r="BQ374" s="50"/>
      <c r="BR374" s="50"/>
      <c r="BS374" s="50"/>
      <c r="BT374" s="50"/>
      <c r="BU374" s="50"/>
      <c r="BV374" s="50"/>
      <c r="BW374" s="50">
        <v>20</v>
      </c>
      <c r="BX374" s="50">
        <v>600</v>
      </c>
      <c r="BY374" s="50">
        <v>400</v>
      </c>
      <c r="BZ374" s="50">
        <v>709</v>
      </c>
      <c r="CA374" s="50">
        <v>0</v>
      </c>
      <c r="CB374" s="50">
        <v>540</v>
      </c>
      <c r="CC374" s="50">
        <v>630</v>
      </c>
      <c r="CD374" s="50">
        <v>200</v>
      </c>
      <c r="CE374" s="50">
        <v>0</v>
      </c>
      <c r="CF374" s="50">
        <v>350</v>
      </c>
      <c r="CG374" s="50">
        <v>240</v>
      </c>
      <c r="CH374" s="50">
        <v>576</v>
      </c>
      <c r="CI374" s="50">
        <v>266</v>
      </c>
      <c r="CJ374" s="50">
        <v>557</v>
      </c>
      <c r="CK374" s="50">
        <v>391</v>
      </c>
      <c r="CL374" s="50">
        <v>529</v>
      </c>
      <c r="CM374" s="50">
        <v>95</v>
      </c>
      <c r="CN374" s="51">
        <v>846</v>
      </c>
      <c r="CO374" s="51">
        <v>-2</v>
      </c>
      <c r="CP374" s="51">
        <v>560</v>
      </c>
      <c r="CQ374" s="51">
        <v>309</v>
      </c>
      <c r="CR374" s="51">
        <v>327</v>
      </c>
      <c r="CS374" s="51">
        <v>0</v>
      </c>
      <c r="CT374" s="51">
        <v>353</v>
      </c>
      <c r="CU374" s="51">
        <v>0</v>
      </c>
      <c r="CV374" s="51">
        <v>0</v>
      </c>
      <c r="CW374" s="51">
        <v>0</v>
      </c>
      <c r="CX374" s="51">
        <v>0</v>
      </c>
      <c r="CY374" s="51">
        <v>0</v>
      </c>
      <c r="CZ374" s="51">
        <v>0</v>
      </c>
      <c r="DA374" s="51">
        <v>0</v>
      </c>
      <c r="DB374" s="51">
        <v>0</v>
      </c>
      <c r="DC374" s="51">
        <v>0</v>
      </c>
      <c r="DD374" s="51">
        <v>0</v>
      </c>
      <c r="DE374" s="51">
        <v>0</v>
      </c>
      <c r="DF374" s="52">
        <v>0</v>
      </c>
      <c r="DG374" s="52">
        <v>0</v>
      </c>
      <c r="DH374" s="52">
        <v>0</v>
      </c>
      <c r="DI374" s="52">
        <v>0</v>
      </c>
      <c r="DJ374" s="52">
        <v>0</v>
      </c>
      <c r="DK374" s="52">
        <v>0</v>
      </c>
      <c r="DL374" s="52">
        <v>0</v>
      </c>
      <c r="DM374" s="52">
        <v>0</v>
      </c>
      <c r="DN374" s="52">
        <v>0</v>
      </c>
      <c r="DO374" s="52">
        <v>23</v>
      </c>
      <c r="DP374" s="52">
        <v>0</v>
      </c>
      <c r="DQ374" s="52">
        <v>0</v>
      </c>
      <c r="DR374" s="52">
        <v>0</v>
      </c>
      <c r="DS374" s="53">
        <v>0</v>
      </c>
      <c r="DT374" s="53">
        <v>0</v>
      </c>
      <c r="DU374" s="53">
        <v>0</v>
      </c>
      <c r="DV374" s="53">
        <v>0</v>
      </c>
      <c r="DW374" s="53">
        <v>0</v>
      </c>
      <c r="DX374" s="2"/>
      <c r="DY374" s="2"/>
      <c r="DZ374" s="46">
        <f t="shared" si="80"/>
        <v>0</v>
      </c>
      <c r="EA374" s="46">
        <f t="shared" si="81"/>
        <v>0</v>
      </c>
      <c r="EB374" s="46">
        <f t="shared" si="82"/>
        <v>0</v>
      </c>
      <c r="EC374" s="46">
        <f t="shared" si="83"/>
        <v>0</v>
      </c>
      <c r="ED374" s="46">
        <f t="shared" si="84"/>
        <v>0</v>
      </c>
      <c r="EE374" s="46">
        <f t="shared" si="85"/>
        <v>1729</v>
      </c>
      <c r="EF374" s="46">
        <f t="shared" si="86"/>
        <v>4374</v>
      </c>
      <c r="EG374" s="46">
        <f t="shared" si="87"/>
        <v>2393</v>
      </c>
      <c r="EH374" s="46">
        <f t="shared" si="90"/>
        <v>0</v>
      </c>
      <c r="EI374" s="46">
        <f t="shared" si="89"/>
        <v>23</v>
      </c>
    </row>
    <row r="375" spans="3:139">
      <c r="C375" s="36" t="s">
        <v>571</v>
      </c>
      <c r="D375" s="36" t="s">
        <v>544</v>
      </c>
      <c r="E375" s="36" t="s">
        <v>545</v>
      </c>
      <c r="F375" s="38">
        <f t="shared" si="88"/>
        <v>10082</v>
      </c>
      <c r="G375" s="37" t="s">
        <v>546</v>
      </c>
      <c r="H375" s="47"/>
      <c r="I375" s="48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8"/>
      <c r="U375" s="48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8"/>
      <c r="AG375" s="48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  <c r="BP375" s="50"/>
      <c r="BQ375" s="50"/>
      <c r="BR375" s="50"/>
      <c r="BS375" s="50"/>
      <c r="BT375" s="50"/>
      <c r="BU375" s="50"/>
      <c r="BV375" s="50"/>
      <c r="BW375" s="50">
        <v>19</v>
      </c>
      <c r="BX375" s="50">
        <v>1000</v>
      </c>
      <c r="BY375" s="50"/>
      <c r="BZ375" s="50">
        <v>1018</v>
      </c>
      <c r="CA375" s="50">
        <v>0</v>
      </c>
      <c r="CB375" s="50">
        <v>340</v>
      </c>
      <c r="CC375" s="50">
        <v>970</v>
      </c>
      <c r="CD375" s="50">
        <v>702</v>
      </c>
      <c r="CE375" s="50">
        <v>0</v>
      </c>
      <c r="CF375" s="50">
        <v>349</v>
      </c>
      <c r="CG375" s="50">
        <v>400</v>
      </c>
      <c r="CH375" s="50">
        <v>102</v>
      </c>
      <c r="CI375" s="50">
        <v>616</v>
      </c>
      <c r="CJ375" s="50">
        <v>16</v>
      </c>
      <c r="CK375" s="50">
        <v>573</v>
      </c>
      <c r="CL375" s="50">
        <v>607</v>
      </c>
      <c r="CM375" s="50">
        <v>440</v>
      </c>
      <c r="CN375" s="51">
        <v>209</v>
      </c>
      <c r="CO375" s="51">
        <v>497</v>
      </c>
      <c r="CP375" s="51">
        <v>612</v>
      </c>
      <c r="CQ375" s="51">
        <v>360</v>
      </c>
      <c r="CR375" s="51">
        <v>545</v>
      </c>
      <c r="CS375" s="51">
        <v>52</v>
      </c>
      <c r="CT375" s="51">
        <v>655</v>
      </c>
      <c r="CU375" s="51">
        <v>0</v>
      </c>
      <c r="CV375" s="51">
        <v>0</v>
      </c>
      <c r="CW375" s="51">
        <v>0</v>
      </c>
      <c r="CX375" s="51">
        <v>0</v>
      </c>
      <c r="CY375" s="51">
        <v>0</v>
      </c>
      <c r="CZ375" s="51">
        <v>0</v>
      </c>
      <c r="DA375" s="51">
        <v>0</v>
      </c>
      <c r="DB375" s="51">
        <v>0</v>
      </c>
      <c r="DC375" s="51">
        <v>0</v>
      </c>
      <c r="DD375" s="51">
        <v>0</v>
      </c>
      <c r="DE375" s="51">
        <v>0</v>
      </c>
      <c r="DF375" s="52">
        <v>0</v>
      </c>
      <c r="DG375" s="52">
        <v>0</v>
      </c>
      <c r="DH375" s="52">
        <v>0</v>
      </c>
      <c r="DI375" s="52">
        <v>0</v>
      </c>
      <c r="DJ375" s="52">
        <v>0</v>
      </c>
      <c r="DK375" s="52">
        <v>0</v>
      </c>
      <c r="DL375" s="52">
        <v>0</v>
      </c>
      <c r="DM375" s="52">
        <v>0</v>
      </c>
      <c r="DN375" s="52">
        <v>0</v>
      </c>
      <c r="DO375" s="52">
        <v>0</v>
      </c>
      <c r="DP375" s="52">
        <v>0</v>
      </c>
      <c r="DQ375" s="52">
        <v>0</v>
      </c>
      <c r="DR375" s="52">
        <v>0</v>
      </c>
      <c r="DS375" s="53">
        <v>0</v>
      </c>
      <c r="DT375" s="53">
        <v>0</v>
      </c>
      <c r="DU375" s="53">
        <v>0</v>
      </c>
      <c r="DV375" s="53">
        <v>0</v>
      </c>
      <c r="DW375" s="53">
        <v>0</v>
      </c>
      <c r="DX375" s="2"/>
      <c r="DY375" s="2"/>
      <c r="DZ375" s="46">
        <f t="shared" si="80"/>
        <v>0</v>
      </c>
      <c r="EA375" s="46">
        <f t="shared" si="81"/>
        <v>0</v>
      </c>
      <c r="EB375" s="46">
        <f t="shared" si="82"/>
        <v>0</v>
      </c>
      <c r="EC375" s="46">
        <f t="shared" si="83"/>
        <v>0</v>
      </c>
      <c r="ED375" s="46">
        <f t="shared" si="84"/>
        <v>0</v>
      </c>
      <c r="EE375" s="46">
        <f t="shared" si="85"/>
        <v>2037</v>
      </c>
      <c r="EF375" s="46">
        <f t="shared" si="86"/>
        <v>5115</v>
      </c>
      <c r="EG375" s="46">
        <f t="shared" si="87"/>
        <v>2930</v>
      </c>
      <c r="EH375" s="46">
        <f t="shared" si="90"/>
        <v>0</v>
      </c>
      <c r="EI375" s="46">
        <f t="shared" si="89"/>
        <v>0</v>
      </c>
    </row>
    <row r="376" spans="3:139">
      <c r="C376" s="36" t="s">
        <v>572</v>
      </c>
      <c r="D376" s="36" t="s">
        <v>544</v>
      </c>
      <c r="E376" s="36" t="s">
        <v>545</v>
      </c>
      <c r="F376" s="38">
        <f t="shared" si="88"/>
        <v>54062</v>
      </c>
      <c r="G376" s="37" t="s">
        <v>546</v>
      </c>
      <c r="H376" s="47"/>
      <c r="I376" s="48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8"/>
      <c r="U376" s="48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8"/>
      <c r="AG376" s="48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M376" s="49"/>
      <c r="BN376" s="49"/>
      <c r="BO376" s="49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>
        <v>20</v>
      </c>
      <c r="BZ376" s="50"/>
      <c r="CA376" s="50">
        <v>20</v>
      </c>
      <c r="CB376" s="50">
        <v>30</v>
      </c>
      <c r="CC376" s="50">
        <v>50</v>
      </c>
      <c r="CD376" s="50">
        <v>200</v>
      </c>
      <c r="CE376" s="50">
        <v>5900</v>
      </c>
      <c r="CF376" s="50">
        <v>5567</v>
      </c>
      <c r="CG376" s="50">
        <v>6727</v>
      </c>
      <c r="CH376" s="50">
        <v>2557</v>
      </c>
      <c r="CI376" s="50">
        <v>6299</v>
      </c>
      <c r="CJ376" s="50">
        <v>5871</v>
      </c>
      <c r="CK376" s="50">
        <v>5164</v>
      </c>
      <c r="CL376" s="50">
        <v>3843</v>
      </c>
      <c r="CM376" s="50">
        <v>1893</v>
      </c>
      <c r="CN376" s="51">
        <v>1659</v>
      </c>
      <c r="CO376" s="51">
        <v>2649</v>
      </c>
      <c r="CP376" s="51">
        <v>1245</v>
      </c>
      <c r="CQ376" s="51">
        <v>1401</v>
      </c>
      <c r="CR376" s="51">
        <v>795</v>
      </c>
      <c r="CS376" s="51">
        <v>1450</v>
      </c>
      <c r="CT376" s="51">
        <v>600</v>
      </c>
      <c r="CU376" s="51">
        <v>0</v>
      </c>
      <c r="CV376" s="51">
        <v>0</v>
      </c>
      <c r="CW376" s="51">
        <v>0</v>
      </c>
      <c r="CX376" s="51">
        <v>0</v>
      </c>
      <c r="CY376" s="51">
        <v>0</v>
      </c>
      <c r="CZ376" s="51">
        <v>0</v>
      </c>
      <c r="DA376" s="51">
        <v>0</v>
      </c>
      <c r="DB376" s="51">
        <v>0</v>
      </c>
      <c r="DC376" s="51">
        <v>122</v>
      </c>
      <c r="DD376" s="51">
        <v>0</v>
      </c>
      <c r="DE376" s="51">
        <v>0</v>
      </c>
      <c r="DF376" s="52">
        <v>0</v>
      </c>
      <c r="DG376" s="52">
        <v>0</v>
      </c>
      <c r="DH376" s="52">
        <v>0</v>
      </c>
      <c r="DI376" s="52">
        <v>0</v>
      </c>
      <c r="DJ376" s="52">
        <v>0</v>
      </c>
      <c r="DK376" s="52">
        <v>0</v>
      </c>
      <c r="DL376" s="52">
        <v>0</v>
      </c>
      <c r="DM376" s="52">
        <v>0</v>
      </c>
      <c r="DN376" s="52">
        <v>0</v>
      </c>
      <c r="DO376" s="52">
        <v>0</v>
      </c>
      <c r="DP376" s="52">
        <v>0</v>
      </c>
      <c r="DQ376" s="52">
        <v>0</v>
      </c>
      <c r="DR376" s="52">
        <v>0</v>
      </c>
      <c r="DS376" s="53">
        <v>0</v>
      </c>
      <c r="DT376" s="53">
        <v>0</v>
      </c>
      <c r="DU376" s="53">
        <v>0</v>
      </c>
      <c r="DV376" s="53">
        <v>0</v>
      </c>
      <c r="DW376" s="53">
        <v>0</v>
      </c>
      <c r="DX376" s="2"/>
      <c r="DY376" s="2"/>
      <c r="DZ376" s="46">
        <f t="shared" si="80"/>
        <v>0</v>
      </c>
      <c r="EA376" s="46">
        <f t="shared" si="81"/>
        <v>0</v>
      </c>
      <c r="EB376" s="46">
        <f t="shared" si="82"/>
        <v>0</v>
      </c>
      <c r="EC376" s="46">
        <f t="shared" si="83"/>
        <v>0</v>
      </c>
      <c r="ED376" s="46">
        <f t="shared" si="84"/>
        <v>0</v>
      </c>
      <c r="EE376" s="46">
        <f t="shared" si="85"/>
        <v>40</v>
      </c>
      <c r="EF376" s="46">
        <f t="shared" si="86"/>
        <v>44101</v>
      </c>
      <c r="EG376" s="46">
        <f t="shared" si="87"/>
        <v>9799</v>
      </c>
      <c r="EH376" s="46">
        <f t="shared" si="90"/>
        <v>122</v>
      </c>
      <c r="EI376" s="46">
        <f t="shared" si="89"/>
        <v>0</v>
      </c>
    </row>
    <row r="377" spans="3:139">
      <c r="C377" s="36" t="s">
        <v>573</v>
      </c>
      <c r="D377" s="36" t="s">
        <v>544</v>
      </c>
      <c r="E377" s="36" t="s">
        <v>545</v>
      </c>
      <c r="F377" s="38">
        <f t="shared" si="88"/>
        <v>3493</v>
      </c>
      <c r="G377" s="37" t="s">
        <v>546</v>
      </c>
      <c r="H377" s="47"/>
      <c r="I377" s="48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8"/>
      <c r="U377" s="48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8"/>
      <c r="AG377" s="48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>
        <v>170</v>
      </c>
      <c r="CC377" s="50">
        <v>-1</v>
      </c>
      <c r="CD377" s="50">
        <v>300</v>
      </c>
      <c r="CE377" s="50">
        <v>0</v>
      </c>
      <c r="CF377" s="50">
        <v>300</v>
      </c>
      <c r="CG377" s="50">
        <v>300</v>
      </c>
      <c r="CH377" s="50">
        <v>-7</v>
      </c>
      <c r="CI377" s="50">
        <v>7</v>
      </c>
      <c r="CJ377" s="50">
        <v>0</v>
      </c>
      <c r="CK377" s="50">
        <v>0</v>
      </c>
      <c r="CL377" s="50">
        <v>378</v>
      </c>
      <c r="CM377" s="50">
        <v>0</v>
      </c>
      <c r="CN377" s="51">
        <v>198</v>
      </c>
      <c r="CO377" s="51">
        <v>70</v>
      </c>
      <c r="CP377" s="51">
        <v>141</v>
      </c>
      <c r="CQ377" s="51">
        <v>0</v>
      </c>
      <c r="CR377" s="51">
        <v>-6</v>
      </c>
      <c r="CS377" s="51">
        <v>42</v>
      </c>
      <c r="CT377" s="51">
        <v>48</v>
      </c>
      <c r="CU377" s="51">
        <v>0</v>
      </c>
      <c r="CV377" s="51">
        <v>130</v>
      </c>
      <c r="CW377" s="51">
        <v>440</v>
      </c>
      <c r="CX377" s="51">
        <v>70</v>
      </c>
      <c r="CY377" s="51">
        <v>40</v>
      </c>
      <c r="CZ377" s="51">
        <v>237</v>
      </c>
      <c r="DA377" s="51">
        <v>30</v>
      </c>
      <c r="DB377" s="51">
        <v>0</v>
      </c>
      <c r="DC377" s="51">
        <v>1</v>
      </c>
      <c r="DD377" s="51">
        <v>-8</v>
      </c>
      <c r="DE377" s="51">
        <v>84</v>
      </c>
      <c r="DF377" s="52">
        <v>93</v>
      </c>
      <c r="DG377" s="52">
        <v>12</v>
      </c>
      <c r="DH377" s="52">
        <v>0</v>
      </c>
      <c r="DI377" s="52">
        <v>0</v>
      </c>
      <c r="DJ377" s="52">
        <v>0</v>
      </c>
      <c r="DK377" s="52">
        <v>420</v>
      </c>
      <c r="DL377" s="52">
        <v>4</v>
      </c>
      <c r="DM377" s="52">
        <v>0</v>
      </c>
      <c r="DN377" s="52">
        <v>0</v>
      </c>
      <c r="DO377" s="52">
        <v>0</v>
      </c>
      <c r="DP377" s="52">
        <v>0</v>
      </c>
      <c r="DQ377" s="52">
        <v>0</v>
      </c>
      <c r="DR377" s="52">
        <v>0</v>
      </c>
      <c r="DS377" s="53">
        <v>0</v>
      </c>
      <c r="DT377" s="53">
        <v>0</v>
      </c>
      <c r="DU377" s="53">
        <v>0</v>
      </c>
      <c r="DV377" s="53">
        <v>0</v>
      </c>
      <c r="DW377" s="53">
        <v>0</v>
      </c>
      <c r="DX377" s="2"/>
      <c r="DY377" s="2"/>
      <c r="DZ377" s="46">
        <f t="shared" si="80"/>
        <v>0</v>
      </c>
      <c r="EA377" s="46">
        <f t="shared" si="81"/>
        <v>0</v>
      </c>
      <c r="EB377" s="46">
        <f t="shared" si="82"/>
        <v>0</v>
      </c>
      <c r="EC377" s="46">
        <f t="shared" si="83"/>
        <v>0</v>
      </c>
      <c r="ED377" s="46">
        <f t="shared" si="84"/>
        <v>0</v>
      </c>
      <c r="EE377" s="46">
        <f t="shared" si="85"/>
        <v>0</v>
      </c>
      <c r="EF377" s="46">
        <f t="shared" si="86"/>
        <v>1447</v>
      </c>
      <c r="EG377" s="46">
        <f t="shared" si="87"/>
        <v>1173</v>
      </c>
      <c r="EH377" s="46">
        <f t="shared" si="90"/>
        <v>449</v>
      </c>
      <c r="EI377" s="46">
        <f t="shared" si="89"/>
        <v>4</v>
      </c>
    </row>
    <row r="378" spans="3:139">
      <c r="C378" s="36" t="s">
        <v>574</v>
      </c>
      <c r="D378" s="36" t="s">
        <v>544</v>
      </c>
      <c r="E378" s="36" t="s">
        <v>545</v>
      </c>
      <c r="F378" s="38">
        <f t="shared" si="88"/>
        <v>520</v>
      </c>
      <c r="G378" s="37" t="s">
        <v>546</v>
      </c>
      <c r="H378" s="47"/>
      <c r="I378" s="48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8"/>
      <c r="U378" s="48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8"/>
      <c r="AG378" s="48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>
        <v>20</v>
      </c>
      <c r="CE378" s="50">
        <v>0</v>
      </c>
      <c r="CF378" s="50">
        <v>0</v>
      </c>
      <c r="CG378" s="50">
        <v>200</v>
      </c>
      <c r="CH378" s="50">
        <v>0</v>
      </c>
      <c r="CI378" s="50">
        <v>0</v>
      </c>
      <c r="CJ378" s="50">
        <v>0</v>
      </c>
      <c r="CK378" s="50">
        <v>0</v>
      </c>
      <c r="CL378" s="50">
        <v>18</v>
      </c>
      <c r="CM378" s="50">
        <v>50</v>
      </c>
      <c r="CN378" s="51">
        <v>52</v>
      </c>
      <c r="CO378" s="51">
        <v>78</v>
      </c>
      <c r="CP378" s="51">
        <v>2</v>
      </c>
      <c r="CQ378" s="51">
        <v>50</v>
      </c>
      <c r="CR378" s="51">
        <v>50</v>
      </c>
      <c r="CS378" s="51">
        <v>0</v>
      </c>
      <c r="CT378" s="51">
        <v>0</v>
      </c>
      <c r="CU378" s="51">
        <v>0</v>
      </c>
      <c r="CV378" s="51">
        <v>0</v>
      </c>
      <c r="CW378" s="51">
        <v>0</v>
      </c>
      <c r="CX378" s="51">
        <v>0</v>
      </c>
      <c r="CY378" s="51">
        <v>0</v>
      </c>
      <c r="CZ378" s="51">
        <v>0</v>
      </c>
      <c r="DA378" s="51">
        <v>0</v>
      </c>
      <c r="DB378" s="51">
        <v>0</v>
      </c>
      <c r="DC378" s="51">
        <v>0</v>
      </c>
      <c r="DD378" s="51">
        <v>0</v>
      </c>
      <c r="DE378" s="51">
        <v>0</v>
      </c>
      <c r="DF378" s="52">
        <v>0</v>
      </c>
      <c r="DG378" s="52">
        <v>0</v>
      </c>
      <c r="DH378" s="52">
        <v>0</v>
      </c>
      <c r="DI378" s="52">
        <v>0</v>
      </c>
      <c r="DJ378" s="52">
        <v>0</v>
      </c>
      <c r="DK378" s="52">
        <v>0</v>
      </c>
      <c r="DL378" s="52">
        <v>0</v>
      </c>
      <c r="DM378" s="52">
        <v>0</v>
      </c>
      <c r="DN378" s="52">
        <v>0</v>
      </c>
      <c r="DO378" s="52">
        <v>0</v>
      </c>
      <c r="DP378" s="52">
        <v>0</v>
      </c>
      <c r="DQ378" s="52">
        <v>0</v>
      </c>
      <c r="DR378" s="52">
        <v>0</v>
      </c>
      <c r="DS378" s="53">
        <v>0</v>
      </c>
      <c r="DT378" s="53">
        <v>0</v>
      </c>
      <c r="DU378" s="53">
        <v>0</v>
      </c>
      <c r="DV378" s="53">
        <v>0</v>
      </c>
      <c r="DW378" s="53">
        <v>0</v>
      </c>
      <c r="DX378" s="2"/>
      <c r="DY378" s="2"/>
      <c r="DZ378" s="46">
        <f t="shared" si="80"/>
        <v>0</v>
      </c>
      <c r="EA378" s="46">
        <f t="shared" si="81"/>
        <v>0</v>
      </c>
      <c r="EB378" s="46">
        <f t="shared" si="82"/>
        <v>0</v>
      </c>
      <c r="EC378" s="46">
        <f t="shared" si="83"/>
        <v>0</v>
      </c>
      <c r="ED378" s="46">
        <f t="shared" si="84"/>
        <v>0</v>
      </c>
      <c r="EE378" s="46">
        <f t="shared" si="85"/>
        <v>0</v>
      </c>
      <c r="EF378" s="46">
        <f t="shared" si="86"/>
        <v>288</v>
      </c>
      <c r="EG378" s="46">
        <f t="shared" si="87"/>
        <v>232</v>
      </c>
      <c r="EH378" s="46">
        <f t="shared" si="90"/>
        <v>0</v>
      </c>
      <c r="EI378" s="46">
        <f t="shared" si="89"/>
        <v>0</v>
      </c>
    </row>
    <row r="379" spans="3:139">
      <c r="C379" s="36" t="s">
        <v>575</v>
      </c>
      <c r="D379" s="36" t="s">
        <v>544</v>
      </c>
      <c r="E379" s="36" t="s">
        <v>545</v>
      </c>
      <c r="F379" s="38">
        <f t="shared" si="88"/>
        <v>0</v>
      </c>
      <c r="G379" s="37" t="s">
        <v>546</v>
      </c>
      <c r="H379" s="47"/>
      <c r="I379" s="48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8"/>
      <c r="U379" s="48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8"/>
      <c r="AG379" s="48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  <c r="BP379" s="50"/>
      <c r="BQ379" s="50"/>
      <c r="BR379" s="50"/>
      <c r="BS379" s="50"/>
      <c r="BT379" s="50"/>
      <c r="BU379" s="50"/>
      <c r="BV379" s="50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1"/>
      <c r="CO379" s="51"/>
      <c r="CP379" s="51"/>
      <c r="CQ379" s="51">
        <v>0</v>
      </c>
      <c r="CR379" s="51"/>
      <c r="CS379" s="51"/>
      <c r="CT379" s="51">
        <v>0</v>
      </c>
      <c r="CU379" s="51"/>
      <c r="CV379" s="51">
        <v>0</v>
      </c>
      <c r="CW379" s="51"/>
      <c r="CX379" s="51"/>
      <c r="CY379" s="51"/>
      <c r="CZ379" s="51"/>
      <c r="DA379" s="51"/>
      <c r="DB379" s="51">
        <v>0</v>
      </c>
      <c r="DC379" s="51"/>
      <c r="DD379" s="51"/>
      <c r="DE379" s="51"/>
      <c r="DF379" s="52"/>
      <c r="DG379" s="52"/>
      <c r="DH379" s="52"/>
      <c r="DI379" s="52"/>
      <c r="DJ379" s="52"/>
      <c r="DK379" s="52"/>
      <c r="DL379" s="52"/>
      <c r="DM379" s="52"/>
      <c r="DN379" s="52"/>
      <c r="DO379" s="52"/>
      <c r="DP379" s="52"/>
      <c r="DQ379" s="52"/>
      <c r="DR379" s="52"/>
      <c r="DS379" s="53">
        <v>0</v>
      </c>
      <c r="DT379" s="53">
        <v>0</v>
      </c>
      <c r="DU379" s="53">
        <v>0</v>
      </c>
      <c r="DV379" s="53">
        <v>0</v>
      </c>
      <c r="DW379" s="53">
        <v>0</v>
      </c>
      <c r="DX379" s="2"/>
      <c r="DY379" s="2"/>
      <c r="DZ379" s="46">
        <f t="shared" si="80"/>
        <v>0</v>
      </c>
      <c r="EA379" s="46">
        <f t="shared" si="81"/>
        <v>0</v>
      </c>
      <c r="EB379" s="46">
        <f t="shared" si="82"/>
        <v>0</v>
      </c>
      <c r="EC379" s="46">
        <f t="shared" si="83"/>
        <v>0</v>
      </c>
      <c r="ED379" s="46">
        <f t="shared" si="84"/>
        <v>0</v>
      </c>
      <c r="EE379" s="46">
        <f t="shared" si="85"/>
        <v>0</v>
      </c>
      <c r="EF379" s="46">
        <f t="shared" si="86"/>
        <v>0</v>
      </c>
      <c r="EG379" s="46">
        <f t="shared" si="87"/>
        <v>0</v>
      </c>
      <c r="EH379" s="46">
        <f t="shared" si="90"/>
        <v>0</v>
      </c>
      <c r="EI379" s="46">
        <f t="shared" si="89"/>
        <v>0</v>
      </c>
    </row>
    <row r="380" spans="3:139">
      <c r="C380" s="36" t="s">
        <v>576</v>
      </c>
      <c r="D380" s="36" t="s">
        <v>544</v>
      </c>
      <c r="E380" s="36" t="s">
        <v>545</v>
      </c>
      <c r="F380" s="38">
        <f t="shared" si="88"/>
        <v>3095</v>
      </c>
      <c r="G380" s="37" t="s">
        <v>546</v>
      </c>
      <c r="H380" s="47"/>
      <c r="I380" s="48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8"/>
      <c r="U380" s="48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8"/>
      <c r="AG380" s="48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M380" s="49"/>
      <c r="BN380" s="49"/>
      <c r="BO380" s="49"/>
      <c r="BP380" s="50"/>
      <c r="BQ380" s="50"/>
      <c r="BR380" s="50"/>
      <c r="BS380" s="50"/>
      <c r="BT380" s="50"/>
      <c r="BU380" s="50"/>
      <c r="BV380" s="50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1"/>
      <c r="CO380" s="51"/>
      <c r="CP380" s="51"/>
      <c r="CQ380" s="51"/>
      <c r="CR380" s="51"/>
      <c r="CS380" s="51"/>
      <c r="CT380" s="51">
        <v>20</v>
      </c>
      <c r="CU380" s="51">
        <v>14</v>
      </c>
      <c r="CV380" s="51">
        <v>880</v>
      </c>
      <c r="CW380" s="51">
        <v>100</v>
      </c>
      <c r="CX380" s="51">
        <v>150</v>
      </c>
      <c r="CY380" s="51">
        <v>40</v>
      </c>
      <c r="CZ380" s="51">
        <v>270</v>
      </c>
      <c r="DA380" s="51">
        <v>130</v>
      </c>
      <c r="DB380" s="51">
        <v>170</v>
      </c>
      <c r="DC380" s="51">
        <v>254</v>
      </c>
      <c r="DD380" s="51">
        <v>99</v>
      </c>
      <c r="DE380" s="51">
        <v>96</v>
      </c>
      <c r="DF380" s="52">
        <v>162</v>
      </c>
      <c r="DG380" s="52">
        <v>1</v>
      </c>
      <c r="DH380" s="52">
        <v>0</v>
      </c>
      <c r="DI380" s="52">
        <v>0</v>
      </c>
      <c r="DJ380" s="52">
        <v>0</v>
      </c>
      <c r="DK380" s="52">
        <v>178</v>
      </c>
      <c r="DL380" s="52">
        <v>170</v>
      </c>
      <c r="DM380" s="52">
        <v>0</v>
      </c>
      <c r="DN380" s="52">
        <v>245</v>
      </c>
      <c r="DO380" s="52">
        <v>18</v>
      </c>
      <c r="DP380" s="52">
        <v>0</v>
      </c>
      <c r="DQ380" s="52">
        <v>98</v>
      </c>
      <c r="DR380" s="52">
        <v>9</v>
      </c>
      <c r="DS380" s="53">
        <v>0</v>
      </c>
      <c r="DT380" s="53">
        <v>0</v>
      </c>
      <c r="DU380" s="53">
        <v>0</v>
      </c>
      <c r="DV380" s="53">
        <v>0</v>
      </c>
      <c r="DW380" s="53">
        <v>0</v>
      </c>
      <c r="DX380" s="2"/>
      <c r="DY380" s="2"/>
      <c r="DZ380" s="46">
        <f t="shared" si="80"/>
        <v>0</v>
      </c>
      <c r="EA380" s="46">
        <f t="shared" si="81"/>
        <v>0</v>
      </c>
      <c r="EB380" s="46">
        <f t="shared" si="82"/>
        <v>0</v>
      </c>
      <c r="EC380" s="46">
        <f t="shared" si="83"/>
        <v>0</v>
      </c>
      <c r="ED380" s="46">
        <f t="shared" si="84"/>
        <v>0</v>
      </c>
      <c r="EE380" s="46">
        <f t="shared" si="85"/>
        <v>0</v>
      </c>
      <c r="EF380" s="46">
        <f t="shared" si="86"/>
        <v>0</v>
      </c>
      <c r="EG380" s="46">
        <f t="shared" si="87"/>
        <v>1204</v>
      </c>
      <c r="EH380" s="46">
        <f t="shared" si="90"/>
        <v>1182</v>
      </c>
      <c r="EI380" s="46">
        <f t="shared" si="89"/>
        <v>433</v>
      </c>
    </row>
    <row r="381" spans="3:139">
      <c r="C381" s="36" t="s">
        <v>577</v>
      </c>
      <c r="D381" s="36" t="s">
        <v>544</v>
      </c>
      <c r="E381" s="36" t="s">
        <v>545</v>
      </c>
      <c r="F381" s="38">
        <f t="shared" si="88"/>
        <v>15274</v>
      </c>
      <c r="G381" s="37" t="s">
        <v>546</v>
      </c>
      <c r="H381" s="47"/>
      <c r="I381" s="48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8"/>
      <c r="U381" s="48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8"/>
      <c r="AG381" s="48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  <c r="BP381" s="50"/>
      <c r="BQ381" s="50"/>
      <c r="BR381" s="50"/>
      <c r="BS381" s="50"/>
      <c r="BT381" s="50"/>
      <c r="BU381" s="50"/>
      <c r="BV381" s="50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1"/>
      <c r="CO381" s="51"/>
      <c r="CP381" s="51"/>
      <c r="CQ381" s="51"/>
      <c r="CR381" s="51"/>
      <c r="CS381" s="51"/>
      <c r="CT381" s="51">
        <v>20</v>
      </c>
      <c r="CU381" s="51">
        <v>15</v>
      </c>
      <c r="CV381" s="51">
        <v>1000</v>
      </c>
      <c r="CW381" s="51">
        <v>880</v>
      </c>
      <c r="CX381" s="51">
        <v>1101</v>
      </c>
      <c r="CY381" s="51">
        <v>940</v>
      </c>
      <c r="CZ381" s="51">
        <v>450</v>
      </c>
      <c r="DA381" s="51">
        <v>157</v>
      </c>
      <c r="DB381" s="51">
        <v>1140</v>
      </c>
      <c r="DC381" s="51">
        <v>1197</v>
      </c>
      <c r="DD381" s="51">
        <v>752</v>
      </c>
      <c r="DE381" s="51">
        <v>582</v>
      </c>
      <c r="DF381" s="52">
        <v>999</v>
      </c>
      <c r="DG381" s="52">
        <v>628</v>
      </c>
      <c r="DH381" s="52">
        <v>1320</v>
      </c>
      <c r="DI381" s="52">
        <v>1530</v>
      </c>
      <c r="DJ381" s="52">
        <v>1355</v>
      </c>
      <c r="DK381" s="52">
        <v>91</v>
      </c>
      <c r="DL381" s="52">
        <v>10</v>
      </c>
      <c r="DM381" s="52">
        <v>494</v>
      </c>
      <c r="DN381" s="52">
        <v>-6</v>
      </c>
      <c r="DO381" s="52">
        <v>0</v>
      </c>
      <c r="DP381" s="52">
        <v>46</v>
      </c>
      <c r="DQ381" s="52">
        <v>573</v>
      </c>
      <c r="DR381" s="52">
        <v>736</v>
      </c>
      <c r="DS381" s="53">
        <v>50</v>
      </c>
      <c r="DT381" s="53">
        <v>50</v>
      </c>
      <c r="DU381" s="53">
        <v>30</v>
      </c>
      <c r="DV381" s="53">
        <v>23</v>
      </c>
      <c r="DW381" s="53">
        <v>15</v>
      </c>
      <c r="DX381" s="2"/>
      <c r="DY381" s="2"/>
      <c r="DZ381" s="46">
        <f t="shared" si="80"/>
        <v>0</v>
      </c>
      <c r="EA381" s="46">
        <f t="shared" si="81"/>
        <v>0</v>
      </c>
      <c r="EB381" s="46">
        <f t="shared" si="82"/>
        <v>0</v>
      </c>
      <c r="EC381" s="46">
        <f t="shared" si="83"/>
        <v>0</v>
      </c>
      <c r="ED381" s="46">
        <f t="shared" si="84"/>
        <v>0</v>
      </c>
      <c r="EE381" s="46">
        <f t="shared" si="85"/>
        <v>0</v>
      </c>
      <c r="EF381" s="46">
        <f t="shared" si="86"/>
        <v>0</v>
      </c>
      <c r="EG381" s="46">
        <f t="shared" si="87"/>
        <v>3956</v>
      </c>
      <c r="EH381" s="46">
        <f t="shared" si="90"/>
        <v>10110</v>
      </c>
      <c r="EI381" s="46">
        <f t="shared" si="89"/>
        <v>498</v>
      </c>
    </row>
    <row r="382" spans="3:139">
      <c r="C382" s="36" t="s">
        <v>578</v>
      </c>
      <c r="D382" s="36" t="s">
        <v>544</v>
      </c>
      <c r="E382" s="36" t="s">
        <v>545</v>
      </c>
      <c r="F382" s="38">
        <f t="shared" si="88"/>
        <v>2635</v>
      </c>
      <c r="G382" s="37" t="s">
        <v>546</v>
      </c>
      <c r="H382" s="47"/>
      <c r="I382" s="48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8"/>
      <c r="U382" s="48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8"/>
      <c r="AG382" s="48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1"/>
      <c r="CO382" s="51"/>
      <c r="CP382" s="51"/>
      <c r="CQ382" s="51"/>
      <c r="CR382" s="51"/>
      <c r="CS382" s="51"/>
      <c r="CT382" s="51">
        <v>0</v>
      </c>
      <c r="CU382" s="51">
        <v>5</v>
      </c>
      <c r="CV382" s="51">
        <v>0</v>
      </c>
      <c r="CW382" s="51">
        <v>0</v>
      </c>
      <c r="CX382" s="51">
        <v>0</v>
      </c>
      <c r="CY382" s="51">
        <v>350</v>
      </c>
      <c r="CZ382" s="51">
        <v>320</v>
      </c>
      <c r="DA382" s="51">
        <v>224</v>
      </c>
      <c r="DB382" s="51">
        <v>0</v>
      </c>
      <c r="DC382" s="51">
        <v>298</v>
      </c>
      <c r="DD382" s="51">
        <v>47</v>
      </c>
      <c r="DE382" s="51">
        <v>140</v>
      </c>
      <c r="DF382" s="52">
        <v>724</v>
      </c>
      <c r="DG382" s="52">
        <v>111</v>
      </c>
      <c r="DH382" s="52">
        <v>317</v>
      </c>
      <c r="DI382" s="52">
        <v>13</v>
      </c>
      <c r="DJ382" s="52">
        <v>0</v>
      </c>
      <c r="DK382" s="52">
        <v>58</v>
      </c>
      <c r="DL382" s="52">
        <v>10</v>
      </c>
      <c r="DM382" s="52">
        <v>0</v>
      </c>
      <c r="DN382" s="52">
        <v>-2</v>
      </c>
      <c r="DO382" s="52">
        <v>0</v>
      </c>
      <c r="DP382" s="52">
        <v>15</v>
      </c>
      <c r="DQ382" s="52">
        <v>5</v>
      </c>
      <c r="DR382" s="52">
        <v>0</v>
      </c>
      <c r="DS382" s="53">
        <v>16</v>
      </c>
      <c r="DT382" s="53">
        <v>16</v>
      </c>
      <c r="DU382" s="53">
        <v>10</v>
      </c>
      <c r="DV382" s="53">
        <v>7</v>
      </c>
      <c r="DW382" s="53">
        <v>5</v>
      </c>
      <c r="DX382" s="2"/>
      <c r="DY382" s="2"/>
      <c r="DZ382" s="46">
        <f t="shared" si="80"/>
        <v>0</v>
      </c>
      <c r="EA382" s="46">
        <f t="shared" si="81"/>
        <v>0</v>
      </c>
      <c r="EB382" s="46">
        <f t="shared" si="82"/>
        <v>0</v>
      </c>
      <c r="EC382" s="46">
        <f t="shared" si="83"/>
        <v>0</v>
      </c>
      <c r="ED382" s="46">
        <f t="shared" si="84"/>
        <v>0</v>
      </c>
      <c r="EE382" s="46">
        <f t="shared" si="85"/>
        <v>0</v>
      </c>
      <c r="EF382" s="46">
        <f t="shared" si="86"/>
        <v>0</v>
      </c>
      <c r="EG382" s="46">
        <f t="shared" si="87"/>
        <v>355</v>
      </c>
      <c r="EH382" s="46">
        <f t="shared" si="90"/>
        <v>2194</v>
      </c>
      <c r="EI382" s="46">
        <f t="shared" si="89"/>
        <v>8</v>
      </c>
    </row>
    <row r="383" spans="3:139">
      <c r="C383" s="36" t="s">
        <v>579</v>
      </c>
      <c r="D383" s="36" t="s">
        <v>544</v>
      </c>
      <c r="E383" s="36" t="s">
        <v>545</v>
      </c>
      <c r="F383" s="38">
        <f t="shared" si="88"/>
        <v>2061</v>
      </c>
      <c r="G383" s="37" t="s">
        <v>546</v>
      </c>
      <c r="H383" s="47"/>
      <c r="I383" s="48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8"/>
      <c r="U383" s="48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8"/>
      <c r="AG383" s="48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1"/>
      <c r="CO383" s="51"/>
      <c r="CP383" s="51"/>
      <c r="CQ383" s="51"/>
      <c r="CR383" s="51">
        <v>5</v>
      </c>
      <c r="CS383" s="51">
        <v>0</v>
      </c>
      <c r="CT383" s="51">
        <v>20</v>
      </c>
      <c r="CU383" s="51">
        <v>0</v>
      </c>
      <c r="CV383" s="51">
        <v>330</v>
      </c>
      <c r="CW383" s="51">
        <v>194</v>
      </c>
      <c r="CX383" s="51">
        <v>180</v>
      </c>
      <c r="CY383" s="51">
        <v>0</v>
      </c>
      <c r="CZ383" s="51">
        <v>540</v>
      </c>
      <c r="DA383" s="51">
        <v>313</v>
      </c>
      <c r="DB383" s="51">
        <v>5</v>
      </c>
      <c r="DC383" s="51">
        <v>226</v>
      </c>
      <c r="DD383" s="51">
        <v>235</v>
      </c>
      <c r="DE383" s="51">
        <v>11</v>
      </c>
      <c r="DF383" s="52">
        <v>1</v>
      </c>
      <c r="DG383" s="52">
        <v>0</v>
      </c>
      <c r="DH383" s="52">
        <v>0</v>
      </c>
      <c r="DI383" s="52">
        <v>0</v>
      </c>
      <c r="DJ383" s="52">
        <v>0</v>
      </c>
      <c r="DK383" s="52">
        <v>0</v>
      </c>
      <c r="DL383" s="52">
        <v>1</v>
      </c>
      <c r="DM383" s="52">
        <v>0</v>
      </c>
      <c r="DN383" s="52">
        <v>0</v>
      </c>
      <c r="DO383" s="52">
        <v>0</v>
      </c>
      <c r="DP383" s="52">
        <v>0</v>
      </c>
      <c r="DQ383" s="52">
        <v>0</v>
      </c>
      <c r="DR383" s="52">
        <v>0</v>
      </c>
      <c r="DS383" s="53">
        <v>0</v>
      </c>
      <c r="DT383" s="53">
        <v>0</v>
      </c>
      <c r="DU383" s="53">
        <v>0</v>
      </c>
      <c r="DV383" s="53">
        <v>0</v>
      </c>
      <c r="DW383" s="53">
        <v>0</v>
      </c>
      <c r="DX383" s="2"/>
      <c r="DY383" s="2"/>
      <c r="DZ383" s="46">
        <f t="shared" si="80"/>
        <v>0</v>
      </c>
      <c r="EA383" s="46">
        <f t="shared" si="81"/>
        <v>0</v>
      </c>
      <c r="EB383" s="46">
        <f t="shared" si="82"/>
        <v>0</v>
      </c>
      <c r="EC383" s="46">
        <f t="shared" si="83"/>
        <v>0</v>
      </c>
      <c r="ED383" s="46">
        <f t="shared" si="84"/>
        <v>0</v>
      </c>
      <c r="EE383" s="46">
        <f t="shared" si="85"/>
        <v>0</v>
      </c>
      <c r="EF383" s="46">
        <f t="shared" si="86"/>
        <v>0</v>
      </c>
      <c r="EG383" s="46">
        <f t="shared" si="87"/>
        <v>729</v>
      </c>
      <c r="EH383" s="46">
        <f t="shared" si="90"/>
        <v>1331</v>
      </c>
      <c r="EI383" s="46">
        <f t="shared" si="89"/>
        <v>1</v>
      </c>
    </row>
    <row r="384" spans="3:139">
      <c r="C384" s="36" t="s">
        <v>580</v>
      </c>
      <c r="D384" s="36" t="s">
        <v>544</v>
      </c>
      <c r="E384" s="36" t="s">
        <v>545</v>
      </c>
      <c r="F384" s="38">
        <f t="shared" si="88"/>
        <v>5392</v>
      </c>
      <c r="G384" s="37" t="s">
        <v>546</v>
      </c>
      <c r="H384" s="47"/>
      <c r="I384" s="48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8"/>
      <c r="U384" s="48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8"/>
      <c r="AG384" s="48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1"/>
      <c r="CO384" s="51"/>
      <c r="CP384" s="51"/>
      <c r="CQ384" s="51"/>
      <c r="CR384" s="51"/>
      <c r="CS384" s="51"/>
      <c r="CT384" s="51"/>
      <c r="CU384" s="51"/>
      <c r="CV384" s="51"/>
      <c r="CW384" s="51"/>
      <c r="CX384" s="51">
        <v>2299</v>
      </c>
      <c r="CY384" s="51">
        <v>1100</v>
      </c>
      <c r="CZ384" s="51">
        <v>1610</v>
      </c>
      <c r="DA384" s="51">
        <v>372</v>
      </c>
      <c r="DB384" s="51">
        <v>0</v>
      </c>
      <c r="DC384" s="51">
        <v>0</v>
      </c>
      <c r="DD384" s="51">
        <v>0</v>
      </c>
      <c r="DE384" s="51">
        <v>7</v>
      </c>
      <c r="DF384" s="52">
        <v>0</v>
      </c>
      <c r="DG384" s="52">
        <v>0</v>
      </c>
      <c r="DH384" s="52">
        <v>0</v>
      </c>
      <c r="DI384" s="52">
        <v>0</v>
      </c>
      <c r="DJ384" s="52">
        <v>0</v>
      </c>
      <c r="DK384" s="52">
        <v>0</v>
      </c>
      <c r="DL384" s="52">
        <v>2</v>
      </c>
      <c r="DM384" s="52">
        <v>2</v>
      </c>
      <c r="DN384" s="52">
        <v>0</v>
      </c>
      <c r="DO384" s="52">
        <v>0</v>
      </c>
      <c r="DP384" s="52">
        <v>0</v>
      </c>
      <c r="DQ384" s="52">
        <v>0</v>
      </c>
      <c r="DR384" s="52">
        <v>0</v>
      </c>
      <c r="DS384" s="53">
        <v>0</v>
      </c>
      <c r="DT384" s="53">
        <v>0</v>
      </c>
      <c r="DU384" s="53">
        <v>0</v>
      </c>
      <c r="DV384" s="53">
        <v>0</v>
      </c>
      <c r="DW384" s="53">
        <v>0</v>
      </c>
      <c r="DX384" s="2"/>
      <c r="DY384" s="2"/>
      <c r="DZ384" s="46">
        <f t="shared" si="80"/>
        <v>0</v>
      </c>
      <c r="EA384" s="46">
        <f t="shared" si="81"/>
        <v>0</v>
      </c>
      <c r="EB384" s="46">
        <f t="shared" si="82"/>
        <v>0</v>
      </c>
      <c r="EC384" s="46">
        <f t="shared" si="83"/>
        <v>0</v>
      </c>
      <c r="ED384" s="46">
        <f t="shared" si="84"/>
        <v>0</v>
      </c>
      <c r="EE384" s="46">
        <f t="shared" si="85"/>
        <v>0</v>
      </c>
      <c r="EF384" s="46">
        <f t="shared" si="86"/>
        <v>0</v>
      </c>
      <c r="EG384" s="46">
        <f t="shared" si="87"/>
        <v>3399</v>
      </c>
      <c r="EH384" s="46">
        <f t="shared" si="90"/>
        <v>1989</v>
      </c>
      <c r="EI384" s="46">
        <f t="shared" si="89"/>
        <v>4</v>
      </c>
    </row>
    <row r="385" spans="3:139">
      <c r="C385" s="36" t="s">
        <v>581</v>
      </c>
      <c r="D385" s="36" t="s">
        <v>544</v>
      </c>
      <c r="E385" s="36" t="s">
        <v>545</v>
      </c>
      <c r="F385" s="38">
        <f t="shared" si="88"/>
        <v>40351</v>
      </c>
      <c r="G385" s="37" t="s">
        <v>546</v>
      </c>
      <c r="H385" s="47"/>
      <c r="I385" s="48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8"/>
      <c r="U385" s="48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8"/>
      <c r="AG385" s="48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>
        <v>6100</v>
      </c>
      <c r="CE385" s="50">
        <v>399</v>
      </c>
      <c r="CF385" s="50">
        <v>750</v>
      </c>
      <c r="CG385" s="50">
        <v>3633</v>
      </c>
      <c r="CH385" s="50">
        <v>1864</v>
      </c>
      <c r="CI385" s="50">
        <v>1675</v>
      </c>
      <c r="CJ385" s="50">
        <v>3466</v>
      </c>
      <c r="CK385" s="50">
        <v>2362</v>
      </c>
      <c r="CL385" s="50">
        <v>509</v>
      </c>
      <c r="CM385" s="50">
        <v>2388</v>
      </c>
      <c r="CN385" s="51">
        <v>1826</v>
      </c>
      <c r="CO385" s="51">
        <v>2267</v>
      </c>
      <c r="CP385" s="51">
        <v>4049</v>
      </c>
      <c r="CQ385" s="51">
        <v>3258</v>
      </c>
      <c r="CR385" s="51">
        <v>2406</v>
      </c>
      <c r="CS385" s="51">
        <v>588</v>
      </c>
      <c r="CT385" s="51">
        <v>2520</v>
      </c>
      <c r="CU385" s="51">
        <v>290</v>
      </c>
      <c r="CV385" s="51">
        <v>0</v>
      </c>
      <c r="CW385" s="51">
        <v>0</v>
      </c>
      <c r="CX385" s="51">
        <v>0</v>
      </c>
      <c r="CY385" s="51">
        <v>0</v>
      </c>
      <c r="CZ385" s="51">
        <v>0</v>
      </c>
      <c r="DA385" s="51">
        <v>1</v>
      </c>
      <c r="DB385" s="51">
        <v>0</v>
      </c>
      <c r="DC385" s="51">
        <v>0</v>
      </c>
      <c r="DD385" s="51">
        <v>0</v>
      </c>
      <c r="DE385" s="51">
        <v>0</v>
      </c>
      <c r="DF385" s="52">
        <v>0</v>
      </c>
      <c r="DG385" s="52">
        <v>0</v>
      </c>
      <c r="DH385" s="52">
        <v>0</v>
      </c>
      <c r="DI385" s="52">
        <v>0</v>
      </c>
      <c r="DJ385" s="52">
        <v>0</v>
      </c>
      <c r="DK385" s="52">
        <v>0</v>
      </c>
      <c r="DL385" s="52">
        <v>0</v>
      </c>
      <c r="DM385" s="52">
        <v>0</v>
      </c>
      <c r="DN385" s="52">
        <v>0</v>
      </c>
      <c r="DO385" s="52">
        <v>0</v>
      </c>
      <c r="DP385" s="52">
        <v>0</v>
      </c>
      <c r="DQ385" s="52">
        <v>0</v>
      </c>
      <c r="DR385" s="52">
        <v>0</v>
      </c>
      <c r="DS385" s="53">
        <v>0</v>
      </c>
      <c r="DT385" s="53">
        <v>0</v>
      </c>
      <c r="DU385" s="53">
        <v>0</v>
      </c>
      <c r="DV385" s="53">
        <v>0</v>
      </c>
      <c r="DW385" s="53">
        <v>0</v>
      </c>
      <c r="DX385" s="2"/>
      <c r="DY385" s="2"/>
      <c r="DZ385" s="46">
        <f t="shared" si="80"/>
        <v>0</v>
      </c>
      <c r="EA385" s="46">
        <f t="shared" si="81"/>
        <v>0</v>
      </c>
      <c r="EB385" s="46">
        <f t="shared" si="82"/>
        <v>0</v>
      </c>
      <c r="EC385" s="46">
        <f t="shared" si="83"/>
        <v>0</v>
      </c>
      <c r="ED385" s="46">
        <f t="shared" si="84"/>
        <v>0</v>
      </c>
      <c r="EE385" s="46">
        <f t="shared" si="85"/>
        <v>0</v>
      </c>
      <c r="EF385" s="46">
        <f t="shared" si="86"/>
        <v>23146</v>
      </c>
      <c r="EG385" s="46">
        <f t="shared" si="87"/>
        <v>17204</v>
      </c>
      <c r="EH385" s="46">
        <f t="shared" si="90"/>
        <v>1</v>
      </c>
      <c r="EI385" s="46">
        <f t="shared" si="89"/>
        <v>0</v>
      </c>
    </row>
    <row r="386" spans="3:139">
      <c r="C386" s="36" t="s">
        <v>582</v>
      </c>
      <c r="D386" s="36" t="s">
        <v>544</v>
      </c>
      <c r="E386" s="36" t="s">
        <v>545</v>
      </c>
      <c r="F386" s="38">
        <f t="shared" si="88"/>
        <v>45106</v>
      </c>
      <c r="G386" s="37" t="s">
        <v>546</v>
      </c>
      <c r="H386" s="47"/>
      <c r="I386" s="48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8"/>
      <c r="U386" s="48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8"/>
      <c r="AG386" s="48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>
        <v>20</v>
      </c>
      <c r="CH386" s="50">
        <v>30</v>
      </c>
      <c r="CI386" s="50">
        <v>0</v>
      </c>
      <c r="CJ386" s="50">
        <v>20</v>
      </c>
      <c r="CK386" s="50">
        <v>0</v>
      </c>
      <c r="CL386" s="50">
        <v>0</v>
      </c>
      <c r="CM386" s="50">
        <v>0</v>
      </c>
      <c r="CN386" s="51">
        <v>0</v>
      </c>
      <c r="CO386" s="51">
        <v>0</v>
      </c>
      <c r="CP386" s="51">
        <v>0</v>
      </c>
      <c r="CQ386" s="51">
        <v>20</v>
      </c>
      <c r="CR386" s="51">
        <v>5</v>
      </c>
      <c r="CS386" s="51">
        <v>0</v>
      </c>
      <c r="CT386" s="51">
        <v>10</v>
      </c>
      <c r="CU386" s="51">
        <v>5441</v>
      </c>
      <c r="CV386" s="51">
        <v>3228</v>
      </c>
      <c r="CW386" s="51">
        <v>4550</v>
      </c>
      <c r="CX386" s="51">
        <v>2237</v>
      </c>
      <c r="CY386" s="51">
        <v>3870</v>
      </c>
      <c r="CZ386" s="51">
        <v>8320</v>
      </c>
      <c r="DA386" s="51">
        <v>2828</v>
      </c>
      <c r="DB386" s="51">
        <v>3507</v>
      </c>
      <c r="DC386" s="51">
        <v>4195</v>
      </c>
      <c r="DD386" s="51">
        <v>5009</v>
      </c>
      <c r="DE386" s="51">
        <v>1748</v>
      </c>
      <c r="DF386" s="52">
        <v>28</v>
      </c>
      <c r="DG386" s="52">
        <v>0</v>
      </c>
      <c r="DH386" s="52">
        <v>0</v>
      </c>
      <c r="DI386" s="52">
        <v>0</v>
      </c>
      <c r="DJ386" s="52">
        <v>0</v>
      </c>
      <c r="DK386" s="52">
        <v>0</v>
      </c>
      <c r="DL386" s="52">
        <v>0</v>
      </c>
      <c r="DM386" s="52">
        <v>0</v>
      </c>
      <c r="DN386" s="52">
        <v>37</v>
      </c>
      <c r="DO386" s="52">
        <v>3</v>
      </c>
      <c r="DP386" s="52">
        <v>0</v>
      </c>
      <c r="DQ386" s="52">
        <v>0</v>
      </c>
      <c r="DR386" s="52">
        <v>122</v>
      </c>
      <c r="DS386" s="53">
        <v>0</v>
      </c>
      <c r="DT386" s="53">
        <v>0</v>
      </c>
      <c r="DU386" s="53">
        <v>0</v>
      </c>
      <c r="DV386" s="53">
        <v>0</v>
      </c>
      <c r="DW386" s="53">
        <v>0</v>
      </c>
      <c r="DX386" s="2"/>
      <c r="DY386" s="2"/>
      <c r="DZ386" s="46">
        <f t="shared" si="80"/>
        <v>0</v>
      </c>
      <c r="EA386" s="46">
        <f t="shared" si="81"/>
        <v>0</v>
      </c>
      <c r="EB386" s="46">
        <f t="shared" si="82"/>
        <v>0</v>
      </c>
      <c r="EC386" s="46">
        <f t="shared" si="83"/>
        <v>0</v>
      </c>
      <c r="ED386" s="46">
        <f t="shared" si="84"/>
        <v>0</v>
      </c>
      <c r="EE386" s="46">
        <f t="shared" si="85"/>
        <v>0</v>
      </c>
      <c r="EF386" s="46">
        <f t="shared" si="86"/>
        <v>70</v>
      </c>
      <c r="EG386" s="46">
        <f t="shared" si="87"/>
        <v>19361</v>
      </c>
      <c r="EH386" s="46">
        <f t="shared" si="90"/>
        <v>25635</v>
      </c>
      <c r="EI386" s="46">
        <f t="shared" si="89"/>
        <v>40</v>
      </c>
    </row>
    <row r="387" spans="3:139">
      <c r="C387" s="36" t="s">
        <v>583</v>
      </c>
      <c r="D387" s="36" t="s">
        <v>544</v>
      </c>
      <c r="E387" s="36" t="s">
        <v>545</v>
      </c>
      <c r="F387" s="38">
        <f t="shared" si="88"/>
        <v>35</v>
      </c>
      <c r="G387" s="37" t="s">
        <v>546</v>
      </c>
      <c r="H387" s="47"/>
      <c r="I387" s="48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8"/>
      <c r="U387" s="48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8"/>
      <c r="AG387" s="48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>
        <v>20</v>
      </c>
      <c r="CH387" s="50">
        <v>0</v>
      </c>
      <c r="CI387" s="50">
        <v>0</v>
      </c>
      <c r="CJ387" s="50">
        <v>0</v>
      </c>
      <c r="CK387" s="50">
        <v>0</v>
      </c>
      <c r="CL387" s="50">
        <v>0</v>
      </c>
      <c r="CM387" s="50">
        <v>0</v>
      </c>
      <c r="CN387" s="51">
        <v>0</v>
      </c>
      <c r="CO387" s="51">
        <v>0</v>
      </c>
      <c r="CP387" s="51">
        <v>0</v>
      </c>
      <c r="CQ387" s="51">
        <v>0</v>
      </c>
      <c r="CR387" s="51">
        <v>5</v>
      </c>
      <c r="CS387" s="51">
        <v>0</v>
      </c>
      <c r="CT387" s="51">
        <v>0</v>
      </c>
      <c r="CU387" s="51">
        <v>0</v>
      </c>
      <c r="CV387" s="51">
        <v>0</v>
      </c>
      <c r="CW387" s="51">
        <v>0</v>
      </c>
      <c r="CX387" s="51">
        <v>10</v>
      </c>
      <c r="CY387" s="51">
        <v>0</v>
      </c>
      <c r="CZ387" s="51">
        <v>0</v>
      </c>
      <c r="DA387" s="51">
        <v>0</v>
      </c>
      <c r="DB387" s="51">
        <v>0</v>
      </c>
      <c r="DC387" s="51">
        <v>0</v>
      </c>
      <c r="DD387" s="51">
        <v>0</v>
      </c>
      <c r="DE387" s="51">
        <v>0</v>
      </c>
      <c r="DF387" s="52">
        <v>0</v>
      </c>
      <c r="DG387" s="52">
        <v>0</v>
      </c>
      <c r="DH387" s="52">
        <v>0</v>
      </c>
      <c r="DI387" s="52">
        <v>0</v>
      </c>
      <c r="DJ387" s="52">
        <v>0</v>
      </c>
      <c r="DK387" s="52">
        <v>0</v>
      </c>
      <c r="DL387" s="52">
        <v>0</v>
      </c>
      <c r="DM387" s="52">
        <v>0</v>
      </c>
      <c r="DN387" s="52">
        <v>0</v>
      </c>
      <c r="DO387" s="52">
        <v>0</v>
      </c>
      <c r="DP387" s="52">
        <v>0</v>
      </c>
      <c r="DQ387" s="52">
        <v>0</v>
      </c>
      <c r="DR387" s="52">
        <v>0</v>
      </c>
      <c r="DS387" s="53">
        <v>0</v>
      </c>
      <c r="DT387" s="53">
        <v>0</v>
      </c>
      <c r="DU387" s="53">
        <v>0</v>
      </c>
      <c r="DV387" s="53">
        <v>0</v>
      </c>
      <c r="DW387" s="53">
        <v>0</v>
      </c>
      <c r="DX387" s="2"/>
      <c r="DY387" s="2"/>
      <c r="DZ387" s="46">
        <f t="shared" si="80"/>
        <v>0</v>
      </c>
      <c r="EA387" s="46">
        <f t="shared" si="81"/>
        <v>0</v>
      </c>
      <c r="EB387" s="46">
        <f t="shared" si="82"/>
        <v>0</v>
      </c>
      <c r="EC387" s="46">
        <f t="shared" si="83"/>
        <v>0</v>
      </c>
      <c r="ED387" s="46">
        <f t="shared" si="84"/>
        <v>0</v>
      </c>
      <c r="EE387" s="46">
        <f t="shared" si="85"/>
        <v>0</v>
      </c>
      <c r="EF387" s="46">
        <f t="shared" si="86"/>
        <v>20</v>
      </c>
      <c r="EG387" s="46">
        <f t="shared" si="87"/>
        <v>15</v>
      </c>
      <c r="EH387" s="46">
        <f t="shared" si="90"/>
        <v>0</v>
      </c>
      <c r="EI387" s="46">
        <f t="shared" si="89"/>
        <v>0</v>
      </c>
    </row>
    <row r="388" spans="3:139">
      <c r="C388" s="36" t="s">
        <v>584</v>
      </c>
      <c r="D388" s="36" t="s">
        <v>544</v>
      </c>
      <c r="E388" s="36" t="s">
        <v>545</v>
      </c>
      <c r="F388" s="38">
        <f t="shared" si="88"/>
        <v>41423</v>
      </c>
      <c r="G388" s="37" t="s">
        <v>546</v>
      </c>
      <c r="H388" s="47"/>
      <c r="I388" s="48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8"/>
      <c r="U388" s="48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8"/>
      <c r="AG388" s="48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1"/>
      <c r="CO388" s="51"/>
      <c r="CP388" s="51"/>
      <c r="CQ388" s="51">
        <v>0</v>
      </c>
      <c r="CR388" s="51"/>
      <c r="CS388" s="51"/>
      <c r="CT388" s="51">
        <v>10</v>
      </c>
      <c r="CU388" s="51">
        <v>2700</v>
      </c>
      <c r="CV388" s="51">
        <v>4390</v>
      </c>
      <c r="CW388" s="51">
        <v>5539</v>
      </c>
      <c r="CX388" s="51">
        <v>3665</v>
      </c>
      <c r="CY388" s="51">
        <v>2200</v>
      </c>
      <c r="CZ388" s="51">
        <v>1840</v>
      </c>
      <c r="DA388" s="51">
        <v>4976</v>
      </c>
      <c r="DB388" s="51">
        <v>5814</v>
      </c>
      <c r="DC388" s="51">
        <v>1817</v>
      </c>
      <c r="DD388" s="51">
        <v>2487</v>
      </c>
      <c r="DE388" s="51">
        <v>5865</v>
      </c>
      <c r="DF388" s="52">
        <v>119</v>
      </c>
      <c r="DG388" s="52">
        <v>0</v>
      </c>
      <c r="DH388" s="52">
        <v>0</v>
      </c>
      <c r="DI388" s="52">
        <v>0</v>
      </c>
      <c r="DJ388" s="52">
        <v>0</v>
      </c>
      <c r="DK388" s="52">
        <v>1</v>
      </c>
      <c r="DL388" s="52">
        <v>0</v>
      </c>
      <c r="DM388" s="52">
        <v>0</v>
      </c>
      <c r="DN388" s="52">
        <v>0</v>
      </c>
      <c r="DO388" s="52">
        <v>0</v>
      </c>
      <c r="DP388" s="52">
        <v>0</v>
      </c>
      <c r="DQ388" s="52">
        <v>0</v>
      </c>
      <c r="DR388" s="52">
        <v>21</v>
      </c>
      <c r="DS388" s="53">
        <v>0</v>
      </c>
      <c r="DT388" s="53">
        <v>0</v>
      </c>
      <c r="DU388" s="53">
        <v>0</v>
      </c>
      <c r="DV388" s="53">
        <v>0</v>
      </c>
      <c r="DW388" s="53">
        <v>0</v>
      </c>
      <c r="DX388" s="2"/>
      <c r="DY388" s="2"/>
      <c r="DZ388" s="46">
        <f t="shared" si="80"/>
        <v>0</v>
      </c>
      <c r="EA388" s="46">
        <f t="shared" si="81"/>
        <v>0</v>
      </c>
      <c r="EB388" s="46">
        <f t="shared" si="82"/>
        <v>0</v>
      </c>
      <c r="EC388" s="46">
        <f t="shared" si="83"/>
        <v>0</v>
      </c>
      <c r="ED388" s="46">
        <f t="shared" si="84"/>
        <v>0</v>
      </c>
      <c r="EE388" s="46">
        <f t="shared" si="85"/>
        <v>0</v>
      </c>
      <c r="EF388" s="46">
        <f t="shared" si="86"/>
        <v>0</v>
      </c>
      <c r="EG388" s="46">
        <f t="shared" si="87"/>
        <v>18504</v>
      </c>
      <c r="EH388" s="46">
        <f t="shared" si="90"/>
        <v>22918</v>
      </c>
      <c r="EI388" s="46">
        <f t="shared" si="89"/>
        <v>0</v>
      </c>
    </row>
    <row r="389" spans="3:139">
      <c r="C389" s="36" t="s">
        <v>585</v>
      </c>
      <c r="D389" s="36" t="s">
        <v>544</v>
      </c>
      <c r="E389" s="36" t="s">
        <v>545</v>
      </c>
      <c r="F389" s="38">
        <f t="shared" si="88"/>
        <v>6287</v>
      </c>
      <c r="G389" s="37" t="s">
        <v>546</v>
      </c>
      <c r="H389" s="47"/>
      <c r="I389" s="48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8"/>
      <c r="U389" s="48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8"/>
      <c r="AG389" s="48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>
        <v>20</v>
      </c>
      <c r="CL389" s="50">
        <v>0</v>
      </c>
      <c r="CM389" s="50">
        <v>0</v>
      </c>
      <c r="CN389" s="51">
        <v>0</v>
      </c>
      <c r="CO389" s="51">
        <v>0</v>
      </c>
      <c r="CP389" s="51">
        <v>23</v>
      </c>
      <c r="CQ389" s="51">
        <v>0</v>
      </c>
      <c r="CR389" s="51">
        <v>0</v>
      </c>
      <c r="CS389" s="51">
        <v>8</v>
      </c>
      <c r="CT389" s="51">
        <v>0</v>
      </c>
      <c r="CU389" s="51">
        <v>100</v>
      </c>
      <c r="CV389" s="51">
        <v>520</v>
      </c>
      <c r="CW389" s="51">
        <v>1809</v>
      </c>
      <c r="CX389" s="51">
        <v>689</v>
      </c>
      <c r="CY389" s="51">
        <v>1150</v>
      </c>
      <c r="CZ389" s="51">
        <v>0</v>
      </c>
      <c r="DA389" s="51">
        <v>945</v>
      </c>
      <c r="DB389" s="51">
        <v>620</v>
      </c>
      <c r="DC389" s="51">
        <v>143</v>
      </c>
      <c r="DD389" s="51">
        <v>275</v>
      </c>
      <c r="DE389" s="51">
        <v>55</v>
      </c>
      <c r="DF389" s="52">
        <v>-118</v>
      </c>
      <c r="DG389" s="52">
        <v>0</v>
      </c>
      <c r="DH389" s="52">
        <v>0</v>
      </c>
      <c r="DI389" s="52">
        <v>0</v>
      </c>
      <c r="DJ389" s="52">
        <v>15</v>
      </c>
      <c r="DK389" s="52">
        <v>2</v>
      </c>
      <c r="DL389" s="52">
        <v>0</v>
      </c>
      <c r="DM389" s="52">
        <v>31</v>
      </c>
      <c r="DN389" s="52">
        <v>0</v>
      </c>
      <c r="DO389" s="52">
        <v>0</v>
      </c>
      <c r="DP389" s="52">
        <v>0</v>
      </c>
      <c r="DQ389" s="52">
        <v>0</v>
      </c>
      <c r="DR389" s="52">
        <v>11</v>
      </c>
      <c r="DS389" s="53">
        <v>0</v>
      </c>
      <c r="DT389" s="53">
        <v>0</v>
      </c>
      <c r="DU389" s="53">
        <v>0</v>
      </c>
      <c r="DV389" s="53">
        <v>0</v>
      </c>
      <c r="DW389" s="53">
        <v>0</v>
      </c>
      <c r="DX389" s="2"/>
      <c r="DY389" s="2"/>
      <c r="DZ389" s="46">
        <f t="shared" si="80"/>
        <v>0</v>
      </c>
      <c r="EA389" s="46">
        <f t="shared" si="81"/>
        <v>0</v>
      </c>
      <c r="EB389" s="46">
        <f t="shared" si="82"/>
        <v>0</v>
      </c>
      <c r="EC389" s="46">
        <f t="shared" si="83"/>
        <v>0</v>
      </c>
      <c r="ED389" s="46">
        <f t="shared" si="84"/>
        <v>0</v>
      </c>
      <c r="EE389" s="46">
        <f t="shared" si="85"/>
        <v>0</v>
      </c>
      <c r="EF389" s="46">
        <f t="shared" si="86"/>
        <v>20</v>
      </c>
      <c r="EG389" s="46">
        <f t="shared" si="87"/>
        <v>4299</v>
      </c>
      <c r="EH389" s="46">
        <f t="shared" si="90"/>
        <v>1935</v>
      </c>
      <c r="EI389" s="46">
        <f t="shared" si="89"/>
        <v>31</v>
      </c>
    </row>
    <row r="390" spans="3:139">
      <c r="C390" s="36" t="s">
        <v>586</v>
      </c>
      <c r="D390" s="36" t="s">
        <v>544</v>
      </c>
      <c r="E390" s="36" t="s">
        <v>545</v>
      </c>
      <c r="F390" s="38">
        <f t="shared" si="88"/>
        <v>6808</v>
      </c>
      <c r="G390" s="37" t="s">
        <v>546</v>
      </c>
      <c r="H390" s="47"/>
      <c r="I390" s="48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8"/>
      <c r="U390" s="48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8"/>
      <c r="AG390" s="48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1"/>
      <c r="CO390" s="51"/>
      <c r="CP390" s="51"/>
      <c r="CQ390" s="51"/>
      <c r="CR390" s="51">
        <v>20</v>
      </c>
      <c r="CS390" s="51">
        <v>0</v>
      </c>
      <c r="CT390" s="51">
        <v>20</v>
      </c>
      <c r="CU390" s="51">
        <v>1000</v>
      </c>
      <c r="CV390" s="51">
        <v>19</v>
      </c>
      <c r="CW390" s="51">
        <v>310</v>
      </c>
      <c r="CX390" s="51">
        <v>1580</v>
      </c>
      <c r="CY390" s="51">
        <v>410</v>
      </c>
      <c r="CZ390" s="51">
        <v>940</v>
      </c>
      <c r="DA390" s="51">
        <v>280</v>
      </c>
      <c r="DB390" s="51">
        <v>565</v>
      </c>
      <c r="DC390" s="51">
        <v>897</v>
      </c>
      <c r="DD390" s="51">
        <v>443</v>
      </c>
      <c r="DE390" s="51">
        <v>357</v>
      </c>
      <c r="DF390" s="52">
        <v>-43</v>
      </c>
      <c r="DG390" s="52">
        <v>0</v>
      </c>
      <c r="DH390" s="52">
        <v>0</v>
      </c>
      <c r="DI390" s="52">
        <v>0</v>
      </c>
      <c r="DJ390" s="52">
        <v>0</v>
      </c>
      <c r="DK390" s="52">
        <v>0</v>
      </c>
      <c r="DL390" s="52">
        <v>0</v>
      </c>
      <c r="DM390" s="52">
        <v>0</v>
      </c>
      <c r="DN390" s="52">
        <v>10</v>
      </c>
      <c r="DO390" s="52">
        <v>0</v>
      </c>
      <c r="DP390" s="52">
        <v>0</v>
      </c>
      <c r="DQ390" s="52">
        <v>0</v>
      </c>
      <c r="DR390" s="52">
        <v>31</v>
      </c>
      <c r="DS390" s="53">
        <v>0</v>
      </c>
      <c r="DT390" s="53">
        <v>0</v>
      </c>
      <c r="DU390" s="53">
        <v>0</v>
      </c>
      <c r="DV390" s="53">
        <v>0</v>
      </c>
      <c r="DW390" s="53">
        <v>0</v>
      </c>
      <c r="DX390" s="2"/>
      <c r="DY390" s="2"/>
      <c r="DZ390" s="46">
        <f t="shared" si="80"/>
        <v>0</v>
      </c>
      <c r="EA390" s="46">
        <f t="shared" si="81"/>
        <v>0</v>
      </c>
      <c r="EB390" s="46">
        <f t="shared" si="82"/>
        <v>0</v>
      </c>
      <c r="EC390" s="46">
        <f t="shared" si="83"/>
        <v>0</v>
      </c>
      <c r="ED390" s="46">
        <f t="shared" si="84"/>
        <v>0</v>
      </c>
      <c r="EE390" s="46">
        <f t="shared" si="85"/>
        <v>0</v>
      </c>
      <c r="EF390" s="46">
        <f t="shared" si="86"/>
        <v>0</v>
      </c>
      <c r="EG390" s="46">
        <f t="shared" si="87"/>
        <v>3359</v>
      </c>
      <c r="EH390" s="46">
        <f t="shared" si="90"/>
        <v>3439</v>
      </c>
      <c r="EI390" s="46">
        <f t="shared" si="89"/>
        <v>10</v>
      </c>
    </row>
    <row r="391" spans="3:139">
      <c r="C391" s="55" t="s">
        <v>587</v>
      </c>
      <c r="D391" s="36" t="s">
        <v>544</v>
      </c>
      <c r="E391" s="36" t="s">
        <v>545</v>
      </c>
      <c r="F391" s="38">
        <f t="shared" si="88"/>
        <v>1372</v>
      </c>
      <c r="G391" s="37" t="s">
        <v>546</v>
      </c>
      <c r="H391" s="47"/>
      <c r="I391" s="48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8"/>
      <c r="U391" s="48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8"/>
      <c r="AG391" s="48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50"/>
      <c r="CI391" s="50"/>
      <c r="CJ391" s="50"/>
      <c r="CK391" s="50"/>
      <c r="CL391" s="50"/>
      <c r="CM391" s="50"/>
      <c r="CN391" s="51"/>
      <c r="CO391" s="51"/>
      <c r="CP391" s="51">
        <v>10</v>
      </c>
      <c r="CQ391" s="51">
        <v>0</v>
      </c>
      <c r="CR391" s="51">
        <v>11</v>
      </c>
      <c r="CS391" s="51">
        <v>0</v>
      </c>
      <c r="CT391" s="51">
        <v>0</v>
      </c>
      <c r="CU391" s="51">
        <v>0</v>
      </c>
      <c r="CV391" s="51">
        <v>0</v>
      </c>
      <c r="CW391" s="51">
        <v>0</v>
      </c>
      <c r="CX391" s="51">
        <v>0</v>
      </c>
      <c r="CY391" s="51">
        <v>530</v>
      </c>
      <c r="CZ391" s="51">
        <v>50</v>
      </c>
      <c r="DA391" s="51">
        <v>2</v>
      </c>
      <c r="DB391" s="51">
        <v>100</v>
      </c>
      <c r="DC391" s="51">
        <v>343</v>
      </c>
      <c r="DD391" s="51">
        <v>17</v>
      </c>
      <c r="DE391" s="51">
        <v>91</v>
      </c>
      <c r="DF391" s="52">
        <v>190</v>
      </c>
      <c r="DG391" s="52">
        <v>26</v>
      </c>
      <c r="DH391" s="52">
        <v>1</v>
      </c>
      <c r="DI391" s="52">
        <v>0</v>
      </c>
      <c r="DJ391" s="52">
        <v>1</v>
      </c>
      <c r="DK391" s="52">
        <v>0</v>
      </c>
      <c r="DL391" s="52">
        <v>0</v>
      </c>
      <c r="DM391" s="52">
        <v>0</v>
      </c>
      <c r="DN391" s="52">
        <v>0</v>
      </c>
      <c r="DO391" s="52">
        <v>0</v>
      </c>
      <c r="DP391" s="52">
        <v>0</v>
      </c>
      <c r="DQ391" s="52">
        <v>0</v>
      </c>
      <c r="DR391" s="52">
        <v>0</v>
      </c>
      <c r="DS391" s="53">
        <v>0</v>
      </c>
      <c r="DT391" s="53">
        <v>0</v>
      </c>
      <c r="DU391" s="53">
        <v>0</v>
      </c>
      <c r="DV391" s="53">
        <v>0</v>
      </c>
      <c r="DW391" s="53">
        <v>0</v>
      </c>
      <c r="DX391" s="2"/>
      <c r="DY391" s="2"/>
      <c r="DZ391" s="46">
        <f t="shared" si="80"/>
        <v>0</v>
      </c>
      <c r="EA391" s="46">
        <f t="shared" si="81"/>
        <v>0</v>
      </c>
      <c r="EB391" s="46">
        <f t="shared" si="82"/>
        <v>0</v>
      </c>
      <c r="EC391" s="46">
        <f t="shared" si="83"/>
        <v>0</v>
      </c>
      <c r="ED391" s="46">
        <f t="shared" si="84"/>
        <v>0</v>
      </c>
      <c r="EE391" s="46">
        <f t="shared" si="85"/>
        <v>0</v>
      </c>
      <c r="EF391" s="46">
        <f t="shared" si="86"/>
        <v>0</v>
      </c>
      <c r="EG391" s="46">
        <f t="shared" si="87"/>
        <v>551</v>
      </c>
      <c r="EH391" s="46">
        <f t="shared" si="90"/>
        <v>821</v>
      </c>
      <c r="EI391" s="46">
        <f t="shared" si="89"/>
        <v>0</v>
      </c>
    </row>
    <row r="392" spans="3:139">
      <c r="C392" s="55" t="s">
        <v>588</v>
      </c>
      <c r="D392" s="36" t="s">
        <v>544</v>
      </c>
      <c r="E392" s="36" t="s">
        <v>545</v>
      </c>
      <c r="F392" s="38">
        <f t="shared" si="88"/>
        <v>1730</v>
      </c>
      <c r="G392" s="37" t="s">
        <v>546</v>
      </c>
      <c r="H392" s="47"/>
      <c r="I392" s="48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8"/>
      <c r="U392" s="48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8"/>
      <c r="AG392" s="48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1"/>
      <c r="CO392" s="51"/>
      <c r="CP392" s="51">
        <v>10</v>
      </c>
      <c r="CQ392" s="51">
        <v>0</v>
      </c>
      <c r="CR392" s="51">
        <v>0</v>
      </c>
      <c r="CS392" s="51">
        <v>0</v>
      </c>
      <c r="CT392" s="51">
        <v>0</v>
      </c>
      <c r="CU392" s="51">
        <v>0</v>
      </c>
      <c r="CV392" s="51">
        <v>0</v>
      </c>
      <c r="CW392" s="51">
        <v>0</v>
      </c>
      <c r="CX392" s="51">
        <v>279</v>
      </c>
      <c r="CY392" s="51">
        <v>100</v>
      </c>
      <c r="CZ392" s="51">
        <v>60</v>
      </c>
      <c r="DA392" s="51">
        <v>376</v>
      </c>
      <c r="DB392" s="51">
        <v>246</v>
      </c>
      <c r="DC392" s="51">
        <v>321</v>
      </c>
      <c r="DD392" s="51">
        <v>66</v>
      </c>
      <c r="DE392" s="51">
        <v>140</v>
      </c>
      <c r="DF392" s="52">
        <v>132</v>
      </c>
      <c r="DG392" s="52">
        <v>0</v>
      </c>
      <c r="DH392" s="52">
        <v>0</v>
      </c>
      <c r="DI392" s="52">
        <v>0</v>
      </c>
      <c r="DJ392" s="52">
        <v>0</v>
      </c>
      <c r="DK392" s="52">
        <v>0</v>
      </c>
      <c r="DL392" s="52">
        <v>0</v>
      </c>
      <c r="DM392" s="52">
        <v>0</v>
      </c>
      <c r="DN392" s="52">
        <v>0</v>
      </c>
      <c r="DO392" s="52">
        <v>0</v>
      </c>
      <c r="DP392" s="52">
        <v>0</v>
      </c>
      <c r="DQ392" s="52">
        <v>0</v>
      </c>
      <c r="DR392" s="52">
        <v>0</v>
      </c>
      <c r="DS392" s="53">
        <v>0</v>
      </c>
      <c r="DT392" s="53">
        <v>0</v>
      </c>
      <c r="DU392" s="53">
        <v>0</v>
      </c>
      <c r="DV392" s="53">
        <v>0</v>
      </c>
      <c r="DW392" s="53">
        <v>0</v>
      </c>
      <c r="DX392" s="2"/>
      <c r="DY392" s="2"/>
      <c r="DZ392" s="46">
        <f t="shared" ref="DZ392:DZ402" si="91">SUM(H392:S392)</f>
        <v>0</v>
      </c>
      <c r="EA392" s="46">
        <f t="shared" ref="EA392:EA402" si="92">SUM(T392:AE392)</f>
        <v>0</v>
      </c>
      <c r="EB392" s="46">
        <f t="shared" ref="EB392:EB402" si="93">SUM(AF392:AQ392)</f>
        <v>0</v>
      </c>
      <c r="EC392" s="46">
        <f t="shared" ref="EC392:EC402" si="94">SUM(AR392:BC392)</f>
        <v>0</v>
      </c>
      <c r="ED392" s="46">
        <f t="shared" ref="ED392:ED402" si="95">SUM(BD392:BO392)</f>
        <v>0</v>
      </c>
      <c r="EE392" s="46">
        <f t="shared" ref="EE392:EE402" si="96">SUM(BP392:CA392)</f>
        <v>0</v>
      </c>
      <c r="EF392" s="46">
        <f t="shared" ref="EF392:EF402" si="97">SUM(CB392:CM392)</f>
        <v>0</v>
      </c>
      <c r="EG392" s="46">
        <f t="shared" ref="EG392:EG402" si="98">SUM(CN392:CY392)</f>
        <v>389</v>
      </c>
      <c r="EH392" s="46">
        <f t="shared" si="90"/>
        <v>1341</v>
      </c>
      <c r="EI392" s="46">
        <f t="shared" si="89"/>
        <v>0</v>
      </c>
    </row>
    <row r="393" spans="3:139">
      <c r="C393" s="36" t="s">
        <v>589</v>
      </c>
      <c r="D393" s="36" t="s">
        <v>544</v>
      </c>
      <c r="E393" s="36" t="s">
        <v>545</v>
      </c>
      <c r="F393" s="38">
        <f t="shared" si="88"/>
        <v>3417</v>
      </c>
      <c r="G393" s="37" t="s">
        <v>546</v>
      </c>
      <c r="H393" s="47"/>
      <c r="I393" s="48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8"/>
      <c r="U393" s="48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8"/>
      <c r="AG393" s="48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50"/>
      <c r="BQ393" s="50"/>
      <c r="BR393" s="50"/>
      <c r="BS393" s="50"/>
      <c r="BT393" s="50"/>
      <c r="BU393" s="50"/>
      <c r="BV393" s="50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1"/>
      <c r="CO393" s="51"/>
      <c r="CP393" s="51"/>
      <c r="CQ393" s="51"/>
      <c r="CR393" s="51">
        <v>11</v>
      </c>
      <c r="CS393" s="51">
        <v>0</v>
      </c>
      <c r="CT393" s="51">
        <v>0</v>
      </c>
      <c r="CU393" s="51">
        <v>10</v>
      </c>
      <c r="CV393" s="51">
        <v>332</v>
      </c>
      <c r="CW393" s="51">
        <v>450</v>
      </c>
      <c r="CX393" s="51">
        <v>10</v>
      </c>
      <c r="CY393" s="51">
        <v>330</v>
      </c>
      <c r="CZ393" s="51">
        <v>200</v>
      </c>
      <c r="DA393" s="51">
        <v>247</v>
      </c>
      <c r="DB393" s="51">
        <v>88</v>
      </c>
      <c r="DC393" s="51">
        <v>250</v>
      </c>
      <c r="DD393" s="51">
        <v>326</v>
      </c>
      <c r="DE393" s="51">
        <v>129</v>
      </c>
      <c r="DF393" s="52">
        <v>97</v>
      </c>
      <c r="DG393" s="52">
        <v>284</v>
      </c>
      <c r="DH393" s="52">
        <v>0</v>
      </c>
      <c r="DI393" s="52">
        <v>0</v>
      </c>
      <c r="DJ393" s="52">
        <v>0</v>
      </c>
      <c r="DK393" s="52">
        <v>53</v>
      </c>
      <c r="DL393" s="52">
        <v>126</v>
      </c>
      <c r="DM393" s="52">
        <v>162</v>
      </c>
      <c r="DN393" s="52">
        <v>-1</v>
      </c>
      <c r="DO393" s="52">
        <v>152</v>
      </c>
      <c r="DP393" s="52">
        <v>168</v>
      </c>
      <c r="DQ393" s="52">
        <v>-7</v>
      </c>
      <c r="DR393" s="52">
        <v>143</v>
      </c>
      <c r="DS393" s="53">
        <v>181</v>
      </c>
      <c r="DT393" s="53">
        <v>181</v>
      </c>
      <c r="DU393" s="53">
        <v>109</v>
      </c>
      <c r="DV393" s="53">
        <v>83</v>
      </c>
      <c r="DW393" s="53">
        <v>52</v>
      </c>
      <c r="DX393" s="2"/>
      <c r="DY393" s="2"/>
      <c r="DZ393" s="46">
        <f t="shared" si="91"/>
        <v>0</v>
      </c>
      <c r="EA393" s="46">
        <f t="shared" si="92"/>
        <v>0</v>
      </c>
      <c r="EB393" s="46">
        <f t="shared" si="93"/>
        <v>0</v>
      </c>
      <c r="EC393" s="46">
        <f t="shared" si="94"/>
        <v>0</v>
      </c>
      <c r="ED393" s="46">
        <f t="shared" si="95"/>
        <v>0</v>
      </c>
      <c r="EE393" s="46">
        <f t="shared" si="96"/>
        <v>0</v>
      </c>
      <c r="EF393" s="46">
        <f t="shared" si="97"/>
        <v>0</v>
      </c>
      <c r="EG393" s="46">
        <f t="shared" si="98"/>
        <v>1143</v>
      </c>
      <c r="EH393" s="46">
        <f t="shared" si="90"/>
        <v>1621</v>
      </c>
      <c r="EI393" s="46">
        <f t="shared" si="89"/>
        <v>439</v>
      </c>
    </row>
    <row r="394" spans="3:139">
      <c r="C394" s="36" t="s">
        <v>590</v>
      </c>
      <c r="D394" s="36" t="s">
        <v>544</v>
      </c>
      <c r="E394" s="36" t="s">
        <v>545</v>
      </c>
      <c r="F394" s="38">
        <f t="shared" si="88"/>
        <v>18857</v>
      </c>
      <c r="G394" s="37" t="s">
        <v>546</v>
      </c>
      <c r="H394" s="47"/>
      <c r="I394" s="48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8"/>
      <c r="U394" s="48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8"/>
      <c r="AG394" s="48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50"/>
      <c r="BQ394" s="50"/>
      <c r="BR394" s="50"/>
      <c r="BS394" s="50"/>
      <c r="BT394" s="50"/>
      <c r="BU394" s="50"/>
      <c r="BV394" s="50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1"/>
      <c r="CO394" s="51"/>
      <c r="CP394" s="51"/>
      <c r="CQ394" s="51"/>
      <c r="CR394" s="51"/>
      <c r="CS394" s="51"/>
      <c r="CT394" s="51">
        <v>5</v>
      </c>
      <c r="CU394" s="51">
        <v>1040</v>
      </c>
      <c r="CV394" s="51">
        <v>3480</v>
      </c>
      <c r="CW394" s="51">
        <v>2890</v>
      </c>
      <c r="CX394" s="51">
        <v>1787</v>
      </c>
      <c r="CY394" s="51">
        <v>870</v>
      </c>
      <c r="CZ394" s="51">
        <v>2670</v>
      </c>
      <c r="DA394" s="51">
        <v>604</v>
      </c>
      <c r="DB394" s="51">
        <v>1109</v>
      </c>
      <c r="DC394" s="51">
        <v>1291</v>
      </c>
      <c r="DD394" s="51">
        <v>1468</v>
      </c>
      <c r="DE394" s="51">
        <v>1457</v>
      </c>
      <c r="DF394" s="52">
        <v>24</v>
      </c>
      <c r="DG394" s="52">
        <v>109</v>
      </c>
      <c r="DH394" s="52">
        <v>1</v>
      </c>
      <c r="DI394" s="52">
        <v>0</v>
      </c>
      <c r="DJ394" s="52">
        <v>0</v>
      </c>
      <c r="DK394" s="52">
        <v>0</v>
      </c>
      <c r="DL394" s="52">
        <v>14</v>
      </c>
      <c r="DM394" s="52">
        <v>-14</v>
      </c>
      <c r="DN394" s="52">
        <v>52</v>
      </c>
      <c r="DO394" s="52">
        <v>0</v>
      </c>
      <c r="DP394" s="52">
        <v>0</v>
      </c>
      <c r="DQ394" s="52">
        <v>0</v>
      </c>
      <c r="DR394" s="52">
        <v>0</v>
      </c>
      <c r="DS394" s="53">
        <v>0</v>
      </c>
      <c r="DT394" s="53">
        <v>0</v>
      </c>
      <c r="DU394" s="53">
        <v>0</v>
      </c>
      <c r="DV394" s="53">
        <v>0</v>
      </c>
      <c r="DW394" s="53">
        <v>0</v>
      </c>
      <c r="DX394" s="2"/>
      <c r="DY394" s="2"/>
      <c r="DZ394" s="46">
        <f t="shared" si="91"/>
        <v>0</v>
      </c>
      <c r="EA394" s="46">
        <f t="shared" si="92"/>
        <v>0</v>
      </c>
      <c r="EB394" s="46">
        <f t="shared" si="93"/>
        <v>0</v>
      </c>
      <c r="EC394" s="46">
        <f t="shared" si="94"/>
        <v>0</v>
      </c>
      <c r="ED394" s="46">
        <f t="shared" si="95"/>
        <v>0</v>
      </c>
      <c r="EE394" s="46">
        <f t="shared" si="96"/>
        <v>0</v>
      </c>
      <c r="EF394" s="46">
        <f t="shared" si="97"/>
        <v>0</v>
      </c>
      <c r="EG394" s="46">
        <f t="shared" si="98"/>
        <v>10072</v>
      </c>
      <c r="EH394" s="46">
        <f t="shared" si="90"/>
        <v>8733</v>
      </c>
      <c r="EI394" s="46">
        <f t="shared" si="89"/>
        <v>52</v>
      </c>
    </row>
    <row r="395" spans="3:139">
      <c r="C395" s="36" t="s">
        <v>591</v>
      </c>
      <c r="D395" s="36" t="s">
        <v>544</v>
      </c>
      <c r="E395" s="36" t="s">
        <v>545</v>
      </c>
      <c r="F395" s="38">
        <f t="shared" ref="F395:F462" si="99">SUM(H395:DQ395)</f>
        <v>0</v>
      </c>
      <c r="G395" s="37" t="s">
        <v>546</v>
      </c>
      <c r="H395" s="47"/>
      <c r="I395" s="48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8"/>
      <c r="U395" s="48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8"/>
      <c r="AG395" s="48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50"/>
      <c r="BQ395" s="50"/>
      <c r="BR395" s="50"/>
      <c r="BS395" s="50"/>
      <c r="BT395" s="50"/>
      <c r="BU395" s="50"/>
      <c r="BV395" s="50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1"/>
      <c r="CO395" s="51"/>
      <c r="CP395" s="51"/>
      <c r="CQ395" s="51"/>
      <c r="CR395" s="51"/>
      <c r="CS395" s="51"/>
      <c r="CT395" s="51">
        <v>0</v>
      </c>
      <c r="CU395" s="51"/>
      <c r="CV395" s="51">
        <v>0</v>
      </c>
      <c r="CW395" s="51"/>
      <c r="CX395" s="51"/>
      <c r="CY395" s="51"/>
      <c r="CZ395" s="51"/>
      <c r="DA395" s="51"/>
      <c r="DB395" s="51">
        <v>0</v>
      </c>
      <c r="DC395" s="51"/>
      <c r="DD395" s="51"/>
      <c r="DE395" s="51"/>
      <c r="DF395" s="52"/>
      <c r="DG395" s="52"/>
      <c r="DH395" s="52"/>
      <c r="DI395" s="52"/>
      <c r="DJ395" s="52"/>
      <c r="DK395" s="52"/>
      <c r="DL395" s="52"/>
      <c r="DM395" s="52"/>
      <c r="DN395" s="52"/>
      <c r="DO395" s="52"/>
      <c r="DP395" s="52"/>
      <c r="DQ395" s="52"/>
      <c r="DR395" s="52"/>
      <c r="DS395" s="53">
        <v>0</v>
      </c>
      <c r="DT395" s="53">
        <v>0</v>
      </c>
      <c r="DU395" s="53">
        <v>0</v>
      </c>
      <c r="DV395" s="53">
        <v>0</v>
      </c>
      <c r="DW395" s="53">
        <v>0</v>
      </c>
      <c r="DX395" s="2"/>
      <c r="DY395" s="2"/>
      <c r="DZ395" s="46">
        <f t="shared" si="91"/>
        <v>0</v>
      </c>
      <c r="EA395" s="46">
        <f t="shared" si="92"/>
        <v>0</v>
      </c>
      <c r="EB395" s="46">
        <f t="shared" si="93"/>
        <v>0</v>
      </c>
      <c r="EC395" s="46">
        <f t="shared" si="94"/>
        <v>0</v>
      </c>
      <c r="ED395" s="46">
        <f t="shared" si="95"/>
        <v>0</v>
      </c>
      <c r="EE395" s="46">
        <f t="shared" si="96"/>
        <v>0</v>
      </c>
      <c r="EF395" s="46">
        <f t="shared" si="97"/>
        <v>0</v>
      </c>
      <c r="EG395" s="46">
        <f t="shared" si="98"/>
        <v>0</v>
      </c>
      <c r="EH395" s="46">
        <f t="shared" si="90"/>
        <v>0</v>
      </c>
      <c r="EI395" s="46">
        <f t="shared" ref="EI395:EI466" si="100">SUM(DL395:DO395)</f>
        <v>0</v>
      </c>
    </row>
    <row r="396" spans="3:139">
      <c r="C396" s="36" t="s">
        <v>592</v>
      </c>
      <c r="D396" s="36" t="s">
        <v>544</v>
      </c>
      <c r="E396" s="36" t="s">
        <v>545</v>
      </c>
      <c r="F396" s="38">
        <f t="shared" si="99"/>
        <v>20</v>
      </c>
      <c r="G396" s="37" t="s">
        <v>546</v>
      </c>
      <c r="H396" s="47"/>
      <c r="I396" s="48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8"/>
      <c r="U396" s="48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8"/>
      <c r="AG396" s="48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1"/>
      <c r="CO396" s="51"/>
      <c r="CP396" s="51"/>
      <c r="CQ396" s="51"/>
      <c r="CR396" s="51"/>
      <c r="CS396" s="51"/>
      <c r="CT396" s="51">
        <v>20</v>
      </c>
      <c r="CU396" s="51">
        <v>0</v>
      </c>
      <c r="CV396" s="51">
        <v>0</v>
      </c>
      <c r="CW396" s="51">
        <v>0</v>
      </c>
      <c r="CX396" s="51">
        <v>0</v>
      </c>
      <c r="CY396" s="51">
        <v>0</v>
      </c>
      <c r="CZ396" s="51">
        <v>0</v>
      </c>
      <c r="DA396" s="51">
        <v>0</v>
      </c>
      <c r="DB396" s="51">
        <v>0</v>
      </c>
      <c r="DC396" s="51">
        <v>0</v>
      </c>
      <c r="DD396" s="51">
        <v>0</v>
      </c>
      <c r="DE396" s="51">
        <v>0</v>
      </c>
      <c r="DF396" s="52">
        <v>0</v>
      </c>
      <c r="DG396" s="52">
        <v>0</v>
      </c>
      <c r="DH396" s="52">
        <v>0</v>
      </c>
      <c r="DI396" s="52">
        <v>0</v>
      </c>
      <c r="DJ396" s="52">
        <v>0</v>
      </c>
      <c r="DK396" s="52">
        <v>0</v>
      </c>
      <c r="DL396" s="52">
        <v>0</v>
      </c>
      <c r="DM396" s="52">
        <v>0</v>
      </c>
      <c r="DN396" s="52">
        <v>0</v>
      </c>
      <c r="DO396" s="52">
        <v>0</v>
      </c>
      <c r="DP396" s="52">
        <v>0</v>
      </c>
      <c r="DQ396" s="52">
        <v>0</v>
      </c>
      <c r="DR396" s="52">
        <v>0</v>
      </c>
      <c r="DS396" s="53">
        <v>0</v>
      </c>
      <c r="DT396" s="53">
        <v>0</v>
      </c>
      <c r="DU396" s="53">
        <v>0</v>
      </c>
      <c r="DV396" s="53">
        <v>0</v>
      </c>
      <c r="DW396" s="53">
        <v>0</v>
      </c>
      <c r="DX396" s="2"/>
      <c r="DY396" s="2"/>
      <c r="DZ396" s="46">
        <f t="shared" si="91"/>
        <v>0</v>
      </c>
      <c r="EA396" s="46">
        <f t="shared" si="92"/>
        <v>0</v>
      </c>
      <c r="EB396" s="46">
        <f t="shared" si="93"/>
        <v>0</v>
      </c>
      <c r="EC396" s="46">
        <f t="shared" si="94"/>
        <v>0</v>
      </c>
      <c r="ED396" s="46">
        <f t="shared" si="95"/>
        <v>0</v>
      </c>
      <c r="EE396" s="46">
        <f t="shared" si="96"/>
        <v>0</v>
      </c>
      <c r="EF396" s="46">
        <f t="shared" si="97"/>
        <v>0</v>
      </c>
      <c r="EG396" s="46">
        <f t="shared" si="98"/>
        <v>20</v>
      </c>
      <c r="EH396" s="46">
        <f t="shared" si="90"/>
        <v>0</v>
      </c>
      <c r="EI396" s="46">
        <f t="shared" si="100"/>
        <v>0</v>
      </c>
    </row>
    <row r="397" spans="3:139">
      <c r="C397" s="36" t="s">
        <v>593</v>
      </c>
      <c r="D397" s="36" t="s">
        <v>544</v>
      </c>
      <c r="E397" s="36" t="s">
        <v>545</v>
      </c>
      <c r="F397" s="38">
        <f t="shared" si="99"/>
        <v>14265</v>
      </c>
      <c r="G397" s="37" t="s">
        <v>546</v>
      </c>
      <c r="H397" s="47"/>
      <c r="I397" s="48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8"/>
      <c r="U397" s="48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8"/>
      <c r="AG397" s="48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1"/>
      <c r="CO397" s="51"/>
      <c r="CP397" s="51"/>
      <c r="CQ397" s="51"/>
      <c r="CR397" s="51">
        <v>13</v>
      </c>
      <c r="CS397" s="51">
        <v>0</v>
      </c>
      <c r="CT397" s="51">
        <v>17</v>
      </c>
      <c r="CU397" s="51">
        <v>3410</v>
      </c>
      <c r="CV397" s="51">
        <v>1660</v>
      </c>
      <c r="CW397" s="51">
        <v>1090</v>
      </c>
      <c r="CX397" s="51">
        <v>1680</v>
      </c>
      <c r="CY397" s="51">
        <v>1170</v>
      </c>
      <c r="CZ397" s="51">
        <v>1350</v>
      </c>
      <c r="DA397" s="51">
        <v>1292</v>
      </c>
      <c r="DB397" s="51">
        <v>72</v>
      </c>
      <c r="DC397" s="51">
        <v>123</v>
      </c>
      <c r="DD397" s="51">
        <v>869</v>
      </c>
      <c r="DE397" s="51">
        <v>600</v>
      </c>
      <c r="DF397" s="52">
        <v>573</v>
      </c>
      <c r="DG397" s="52">
        <v>122</v>
      </c>
      <c r="DH397" s="52">
        <v>187</v>
      </c>
      <c r="DI397" s="52">
        <v>32</v>
      </c>
      <c r="DJ397" s="52">
        <v>0</v>
      </c>
      <c r="DK397" s="52">
        <v>6</v>
      </c>
      <c r="DL397" s="52">
        <v>-1</v>
      </c>
      <c r="DM397" s="52">
        <v>0</v>
      </c>
      <c r="DN397" s="52">
        <v>0</v>
      </c>
      <c r="DO397" s="52">
        <v>0</v>
      </c>
      <c r="DP397" s="52">
        <v>0</v>
      </c>
      <c r="DQ397" s="52">
        <v>0</v>
      </c>
      <c r="DR397" s="52">
        <v>0</v>
      </c>
      <c r="DS397" s="53">
        <v>0</v>
      </c>
      <c r="DT397" s="53">
        <v>0</v>
      </c>
      <c r="DU397" s="53">
        <v>0</v>
      </c>
      <c r="DV397" s="53">
        <v>0</v>
      </c>
      <c r="DW397" s="53">
        <v>0</v>
      </c>
      <c r="DX397" s="2"/>
      <c r="DY397" s="2"/>
      <c r="DZ397" s="46">
        <f t="shared" si="91"/>
        <v>0</v>
      </c>
      <c r="EA397" s="46">
        <f t="shared" si="92"/>
        <v>0</v>
      </c>
      <c r="EB397" s="46">
        <f t="shared" si="93"/>
        <v>0</v>
      </c>
      <c r="EC397" s="46">
        <f t="shared" si="94"/>
        <v>0</v>
      </c>
      <c r="ED397" s="46">
        <f t="shared" si="95"/>
        <v>0</v>
      </c>
      <c r="EE397" s="46">
        <f t="shared" si="96"/>
        <v>0</v>
      </c>
      <c r="EF397" s="46">
        <f t="shared" si="97"/>
        <v>0</v>
      </c>
      <c r="EG397" s="46">
        <f t="shared" si="98"/>
        <v>9040</v>
      </c>
      <c r="EH397" s="46">
        <f t="shared" ref="EH397:EH432" si="101">SUM(CZ397:DJ397)</f>
        <v>5220</v>
      </c>
      <c r="EI397" s="46">
        <f t="shared" si="100"/>
        <v>-1</v>
      </c>
    </row>
    <row r="398" spans="3:139">
      <c r="C398" s="36" t="s">
        <v>594</v>
      </c>
      <c r="D398" s="36" t="s">
        <v>544</v>
      </c>
      <c r="E398" s="36" t="s">
        <v>545</v>
      </c>
      <c r="F398" s="38">
        <f t="shared" si="99"/>
        <v>3614</v>
      </c>
      <c r="G398" s="37" t="s">
        <v>546</v>
      </c>
      <c r="H398" s="47"/>
      <c r="I398" s="48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8"/>
      <c r="U398" s="48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8"/>
      <c r="AG398" s="48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1"/>
      <c r="CO398" s="51"/>
      <c r="CP398" s="51"/>
      <c r="CQ398" s="51"/>
      <c r="CR398" s="51"/>
      <c r="CS398" s="51"/>
      <c r="CT398" s="51">
        <v>5</v>
      </c>
      <c r="CU398" s="51">
        <v>0</v>
      </c>
      <c r="CV398" s="51">
        <v>1170</v>
      </c>
      <c r="CW398" s="51">
        <v>993</v>
      </c>
      <c r="CX398" s="51">
        <v>0</v>
      </c>
      <c r="CY398" s="51">
        <v>0</v>
      </c>
      <c r="CZ398" s="51">
        <v>310</v>
      </c>
      <c r="DA398" s="51">
        <v>20</v>
      </c>
      <c r="DB398" s="51">
        <v>296</v>
      </c>
      <c r="DC398" s="51">
        <v>384</v>
      </c>
      <c r="DD398" s="51">
        <v>420</v>
      </c>
      <c r="DE398" s="51">
        <v>10</v>
      </c>
      <c r="DF398" s="52">
        <v>6</v>
      </c>
      <c r="DG398" s="52">
        <v>0</v>
      </c>
      <c r="DH398" s="52">
        <v>0</v>
      </c>
      <c r="DI398" s="52">
        <v>0</v>
      </c>
      <c r="DJ398" s="52">
        <v>0</v>
      </c>
      <c r="DK398" s="52">
        <v>0</v>
      </c>
      <c r="DL398" s="52">
        <v>0</v>
      </c>
      <c r="DM398" s="52">
        <v>0</v>
      </c>
      <c r="DN398" s="52">
        <v>0</v>
      </c>
      <c r="DO398" s="52">
        <v>0</v>
      </c>
      <c r="DP398" s="52">
        <v>0</v>
      </c>
      <c r="DQ398" s="52">
        <v>0</v>
      </c>
      <c r="DR398" s="52">
        <v>0</v>
      </c>
      <c r="DS398" s="53">
        <v>0</v>
      </c>
      <c r="DT398" s="53">
        <v>0</v>
      </c>
      <c r="DU398" s="53">
        <v>0</v>
      </c>
      <c r="DV398" s="53">
        <v>0</v>
      </c>
      <c r="DW398" s="53">
        <v>0</v>
      </c>
      <c r="DX398" s="2"/>
      <c r="DY398" s="2"/>
      <c r="DZ398" s="46">
        <f t="shared" si="91"/>
        <v>0</v>
      </c>
      <c r="EA398" s="46">
        <f t="shared" si="92"/>
        <v>0</v>
      </c>
      <c r="EB398" s="46">
        <f t="shared" si="93"/>
        <v>0</v>
      </c>
      <c r="EC398" s="46">
        <f t="shared" si="94"/>
        <v>0</v>
      </c>
      <c r="ED398" s="46">
        <f t="shared" si="95"/>
        <v>0</v>
      </c>
      <c r="EE398" s="46">
        <f t="shared" si="96"/>
        <v>0</v>
      </c>
      <c r="EF398" s="46">
        <f t="shared" si="97"/>
        <v>0</v>
      </c>
      <c r="EG398" s="46">
        <f t="shared" si="98"/>
        <v>2168</v>
      </c>
      <c r="EH398" s="46">
        <f t="shared" si="101"/>
        <v>1446</v>
      </c>
      <c r="EI398" s="46">
        <f t="shared" si="100"/>
        <v>0</v>
      </c>
    </row>
    <row r="399" spans="3:139">
      <c r="C399" s="36" t="s">
        <v>595</v>
      </c>
      <c r="D399" s="36" t="s">
        <v>544</v>
      </c>
      <c r="E399" s="36" t="s">
        <v>545</v>
      </c>
      <c r="F399" s="38">
        <f t="shared" si="99"/>
        <v>20</v>
      </c>
      <c r="G399" s="37" t="s">
        <v>546</v>
      </c>
      <c r="H399" s="47"/>
      <c r="I399" s="48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8"/>
      <c r="U399" s="48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8"/>
      <c r="AG399" s="48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1"/>
      <c r="CO399" s="51"/>
      <c r="CP399" s="51"/>
      <c r="CQ399" s="51"/>
      <c r="CR399" s="51"/>
      <c r="CS399" s="51"/>
      <c r="CT399" s="51">
        <v>20</v>
      </c>
      <c r="CU399" s="51">
        <v>0</v>
      </c>
      <c r="CV399" s="51">
        <v>0</v>
      </c>
      <c r="CW399" s="51">
        <v>0</v>
      </c>
      <c r="CX399" s="51">
        <v>0</v>
      </c>
      <c r="CY399" s="51">
        <v>0</v>
      </c>
      <c r="CZ399" s="51">
        <v>0</v>
      </c>
      <c r="DA399" s="51">
        <v>0</v>
      </c>
      <c r="DB399" s="51">
        <v>0</v>
      </c>
      <c r="DC399" s="51">
        <v>0</v>
      </c>
      <c r="DD399" s="51">
        <v>0</v>
      </c>
      <c r="DE399" s="51">
        <v>0</v>
      </c>
      <c r="DF399" s="52">
        <v>0</v>
      </c>
      <c r="DG399" s="52">
        <v>0</v>
      </c>
      <c r="DH399" s="52">
        <v>0</v>
      </c>
      <c r="DI399" s="52">
        <v>0</v>
      </c>
      <c r="DJ399" s="52">
        <v>0</v>
      </c>
      <c r="DK399" s="52">
        <v>0</v>
      </c>
      <c r="DL399" s="52">
        <v>0</v>
      </c>
      <c r="DM399" s="52">
        <v>0</v>
      </c>
      <c r="DN399" s="52">
        <v>0</v>
      </c>
      <c r="DO399" s="52">
        <v>0</v>
      </c>
      <c r="DP399" s="52">
        <v>0</v>
      </c>
      <c r="DQ399" s="52">
        <v>0</v>
      </c>
      <c r="DR399" s="52">
        <v>0</v>
      </c>
      <c r="DS399" s="53">
        <v>0</v>
      </c>
      <c r="DT399" s="53">
        <v>0</v>
      </c>
      <c r="DU399" s="53">
        <v>0</v>
      </c>
      <c r="DV399" s="53">
        <v>0</v>
      </c>
      <c r="DW399" s="53">
        <v>0</v>
      </c>
      <c r="DX399" s="2"/>
      <c r="DY399" s="2"/>
      <c r="DZ399" s="46">
        <f t="shared" si="91"/>
        <v>0</v>
      </c>
      <c r="EA399" s="46">
        <f t="shared" si="92"/>
        <v>0</v>
      </c>
      <c r="EB399" s="46">
        <f t="shared" si="93"/>
        <v>0</v>
      </c>
      <c r="EC399" s="46">
        <f t="shared" si="94"/>
        <v>0</v>
      </c>
      <c r="ED399" s="46">
        <f t="shared" si="95"/>
        <v>0</v>
      </c>
      <c r="EE399" s="46">
        <f t="shared" si="96"/>
        <v>0</v>
      </c>
      <c r="EF399" s="46">
        <f t="shared" si="97"/>
        <v>0</v>
      </c>
      <c r="EG399" s="46">
        <f t="shared" si="98"/>
        <v>20</v>
      </c>
      <c r="EH399" s="46">
        <f t="shared" si="101"/>
        <v>0</v>
      </c>
      <c r="EI399" s="46">
        <f t="shared" si="100"/>
        <v>0</v>
      </c>
    </row>
    <row r="400" spans="3:139">
      <c r="C400" s="36" t="s">
        <v>596</v>
      </c>
      <c r="D400" s="36" t="s">
        <v>544</v>
      </c>
      <c r="E400" s="36" t="s">
        <v>545</v>
      </c>
      <c r="F400" s="38">
        <f t="shared" si="99"/>
        <v>2993</v>
      </c>
      <c r="G400" s="37" t="s">
        <v>546</v>
      </c>
      <c r="H400" s="47"/>
      <c r="I400" s="48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8"/>
      <c r="U400" s="48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8"/>
      <c r="AG400" s="48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1"/>
      <c r="CO400" s="51"/>
      <c r="CP400" s="51"/>
      <c r="CQ400" s="51"/>
      <c r="CR400" s="51"/>
      <c r="CS400" s="51"/>
      <c r="CT400" s="51"/>
      <c r="CU400" s="51">
        <v>19</v>
      </c>
      <c r="CV400" s="51">
        <v>9</v>
      </c>
      <c r="CW400" s="51">
        <v>723</v>
      </c>
      <c r="CX400" s="51">
        <v>700</v>
      </c>
      <c r="CY400" s="51">
        <v>0</v>
      </c>
      <c r="CZ400" s="51">
        <v>0</v>
      </c>
      <c r="DA400" s="51">
        <v>230</v>
      </c>
      <c r="DB400" s="51">
        <v>0</v>
      </c>
      <c r="DC400" s="51">
        <v>422</v>
      </c>
      <c r="DD400" s="51">
        <v>13</v>
      </c>
      <c r="DE400" s="51">
        <v>165</v>
      </c>
      <c r="DF400" s="52">
        <v>537</v>
      </c>
      <c r="DG400" s="52">
        <v>6</v>
      </c>
      <c r="DH400" s="52">
        <v>0</v>
      </c>
      <c r="DI400" s="52">
        <v>168</v>
      </c>
      <c r="DJ400" s="52">
        <v>0</v>
      </c>
      <c r="DK400" s="52">
        <v>1</v>
      </c>
      <c r="DL400" s="52">
        <v>0</v>
      </c>
      <c r="DM400" s="52">
        <v>0</v>
      </c>
      <c r="DN400" s="52">
        <v>0</v>
      </c>
      <c r="DO400" s="52">
        <v>0</v>
      </c>
      <c r="DP400" s="52">
        <v>0</v>
      </c>
      <c r="DQ400" s="52">
        <v>0</v>
      </c>
      <c r="DR400" s="52">
        <v>5</v>
      </c>
      <c r="DS400" s="53">
        <v>0</v>
      </c>
      <c r="DT400" s="53">
        <v>0</v>
      </c>
      <c r="DU400" s="53">
        <v>0</v>
      </c>
      <c r="DV400" s="53">
        <v>0</v>
      </c>
      <c r="DW400" s="53">
        <v>0</v>
      </c>
      <c r="DX400" s="2"/>
      <c r="DY400" s="2"/>
      <c r="DZ400" s="46">
        <f t="shared" si="91"/>
        <v>0</v>
      </c>
      <c r="EA400" s="46">
        <f t="shared" si="92"/>
        <v>0</v>
      </c>
      <c r="EB400" s="46">
        <f t="shared" si="93"/>
        <v>0</v>
      </c>
      <c r="EC400" s="46">
        <f t="shared" si="94"/>
        <v>0</v>
      </c>
      <c r="ED400" s="46">
        <f t="shared" si="95"/>
        <v>0</v>
      </c>
      <c r="EE400" s="46">
        <f t="shared" si="96"/>
        <v>0</v>
      </c>
      <c r="EF400" s="46">
        <f t="shared" si="97"/>
        <v>0</v>
      </c>
      <c r="EG400" s="46">
        <f t="shared" si="98"/>
        <v>1451</v>
      </c>
      <c r="EH400" s="46">
        <f t="shared" si="101"/>
        <v>1541</v>
      </c>
      <c r="EI400" s="46">
        <f t="shared" si="100"/>
        <v>0</v>
      </c>
    </row>
    <row r="401" spans="3:139">
      <c r="C401" s="36" t="s">
        <v>597</v>
      </c>
      <c r="D401" s="36" t="s">
        <v>544</v>
      </c>
      <c r="E401" s="36" t="s">
        <v>545</v>
      </c>
      <c r="F401" s="38">
        <f t="shared" si="99"/>
        <v>5280</v>
      </c>
      <c r="G401" s="37" t="s">
        <v>546</v>
      </c>
      <c r="H401" s="47"/>
      <c r="I401" s="48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8"/>
      <c r="U401" s="48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8"/>
      <c r="AG401" s="48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1"/>
      <c r="CO401" s="51"/>
      <c r="CP401" s="51"/>
      <c r="CQ401" s="51"/>
      <c r="CR401" s="51"/>
      <c r="CS401" s="51"/>
      <c r="CT401" s="51">
        <v>20</v>
      </c>
      <c r="CU401" s="51">
        <v>20</v>
      </c>
      <c r="CV401" s="51">
        <v>900</v>
      </c>
      <c r="CW401" s="51">
        <v>270</v>
      </c>
      <c r="CX401" s="51">
        <v>929</v>
      </c>
      <c r="CY401" s="51">
        <v>0</v>
      </c>
      <c r="CZ401" s="51">
        <v>650</v>
      </c>
      <c r="DA401" s="51">
        <v>323</v>
      </c>
      <c r="DB401" s="51">
        <v>-1</v>
      </c>
      <c r="DC401" s="51">
        <v>1363</v>
      </c>
      <c r="DD401" s="51">
        <v>17</v>
      </c>
      <c r="DE401" s="51">
        <v>359</v>
      </c>
      <c r="DF401" s="52">
        <v>24</v>
      </c>
      <c r="DG401" s="52">
        <v>398</v>
      </c>
      <c r="DH401" s="52">
        <v>3</v>
      </c>
      <c r="DI401" s="52">
        <v>3</v>
      </c>
      <c r="DJ401" s="52">
        <v>0</v>
      </c>
      <c r="DK401" s="52">
        <v>2</v>
      </c>
      <c r="DL401" s="52">
        <v>0</v>
      </c>
      <c r="DM401" s="52">
        <v>0</v>
      </c>
      <c r="DN401" s="52">
        <v>0</v>
      </c>
      <c r="DO401" s="52">
        <v>0</v>
      </c>
      <c r="DP401" s="52">
        <v>0</v>
      </c>
      <c r="DQ401" s="52">
        <v>0</v>
      </c>
      <c r="DR401" s="52">
        <v>0</v>
      </c>
      <c r="DS401" s="53">
        <v>0</v>
      </c>
      <c r="DT401" s="53">
        <v>0</v>
      </c>
      <c r="DU401" s="53">
        <v>0</v>
      </c>
      <c r="DV401" s="53">
        <v>0</v>
      </c>
      <c r="DW401" s="53">
        <v>0</v>
      </c>
      <c r="DX401" s="2"/>
      <c r="DY401" s="2"/>
      <c r="DZ401" s="46">
        <f t="shared" si="91"/>
        <v>0</v>
      </c>
      <c r="EA401" s="46">
        <f t="shared" si="92"/>
        <v>0</v>
      </c>
      <c r="EB401" s="46">
        <f t="shared" si="93"/>
        <v>0</v>
      </c>
      <c r="EC401" s="46">
        <f t="shared" si="94"/>
        <v>0</v>
      </c>
      <c r="ED401" s="46">
        <f t="shared" si="95"/>
        <v>0</v>
      </c>
      <c r="EE401" s="46">
        <f t="shared" si="96"/>
        <v>0</v>
      </c>
      <c r="EF401" s="46">
        <f t="shared" si="97"/>
        <v>0</v>
      </c>
      <c r="EG401" s="46">
        <f t="shared" si="98"/>
        <v>2139</v>
      </c>
      <c r="EH401" s="46">
        <f t="shared" si="101"/>
        <v>3139</v>
      </c>
      <c r="EI401" s="46">
        <f t="shared" si="100"/>
        <v>0</v>
      </c>
    </row>
    <row r="402" spans="3:139">
      <c r="C402" s="36" t="s">
        <v>598</v>
      </c>
      <c r="D402" s="36" t="s">
        <v>544</v>
      </c>
      <c r="E402" s="36" t="s">
        <v>545</v>
      </c>
      <c r="F402" s="38">
        <f t="shared" si="99"/>
        <v>2379</v>
      </c>
      <c r="G402" s="37" t="s">
        <v>546</v>
      </c>
      <c r="H402" s="47"/>
      <c r="I402" s="48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8"/>
      <c r="U402" s="48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8"/>
      <c r="AG402" s="48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1"/>
      <c r="CO402" s="51"/>
      <c r="CP402" s="51"/>
      <c r="CQ402" s="51"/>
      <c r="CR402" s="51"/>
      <c r="CS402" s="51"/>
      <c r="CT402" s="51">
        <v>5</v>
      </c>
      <c r="CU402" s="51">
        <v>12</v>
      </c>
      <c r="CV402" s="51">
        <v>0</v>
      </c>
      <c r="CW402" s="51">
        <v>810</v>
      </c>
      <c r="CX402" s="51">
        <v>410</v>
      </c>
      <c r="CY402" s="51">
        <v>0</v>
      </c>
      <c r="CZ402" s="51">
        <v>40</v>
      </c>
      <c r="DA402" s="51">
        <v>307</v>
      </c>
      <c r="DB402" s="51">
        <v>240</v>
      </c>
      <c r="DC402" s="51">
        <v>288</v>
      </c>
      <c r="DD402" s="51">
        <v>161</v>
      </c>
      <c r="DE402" s="51">
        <v>106</v>
      </c>
      <c r="DF402" s="52">
        <v>-1</v>
      </c>
      <c r="DG402" s="52">
        <v>0</v>
      </c>
      <c r="DH402" s="52">
        <v>0</v>
      </c>
      <c r="DI402" s="52">
        <v>0</v>
      </c>
      <c r="DJ402" s="52">
        <v>0</v>
      </c>
      <c r="DK402" s="52">
        <v>1</v>
      </c>
      <c r="DL402" s="52">
        <v>0</v>
      </c>
      <c r="DM402" s="52">
        <v>0</v>
      </c>
      <c r="DN402" s="52">
        <v>0</v>
      </c>
      <c r="DO402" s="52">
        <v>0</v>
      </c>
      <c r="DP402" s="52">
        <v>0</v>
      </c>
      <c r="DQ402" s="52">
        <v>0</v>
      </c>
      <c r="DR402" s="52">
        <v>0</v>
      </c>
      <c r="DS402" s="53">
        <v>0</v>
      </c>
      <c r="DT402" s="53">
        <v>0</v>
      </c>
      <c r="DU402" s="53">
        <v>0</v>
      </c>
      <c r="DV402" s="53">
        <v>0</v>
      </c>
      <c r="DW402" s="53">
        <v>0</v>
      </c>
      <c r="DX402" s="2"/>
      <c r="DY402" s="2"/>
      <c r="DZ402" s="46">
        <f t="shared" si="91"/>
        <v>0</v>
      </c>
      <c r="EA402" s="46">
        <f t="shared" si="92"/>
        <v>0</v>
      </c>
      <c r="EB402" s="46">
        <f t="shared" si="93"/>
        <v>0</v>
      </c>
      <c r="EC402" s="46">
        <f t="shared" si="94"/>
        <v>0</v>
      </c>
      <c r="ED402" s="46">
        <f t="shared" si="95"/>
        <v>0</v>
      </c>
      <c r="EE402" s="46">
        <f t="shared" si="96"/>
        <v>0</v>
      </c>
      <c r="EF402" s="46">
        <f t="shared" si="97"/>
        <v>0</v>
      </c>
      <c r="EG402" s="46">
        <f t="shared" si="98"/>
        <v>1237</v>
      </c>
      <c r="EH402" s="46">
        <f t="shared" si="101"/>
        <v>1141</v>
      </c>
      <c r="EI402" s="46">
        <f t="shared" si="100"/>
        <v>0</v>
      </c>
    </row>
    <row r="403" spans="3:139">
      <c r="C403" s="36" t="s">
        <v>599</v>
      </c>
      <c r="D403" s="36" t="s">
        <v>544</v>
      </c>
      <c r="E403" s="36" t="s">
        <v>545</v>
      </c>
      <c r="F403" s="38">
        <f t="shared" si="99"/>
        <v>10013</v>
      </c>
      <c r="G403" s="37" t="s">
        <v>546</v>
      </c>
      <c r="H403" s="47"/>
      <c r="I403" s="48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8"/>
      <c r="U403" s="48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8"/>
      <c r="AG403" s="48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1"/>
      <c r="CO403" s="51"/>
      <c r="CP403" s="51"/>
      <c r="CQ403" s="51"/>
      <c r="CR403" s="51"/>
      <c r="CS403" s="51"/>
      <c r="CT403" s="51"/>
      <c r="CU403" s="51"/>
      <c r="CV403" s="51"/>
      <c r="CW403" s="51"/>
      <c r="CX403" s="51"/>
      <c r="CY403" s="51"/>
      <c r="CZ403" s="51"/>
      <c r="DA403" s="51"/>
      <c r="DB403" s="51"/>
      <c r="DC403" s="51"/>
      <c r="DD403" s="51"/>
      <c r="DE403" s="51"/>
      <c r="DF403" s="52">
        <v>2073</v>
      </c>
      <c r="DG403" s="52">
        <v>1066</v>
      </c>
      <c r="DH403" s="52">
        <v>584</v>
      </c>
      <c r="DI403" s="52">
        <v>1052</v>
      </c>
      <c r="DJ403" s="52">
        <v>2645</v>
      </c>
      <c r="DK403" s="52">
        <v>645</v>
      </c>
      <c r="DL403" s="52">
        <v>32</v>
      </c>
      <c r="DM403" s="52">
        <v>0</v>
      </c>
      <c r="DN403" s="52">
        <v>-8</v>
      </c>
      <c r="DO403" s="52">
        <v>49</v>
      </c>
      <c r="DP403" s="52">
        <v>379</v>
      </c>
      <c r="DQ403" s="52">
        <v>1496</v>
      </c>
      <c r="DR403" s="52">
        <v>708</v>
      </c>
      <c r="DS403" s="53">
        <v>409</v>
      </c>
      <c r="DT403" s="53">
        <v>409</v>
      </c>
      <c r="DU403" s="53">
        <v>245</v>
      </c>
      <c r="DV403" s="53">
        <v>188</v>
      </c>
      <c r="DW403" s="53">
        <v>119</v>
      </c>
      <c r="DX403" s="2"/>
      <c r="DY403" s="2"/>
      <c r="DZ403" s="46"/>
      <c r="EA403" s="46"/>
      <c r="EB403" s="46"/>
      <c r="EC403" s="46"/>
      <c r="ED403" s="46"/>
      <c r="EE403" s="46"/>
      <c r="EF403" s="46"/>
      <c r="EG403" s="46"/>
      <c r="EH403" s="46">
        <f t="shared" si="101"/>
        <v>7420</v>
      </c>
      <c r="EI403" s="46">
        <f t="shared" si="100"/>
        <v>73</v>
      </c>
    </row>
    <row r="404" spans="3:139">
      <c r="C404" s="36" t="s">
        <v>600</v>
      </c>
      <c r="D404" s="36" t="s">
        <v>544</v>
      </c>
      <c r="E404" s="36" t="s">
        <v>545</v>
      </c>
      <c r="F404" s="38">
        <f t="shared" si="99"/>
        <v>16494</v>
      </c>
      <c r="G404" s="37" t="s">
        <v>546</v>
      </c>
      <c r="H404" s="47"/>
      <c r="I404" s="48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8"/>
      <c r="U404" s="48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8"/>
      <c r="AG404" s="48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1"/>
      <c r="CO404" s="51"/>
      <c r="CP404" s="51"/>
      <c r="CQ404" s="51"/>
      <c r="CR404" s="51"/>
      <c r="CS404" s="51"/>
      <c r="CT404" s="51"/>
      <c r="CU404" s="51"/>
      <c r="CV404" s="51"/>
      <c r="CW404" s="51"/>
      <c r="CX404" s="51"/>
      <c r="CY404" s="51"/>
      <c r="CZ404" s="51"/>
      <c r="DA404" s="51"/>
      <c r="DB404" s="51"/>
      <c r="DC404" s="51"/>
      <c r="DD404" s="51"/>
      <c r="DE404" s="51"/>
      <c r="DF404" s="52"/>
      <c r="DG404" s="52">
        <v>1406</v>
      </c>
      <c r="DH404" s="52">
        <v>2059</v>
      </c>
      <c r="DI404" s="52">
        <v>3996</v>
      </c>
      <c r="DJ404" s="52">
        <v>2452</v>
      </c>
      <c r="DK404" s="52">
        <v>2213</v>
      </c>
      <c r="DL404" s="52">
        <v>1711</v>
      </c>
      <c r="DM404" s="52">
        <v>322</v>
      </c>
      <c r="DN404" s="52">
        <v>-9</v>
      </c>
      <c r="DO404" s="52">
        <v>0</v>
      </c>
      <c r="DP404" s="52">
        <v>1414</v>
      </c>
      <c r="DQ404" s="52">
        <v>930</v>
      </c>
      <c r="DR404" s="52">
        <v>2002</v>
      </c>
      <c r="DS404" s="53">
        <v>1527</v>
      </c>
      <c r="DT404" s="53">
        <v>1527</v>
      </c>
      <c r="DU404" s="53">
        <v>916</v>
      </c>
      <c r="DV404" s="53">
        <v>702</v>
      </c>
      <c r="DW404" s="53">
        <v>443</v>
      </c>
      <c r="DX404" s="2"/>
      <c r="DY404" s="2"/>
      <c r="DZ404" s="46"/>
      <c r="EA404" s="46"/>
      <c r="EB404" s="46"/>
      <c r="EC404" s="46"/>
      <c r="ED404" s="46"/>
      <c r="EE404" s="46"/>
      <c r="EF404" s="46"/>
      <c r="EG404" s="46"/>
      <c r="EH404" s="46">
        <f t="shared" si="101"/>
        <v>9913</v>
      </c>
      <c r="EI404" s="46">
        <f t="shared" si="100"/>
        <v>2024</v>
      </c>
    </row>
    <row r="405" spans="3:139">
      <c r="C405" s="36" t="s">
        <v>601</v>
      </c>
      <c r="D405" s="36" t="s">
        <v>544</v>
      </c>
      <c r="E405" s="36" t="s">
        <v>545</v>
      </c>
      <c r="F405" s="38">
        <f t="shared" si="99"/>
        <v>2197</v>
      </c>
      <c r="G405" s="37" t="s">
        <v>546</v>
      </c>
      <c r="H405" s="47"/>
      <c r="I405" s="48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8"/>
      <c r="U405" s="48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8"/>
      <c r="AG405" s="48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  <c r="BP405" s="50"/>
      <c r="BQ405" s="50"/>
      <c r="BR405" s="50"/>
      <c r="BS405" s="50"/>
      <c r="BT405" s="50"/>
      <c r="BU405" s="50"/>
      <c r="BV405" s="50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1"/>
      <c r="CO405" s="51"/>
      <c r="CP405" s="51"/>
      <c r="CQ405" s="51"/>
      <c r="CR405" s="51"/>
      <c r="CS405" s="51"/>
      <c r="CT405" s="51"/>
      <c r="CU405" s="51"/>
      <c r="CV405" s="51"/>
      <c r="CW405" s="51"/>
      <c r="CX405" s="51"/>
      <c r="CY405" s="51"/>
      <c r="CZ405" s="51"/>
      <c r="DA405" s="51"/>
      <c r="DB405" s="51"/>
      <c r="DC405" s="51"/>
      <c r="DD405" s="51"/>
      <c r="DE405" s="51"/>
      <c r="DF405" s="52"/>
      <c r="DG405" s="52">
        <v>70</v>
      </c>
      <c r="DH405" s="52">
        <v>227</v>
      </c>
      <c r="DI405" s="52">
        <v>550</v>
      </c>
      <c r="DJ405" s="52">
        <v>142</v>
      </c>
      <c r="DK405" s="52">
        <v>134</v>
      </c>
      <c r="DL405" s="52">
        <v>628</v>
      </c>
      <c r="DM405" s="52">
        <v>107</v>
      </c>
      <c r="DN405" s="52">
        <v>-18</v>
      </c>
      <c r="DO405" s="52">
        <v>0</v>
      </c>
      <c r="DP405" s="52">
        <v>227</v>
      </c>
      <c r="DQ405" s="52">
        <v>130</v>
      </c>
      <c r="DR405" s="52">
        <v>353</v>
      </c>
      <c r="DS405" s="53">
        <v>245</v>
      </c>
      <c r="DT405" s="53">
        <v>245</v>
      </c>
      <c r="DU405" s="53">
        <v>147</v>
      </c>
      <c r="DV405" s="53">
        <v>113</v>
      </c>
      <c r="DW405" s="53">
        <v>71</v>
      </c>
      <c r="DX405" s="2"/>
      <c r="DY405" s="2"/>
      <c r="DZ405" s="46"/>
      <c r="EA405" s="46"/>
      <c r="EB405" s="46"/>
      <c r="EC405" s="46"/>
      <c r="ED405" s="46"/>
      <c r="EE405" s="46"/>
      <c r="EF405" s="46"/>
      <c r="EG405" s="46"/>
      <c r="EH405" s="46">
        <f t="shared" si="101"/>
        <v>989</v>
      </c>
      <c r="EI405" s="46">
        <f t="shared" si="100"/>
        <v>717</v>
      </c>
    </row>
    <row r="406" spans="3:139">
      <c r="C406" s="36" t="s">
        <v>602</v>
      </c>
      <c r="D406" s="36" t="s">
        <v>544</v>
      </c>
      <c r="E406" s="36" t="s">
        <v>545</v>
      </c>
      <c r="F406" s="38">
        <f t="shared" si="99"/>
        <v>3160</v>
      </c>
      <c r="G406" s="37" t="s">
        <v>546</v>
      </c>
      <c r="H406" s="47"/>
      <c r="I406" s="48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8"/>
      <c r="U406" s="48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8"/>
      <c r="AG406" s="48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1"/>
      <c r="CO406" s="51"/>
      <c r="CP406" s="51"/>
      <c r="CQ406" s="51"/>
      <c r="CR406" s="51"/>
      <c r="CS406" s="51"/>
      <c r="CT406" s="51"/>
      <c r="CU406" s="51"/>
      <c r="CV406" s="51"/>
      <c r="CW406" s="51"/>
      <c r="CX406" s="51"/>
      <c r="CY406" s="51"/>
      <c r="CZ406" s="51"/>
      <c r="DA406" s="51"/>
      <c r="DB406" s="51"/>
      <c r="DC406" s="51"/>
      <c r="DD406" s="51"/>
      <c r="DE406" s="51"/>
      <c r="DF406" s="52"/>
      <c r="DG406" s="52"/>
      <c r="DH406" s="52">
        <v>419</v>
      </c>
      <c r="DI406" s="52">
        <v>420</v>
      </c>
      <c r="DJ406" s="52">
        <v>817</v>
      </c>
      <c r="DK406" s="52">
        <v>18</v>
      </c>
      <c r="DL406" s="52">
        <v>770</v>
      </c>
      <c r="DM406" s="52">
        <v>6</v>
      </c>
      <c r="DN406" s="52">
        <v>100</v>
      </c>
      <c r="DO406" s="52">
        <v>339</v>
      </c>
      <c r="DP406" s="52">
        <v>98</v>
      </c>
      <c r="DQ406" s="52">
        <v>173</v>
      </c>
      <c r="DR406" s="52">
        <v>684</v>
      </c>
      <c r="DS406" s="53">
        <v>106</v>
      </c>
      <c r="DT406" s="53">
        <v>106</v>
      </c>
      <c r="DU406" s="53">
        <v>64</v>
      </c>
      <c r="DV406" s="53">
        <v>49</v>
      </c>
      <c r="DW406" s="53">
        <v>31</v>
      </c>
      <c r="DX406" s="2"/>
      <c r="DY406" s="2"/>
      <c r="DZ406" s="46"/>
      <c r="EA406" s="46"/>
      <c r="EB406" s="46"/>
      <c r="EC406" s="46"/>
      <c r="ED406" s="46"/>
      <c r="EE406" s="46"/>
      <c r="EF406" s="46"/>
      <c r="EG406" s="46"/>
      <c r="EH406" s="46">
        <f t="shared" si="101"/>
        <v>1656</v>
      </c>
      <c r="EI406" s="46">
        <f t="shared" si="100"/>
        <v>1215</v>
      </c>
    </row>
    <row r="407" spans="3:139">
      <c r="C407" s="36" t="s">
        <v>603</v>
      </c>
      <c r="D407" s="36" t="s">
        <v>544</v>
      </c>
      <c r="E407" s="36" t="s">
        <v>545</v>
      </c>
      <c r="F407" s="38">
        <f t="shared" si="99"/>
        <v>3874</v>
      </c>
      <c r="G407" s="37" t="s">
        <v>546</v>
      </c>
      <c r="H407" s="47"/>
      <c r="I407" s="48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8"/>
      <c r="U407" s="48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8"/>
      <c r="AG407" s="48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1"/>
      <c r="CO407" s="51"/>
      <c r="CP407" s="51"/>
      <c r="CQ407" s="51"/>
      <c r="CR407" s="51"/>
      <c r="CS407" s="51"/>
      <c r="CT407" s="51"/>
      <c r="CU407" s="51"/>
      <c r="CV407" s="51"/>
      <c r="CW407" s="51"/>
      <c r="CX407" s="51"/>
      <c r="CY407" s="51"/>
      <c r="CZ407" s="51"/>
      <c r="DA407" s="51"/>
      <c r="DB407" s="51"/>
      <c r="DC407" s="51"/>
      <c r="DD407" s="51"/>
      <c r="DE407" s="51"/>
      <c r="DF407" s="52"/>
      <c r="DG407" s="52">
        <v>105</v>
      </c>
      <c r="DH407" s="52">
        <v>1471</v>
      </c>
      <c r="DI407" s="52">
        <v>501</v>
      </c>
      <c r="DJ407" s="52">
        <v>442</v>
      </c>
      <c r="DK407" s="52">
        <v>22</v>
      </c>
      <c r="DL407" s="52">
        <v>661</v>
      </c>
      <c r="DM407" s="52">
        <v>430</v>
      </c>
      <c r="DN407" s="52">
        <v>-8</v>
      </c>
      <c r="DO407" s="52">
        <v>149</v>
      </c>
      <c r="DP407" s="52">
        <v>29</v>
      </c>
      <c r="DQ407" s="52">
        <v>72</v>
      </c>
      <c r="DR407" s="52">
        <v>352</v>
      </c>
      <c r="DS407" s="53">
        <v>31</v>
      </c>
      <c r="DT407" s="53">
        <v>31</v>
      </c>
      <c r="DU407" s="53">
        <v>19</v>
      </c>
      <c r="DV407" s="53">
        <v>14</v>
      </c>
      <c r="DW407" s="53">
        <v>9</v>
      </c>
      <c r="DX407" s="2"/>
      <c r="DY407" s="2"/>
      <c r="DZ407" s="46"/>
      <c r="EA407" s="46"/>
      <c r="EB407" s="46"/>
      <c r="EC407" s="46"/>
      <c r="ED407" s="46"/>
      <c r="EE407" s="46"/>
      <c r="EF407" s="46"/>
      <c r="EG407" s="46"/>
      <c r="EH407" s="46">
        <f t="shared" si="101"/>
        <v>2519</v>
      </c>
      <c r="EI407" s="46">
        <f t="shared" si="100"/>
        <v>1232</v>
      </c>
    </row>
    <row r="408" spans="3:139">
      <c r="C408" s="36" t="s">
        <v>604</v>
      </c>
      <c r="D408" s="36" t="s">
        <v>544</v>
      </c>
      <c r="E408" s="36" t="s">
        <v>545</v>
      </c>
      <c r="F408" s="38">
        <f t="shared" si="99"/>
        <v>2177</v>
      </c>
      <c r="G408" s="37" t="s">
        <v>546</v>
      </c>
      <c r="H408" s="47"/>
      <c r="I408" s="48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8"/>
      <c r="U408" s="48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8"/>
      <c r="AG408" s="48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1"/>
      <c r="CO408" s="51"/>
      <c r="CP408" s="51"/>
      <c r="CQ408" s="51"/>
      <c r="CR408" s="51"/>
      <c r="CS408" s="51"/>
      <c r="CT408" s="51"/>
      <c r="CU408" s="51"/>
      <c r="CV408" s="51"/>
      <c r="CW408" s="51"/>
      <c r="CX408" s="51"/>
      <c r="CY408" s="51"/>
      <c r="CZ408" s="51"/>
      <c r="DA408" s="51"/>
      <c r="DB408" s="51"/>
      <c r="DC408" s="51"/>
      <c r="DD408" s="51"/>
      <c r="DE408" s="51"/>
      <c r="DF408" s="52"/>
      <c r="DG408" s="52"/>
      <c r="DH408" s="52">
        <v>67</v>
      </c>
      <c r="DI408" s="52">
        <v>870</v>
      </c>
      <c r="DJ408" s="52">
        <v>0</v>
      </c>
      <c r="DK408" s="52">
        <v>61</v>
      </c>
      <c r="DL408" s="52">
        <v>-6</v>
      </c>
      <c r="DM408" s="52">
        <v>107</v>
      </c>
      <c r="DN408" s="52">
        <v>420</v>
      </c>
      <c r="DO408" s="52">
        <v>0</v>
      </c>
      <c r="DP408" s="52">
        <v>325</v>
      </c>
      <c r="DQ408" s="52">
        <v>333</v>
      </c>
      <c r="DR408" s="52">
        <v>37</v>
      </c>
      <c r="DS408" s="53">
        <v>351</v>
      </c>
      <c r="DT408" s="53">
        <v>351</v>
      </c>
      <c r="DU408" s="53">
        <v>211</v>
      </c>
      <c r="DV408" s="53">
        <v>161</v>
      </c>
      <c r="DW408" s="53">
        <v>102</v>
      </c>
      <c r="DX408" s="2"/>
      <c r="DY408" s="2"/>
      <c r="DZ408" s="46"/>
      <c r="EA408" s="46"/>
      <c r="EB408" s="46"/>
      <c r="EC408" s="46"/>
      <c r="ED408" s="46"/>
      <c r="EE408" s="46"/>
      <c r="EF408" s="46"/>
      <c r="EG408" s="46"/>
      <c r="EH408" s="46">
        <f t="shared" si="101"/>
        <v>937</v>
      </c>
      <c r="EI408" s="46">
        <f t="shared" si="100"/>
        <v>521</v>
      </c>
    </row>
    <row r="409" spans="3:139">
      <c r="C409" s="36" t="s">
        <v>605</v>
      </c>
      <c r="D409" s="36" t="s">
        <v>544</v>
      </c>
      <c r="E409" s="36" t="s">
        <v>545</v>
      </c>
      <c r="F409" s="38">
        <f t="shared" si="99"/>
        <v>862</v>
      </c>
      <c r="G409" s="37" t="s">
        <v>546</v>
      </c>
      <c r="H409" s="47"/>
      <c r="I409" s="48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8"/>
      <c r="U409" s="48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8"/>
      <c r="AG409" s="48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1"/>
      <c r="CO409" s="51"/>
      <c r="CP409" s="51"/>
      <c r="CQ409" s="51"/>
      <c r="CR409" s="51"/>
      <c r="CS409" s="51"/>
      <c r="CT409" s="51"/>
      <c r="CU409" s="51"/>
      <c r="CV409" s="51"/>
      <c r="CW409" s="51"/>
      <c r="CX409" s="51"/>
      <c r="CY409" s="51"/>
      <c r="CZ409" s="51"/>
      <c r="DA409" s="51"/>
      <c r="DB409" s="51"/>
      <c r="DC409" s="51"/>
      <c r="DD409" s="51"/>
      <c r="DE409" s="51"/>
      <c r="DF409" s="52">
        <v>372</v>
      </c>
      <c r="DG409" s="52">
        <v>-4</v>
      </c>
      <c r="DH409" s="52">
        <v>80</v>
      </c>
      <c r="DI409" s="52">
        <v>268</v>
      </c>
      <c r="DJ409" s="52">
        <v>6</v>
      </c>
      <c r="DK409" s="52">
        <v>3</v>
      </c>
      <c r="DL409" s="52">
        <v>0</v>
      </c>
      <c r="DM409" s="52">
        <v>37</v>
      </c>
      <c r="DN409" s="52">
        <v>0</v>
      </c>
      <c r="DO409" s="52">
        <v>0</v>
      </c>
      <c r="DP409" s="52">
        <v>10</v>
      </c>
      <c r="DQ409" s="52">
        <v>90</v>
      </c>
      <c r="DR409" s="52">
        <v>0</v>
      </c>
      <c r="DS409" s="53">
        <v>11</v>
      </c>
      <c r="DT409" s="53">
        <v>11</v>
      </c>
      <c r="DU409" s="53">
        <v>7</v>
      </c>
      <c r="DV409" s="53">
        <v>5</v>
      </c>
      <c r="DW409" s="53">
        <v>3</v>
      </c>
      <c r="DX409" s="2"/>
      <c r="DY409" s="2"/>
      <c r="DZ409" s="46"/>
      <c r="EA409" s="46"/>
      <c r="EB409" s="46"/>
      <c r="EC409" s="46"/>
      <c r="ED409" s="46"/>
      <c r="EE409" s="46"/>
      <c r="EF409" s="46"/>
      <c r="EG409" s="46"/>
      <c r="EH409" s="46">
        <f t="shared" si="101"/>
        <v>722</v>
      </c>
      <c r="EI409" s="46">
        <f t="shared" si="100"/>
        <v>37</v>
      </c>
    </row>
    <row r="410" spans="3:139">
      <c r="C410" s="36" t="s">
        <v>606</v>
      </c>
      <c r="D410" s="36" t="s">
        <v>544</v>
      </c>
      <c r="E410" s="36" t="s">
        <v>545</v>
      </c>
      <c r="F410" s="38">
        <f t="shared" si="99"/>
        <v>339</v>
      </c>
      <c r="G410" s="37" t="s">
        <v>546</v>
      </c>
      <c r="H410" s="47"/>
      <c r="I410" s="48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8"/>
      <c r="U410" s="48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8"/>
      <c r="AG410" s="48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1"/>
      <c r="CO410" s="51"/>
      <c r="CP410" s="51"/>
      <c r="CQ410" s="51"/>
      <c r="CR410" s="51"/>
      <c r="CS410" s="51"/>
      <c r="CT410" s="51"/>
      <c r="CU410" s="51"/>
      <c r="CV410" s="51"/>
      <c r="CW410" s="51"/>
      <c r="CX410" s="51"/>
      <c r="CY410" s="51"/>
      <c r="CZ410" s="51"/>
      <c r="DA410" s="51"/>
      <c r="DB410" s="51"/>
      <c r="DC410" s="51"/>
      <c r="DD410" s="51"/>
      <c r="DE410" s="51"/>
      <c r="DF410" s="52">
        <v>113</v>
      </c>
      <c r="DG410" s="52">
        <v>0</v>
      </c>
      <c r="DH410" s="52">
        <v>0</v>
      </c>
      <c r="DI410" s="52">
        <v>192</v>
      </c>
      <c r="DJ410" s="52">
        <v>19</v>
      </c>
      <c r="DK410" s="52">
        <v>0</v>
      </c>
      <c r="DL410" s="52">
        <v>3</v>
      </c>
      <c r="DM410" s="52">
        <v>0</v>
      </c>
      <c r="DN410" s="52">
        <v>0</v>
      </c>
      <c r="DO410" s="52">
        <v>0</v>
      </c>
      <c r="DP410" s="52">
        <v>0</v>
      </c>
      <c r="DQ410" s="52">
        <v>12</v>
      </c>
      <c r="DR410" s="52">
        <v>0</v>
      </c>
      <c r="DS410" s="53">
        <v>0</v>
      </c>
      <c r="DT410" s="53">
        <v>0</v>
      </c>
      <c r="DU410" s="53">
        <v>0</v>
      </c>
      <c r="DV410" s="53">
        <v>0</v>
      </c>
      <c r="DW410" s="53">
        <v>0</v>
      </c>
      <c r="DX410" s="2"/>
      <c r="DY410" s="2"/>
      <c r="DZ410" s="46"/>
      <c r="EA410" s="46"/>
      <c r="EB410" s="46"/>
      <c r="EC410" s="46"/>
      <c r="ED410" s="46"/>
      <c r="EE410" s="46"/>
      <c r="EF410" s="46"/>
      <c r="EG410" s="46"/>
      <c r="EH410" s="46">
        <f t="shared" si="101"/>
        <v>324</v>
      </c>
      <c r="EI410" s="46">
        <f t="shared" si="100"/>
        <v>3</v>
      </c>
    </row>
    <row r="411" spans="3:139">
      <c r="C411" s="36" t="s">
        <v>607</v>
      </c>
      <c r="D411" s="36" t="s">
        <v>544</v>
      </c>
      <c r="E411" s="36" t="s">
        <v>545</v>
      </c>
      <c r="F411" s="38">
        <f t="shared" si="99"/>
        <v>3945</v>
      </c>
      <c r="G411" s="37" t="s">
        <v>546</v>
      </c>
      <c r="H411" s="47"/>
      <c r="I411" s="48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8"/>
      <c r="U411" s="48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8"/>
      <c r="AG411" s="48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1"/>
      <c r="CO411" s="51"/>
      <c r="CP411" s="51"/>
      <c r="CQ411" s="51"/>
      <c r="CR411" s="51"/>
      <c r="CS411" s="51"/>
      <c r="CT411" s="51"/>
      <c r="CU411" s="51"/>
      <c r="CV411" s="51"/>
      <c r="CW411" s="51"/>
      <c r="CX411" s="51"/>
      <c r="CY411" s="51"/>
      <c r="CZ411" s="51"/>
      <c r="DA411" s="51"/>
      <c r="DB411" s="51"/>
      <c r="DC411" s="51"/>
      <c r="DD411" s="51"/>
      <c r="DE411" s="51"/>
      <c r="DF411" s="52">
        <v>655</v>
      </c>
      <c r="DG411" s="52">
        <v>227</v>
      </c>
      <c r="DH411" s="52">
        <v>8</v>
      </c>
      <c r="DI411" s="52">
        <v>757</v>
      </c>
      <c r="DJ411" s="52">
        <v>180</v>
      </c>
      <c r="DK411" s="52">
        <v>346</v>
      </c>
      <c r="DL411" s="52">
        <v>382</v>
      </c>
      <c r="DM411" s="52">
        <v>190</v>
      </c>
      <c r="DN411" s="52">
        <v>240</v>
      </c>
      <c r="DO411" s="52">
        <v>408</v>
      </c>
      <c r="DP411" s="52">
        <v>186</v>
      </c>
      <c r="DQ411" s="52">
        <v>366</v>
      </c>
      <c r="DR411" s="52">
        <v>14</v>
      </c>
      <c r="DS411" s="53">
        <v>201</v>
      </c>
      <c r="DT411" s="53">
        <v>201</v>
      </c>
      <c r="DU411" s="53">
        <v>121</v>
      </c>
      <c r="DV411" s="53">
        <v>92</v>
      </c>
      <c r="DW411" s="53">
        <v>58</v>
      </c>
      <c r="DX411" s="2"/>
      <c r="DY411" s="2"/>
      <c r="DZ411" s="46"/>
      <c r="EA411" s="46"/>
      <c r="EB411" s="46"/>
      <c r="EC411" s="46"/>
      <c r="ED411" s="46"/>
      <c r="EE411" s="46"/>
      <c r="EF411" s="46"/>
      <c r="EG411" s="46"/>
      <c r="EH411" s="46">
        <f t="shared" si="101"/>
        <v>1827</v>
      </c>
      <c r="EI411" s="46">
        <f t="shared" si="100"/>
        <v>1220</v>
      </c>
    </row>
    <row r="412" spans="3:139">
      <c r="C412" s="36" t="s">
        <v>608</v>
      </c>
      <c r="D412" s="36" t="s">
        <v>544</v>
      </c>
      <c r="E412" s="36" t="s">
        <v>545</v>
      </c>
      <c r="F412" s="38">
        <f t="shared" si="99"/>
        <v>29726</v>
      </c>
      <c r="G412" s="37" t="s">
        <v>546</v>
      </c>
      <c r="H412" s="47"/>
      <c r="I412" s="48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8"/>
      <c r="U412" s="48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8"/>
      <c r="AG412" s="48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1"/>
      <c r="CO412" s="51"/>
      <c r="CP412" s="51"/>
      <c r="CQ412" s="51"/>
      <c r="CR412" s="51"/>
      <c r="CS412" s="51"/>
      <c r="CT412" s="51"/>
      <c r="CU412" s="51"/>
      <c r="CV412" s="51"/>
      <c r="CW412" s="51"/>
      <c r="CX412" s="51"/>
      <c r="CY412" s="51"/>
      <c r="CZ412" s="51"/>
      <c r="DA412" s="51"/>
      <c r="DB412" s="51"/>
      <c r="DC412" s="51"/>
      <c r="DD412" s="51"/>
      <c r="DE412" s="51"/>
      <c r="DF412" s="52">
        <v>1867</v>
      </c>
      <c r="DG412" s="52">
        <v>3404</v>
      </c>
      <c r="DH412" s="52">
        <v>2720</v>
      </c>
      <c r="DI412" s="52">
        <v>3261</v>
      </c>
      <c r="DJ412" s="52">
        <v>3330</v>
      </c>
      <c r="DK412" s="52">
        <v>4456</v>
      </c>
      <c r="DL412" s="52">
        <v>653</v>
      </c>
      <c r="DM412" s="52">
        <v>1162</v>
      </c>
      <c r="DN412" s="52">
        <v>9</v>
      </c>
      <c r="DO412" s="52">
        <v>3887</v>
      </c>
      <c r="DP412" s="52">
        <v>2375</v>
      </c>
      <c r="DQ412" s="52">
        <v>2602</v>
      </c>
      <c r="DR412" s="52">
        <v>3648</v>
      </c>
      <c r="DS412" s="53">
        <v>2565</v>
      </c>
      <c r="DT412" s="53">
        <v>2565</v>
      </c>
      <c r="DU412" s="53">
        <v>1539</v>
      </c>
      <c r="DV412" s="53">
        <v>1180</v>
      </c>
      <c r="DW412" s="53">
        <v>744</v>
      </c>
      <c r="DX412" s="2"/>
      <c r="DY412" s="2"/>
      <c r="DZ412" s="46"/>
      <c r="EA412" s="46"/>
      <c r="EB412" s="46"/>
      <c r="EC412" s="46"/>
      <c r="ED412" s="46"/>
      <c r="EE412" s="46"/>
      <c r="EF412" s="46"/>
      <c r="EG412" s="46"/>
      <c r="EH412" s="46">
        <f t="shared" si="101"/>
        <v>14582</v>
      </c>
      <c r="EI412" s="46">
        <f t="shared" si="100"/>
        <v>5711</v>
      </c>
    </row>
    <row r="413" spans="3:139">
      <c r="C413" s="36" t="s">
        <v>609</v>
      </c>
      <c r="D413" s="36" t="s">
        <v>544</v>
      </c>
      <c r="E413" s="36" t="s">
        <v>545</v>
      </c>
      <c r="F413" s="38">
        <f t="shared" si="99"/>
        <v>48058</v>
      </c>
      <c r="G413" s="37" t="s">
        <v>546</v>
      </c>
      <c r="H413" s="47"/>
      <c r="I413" s="48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8"/>
      <c r="U413" s="48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8"/>
      <c r="AG413" s="48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  <c r="BP413" s="50"/>
      <c r="BQ413" s="50"/>
      <c r="BR413" s="50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1"/>
      <c r="CO413" s="51"/>
      <c r="CP413" s="51"/>
      <c r="CQ413" s="51"/>
      <c r="CR413" s="51"/>
      <c r="CS413" s="51"/>
      <c r="CT413" s="51"/>
      <c r="CU413" s="51"/>
      <c r="CV413" s="51"/>
      <c r="CW413" s="51"/>
      <c r="CX413" s="51"/>
      <c r="CY413" s="51"/>
      <c r="CZ413" s="51"/>
      <c r="DA413" s="51"/>
      <c r="DB413" s="51"/>
      <c r="DC413" s="51"/>
      <c r="DD413" s="51"/>
      <c r="DE413" s="51"/>
      <c r="DF413" s="52">
        <v>4920</v>
      </c>
      <c r="DG413" s="52">
        <v>5728</v>
      </c>
      <c r="DH413" s="52">
        <v>4299</v>
      </c>
      <c r="DI413" s="52">
        <v>5943</v>
      </c>
      <c r="DJ413" s="52">
        <v>4783</v>
      </c>
      <c r="DK413" s="52">
        <v>2758</v>
      </c>
      <c r="DL413" s="52">
        <v>4025</v>
      </c>
      <c r="DM413" s="52">
        <v>438</v>
      </c>
      <c r="DN413" s="52">
        <v>2387</v>
      </c>
      <c r="DO413" s="52">
        <v>4417</v>
      </c>
      <c r="DP413" s="52">
        <v>5553</v>
      </c>
      <c r="DQ413" s="52">
        <v>2807</v>
      </c>
      <c r="DR413" s="52">
        <v>3688</v>
      </c>
      <c r="DS413" s="53">
        <v>5997</v>
      </c>
      <c r="DT413" s="53">
        <v>5997</v>
      </c>
      <c r="DU413" s="53">
        <v>3598</v>
      </c>
      <c r="DV413" s="53">
        <v>2759</v>
      </c>
      <c r="DW413" s="53">
        <v>1739</v>
      </c>
      <c r="DX413" s="2"/>
      <c r="DY413" s="2"/>
      <c r="DZ413" s="46"/>
      <c r="EA413" s="46"/>
      <c r="EB413" s="46"/>
      <c r="EC413" s="46"/>
      <c r="ED413" s="46"/>
      <c r="EE413" s="46"/>
      <c r="EF413" s="46"/>
      <c r="EG413" s="46"/>
      <c r="EH413" s="46">
        <f t="shared" si="101"/>
        <v>25673</v>
      </c>
      <c r="EI413" s="46">
        <f t="shared" si="100"/>
        <v>11267</v>
      </c>
    </row>
    <row r="414" spans="3:139">
      <c r="C414" s="36" t="s">
        <v>610</v>
      </c>
      <c r="D414" s="36" t="s">
        <v>544</v>
      </c>
      <c r="E414" s="36" t="s">
        <v>545</v>
      </c>
      <c r="F414" s="38">
        <f t="shared" si="99"/>
        <v>1398</v>
      </c>
      <c r="G414" s="37" t="s">
        <v>546</v>
      </c>
      <c r="H414" s="47"/>
      <c r="I414" s="48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8"/>
      <c r="U414" s="48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8"/>
      <c r="AG414" s="48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  <c r="CG414" s="50"/>
      <c r="CH414" s="50"/>
      <c r="CI414" s="50"/>
      <c r="CJ414" s="50"/>
      <c r="CK414" s="50"/>
      <c r="CL414" s="50"/>
      <c r="CM414" s="50"/>
      <c r="CN414" s="51"/>
      <c r="CO414" s="51"/>
      <c r="CP414" s="51"/>
      <c r="CQ414" s="51"/>
      <c r="CR414" s="51"/>
      <c r="CS414" s="51"/>
      <c r="CT414" s="51"/>
      <c r="CU414" s="51"/>
      <c r="CV414" s="51"/>
      <c r="CW414" s="51"/>
      <c r="CX414" s="51"/>
      <c r="CY414" s="51"/>
      <c r="CZ414" s="51"/>
      <c r="DA414" s="51"/>
      <c r="DB414" s="51"/>
      <c r="DC414" s="51"/>
      <c r="DD414" s="51"/>
      <c r="DE414" s="51"/>
      <c r="DF414" s="52"/>
      <c r="DG414" s="52">
        <v>246</v>
      </c>
      <c r="DH414" s="52">
        <v>6</v>
      </c>
      <c r="DI414" s="52">
        <v>572</v>
      </c>
      <c r="DJ414" s="52">
        <v>174</v>
      </c>
      <c r="DK414" s="52">
        <v>200</v>
      </c>
      <c r="DL414" s="52">
        <v>55</v>
      </c>
      <c r="DM414" s="52">
        <v>100</v>
      </c>
      <c r="DN414" s="52">
        <v>-13</v>
      </c>
      <c r="DO414" s="52">
        <v>0</v>
      </c>
      <c r="DP414" s="52">
        <v>0</v>
      </c>
      <c r="DQ414" s="52">
        <v>58</v>
      </c>
      <c r="DR414" s="52">
        <v>143</v>
      </c>
      <c r="DS414" s="53">
        <v>0</v>
      </c>
      <c r="DT414" s="53">
        <v>0</v>
      </c>
      <c r="DU414" s="53">
        <v>0</v>
      </c>
      <c r="DV414" s="53">
        <v>0</v>
      </c>
      <c r="DW414" s="53">
        <v>0</v>
      </c>
      <c r="DX414" s="2"/>
      <c r="DY414" s="2"/>
      <c r="DZ414" s="46"/>
      <c r="EA414" s="46"/>
      <c r="EB414" s="46"/>
      <c r="EC414" s="46"/>
      <c r="ED414" s="46"/>
      <c r="EE414" s="46"/>
      <c r="EF414" s="46"/>
      <c r="EG414" s="46"/>
      <c r="EH414" s="46">
        <f t="shared" si="101"/>
        <v>998</v>
      </c>
      <c r="EI414" s="46">
        <f t="shared" si="100"/>
        <v>142</v>
      </c>
    </row>
    <row r="415" spans="3:139">
      <c r="C415" s="36" t="s">
        <v>611</v>
      </c>
      <c r="D415" s="36" t="s">
        <v>544</v>
      </c>
      <c r="E415" s="36" t="s">
        <v>545</v>
      </c>
      <c r="F415" s="38">
        <f t="shared" si="99"/>
        <v>5073</v>
      </c>
      <c r="G415" s="37" t="s">
        <v>546</v>
      </c>
      <c r="H415" s="47"/>
      <c r="I415" s="48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8"/>
      <c r="U415" s="48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8"/>
      <c r="AG415" s="48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1"/>
      <c r="CO415" s="51"/>
      <c r="CP415" s="51"/>
      <c r="CQ415" s="51"/>
      <c r="CR415" s="51"/>
      <c r="CS415" s="51"/>
      <c r="CT415" s="51"/>
      <c r="CU415" s="51"/>
      <c r="CV415" s="51"/>
      <c r="CW415" s="51"/>
      <c r="CX415" s="51"/>
      <c r="CY415" s="51"/>
      <c r="CZ415" s="51"/>
      <c r="DA415" s="51"/>
      <c r="DB415" s="51"/>
      <c r="DC415" s="51"/>
      <c r="DD415" s="51"/>
      <c r="DE415" s="51"/>
      <c r="DF415" s="52"/>
      <c r="DG415" s="52"/>
      <c r="DH415" s="52">
        <v>50</v>
      </c>
      <c r="DI415" s="52">
        <v>0</v>
      </c>
      <c r="DJ415" s="52">
        <v>0</v>
      </c>
      <c r="DK415" s="52">
        <v>0</v>
      </c>
      <c r="DL415" s="52">
        <v>1119</v>
      </c>
      <c r="DM415" s="52">
        <v>309</v>
      </c>
      <c r="DN415" s="52">
        <v>2867</v>
      </c>
      <c r="DO415" s="52">
        <v>322</v>
      </c>
      <c r="DP415" s="52">
        <v>0</v>
      </c>
      <c r="DQ415" s="52">
        <v>406</v>
      </c>
      <c r="DR415" s="52">
        <v>303</v>
      </c>
      <c r="DS415" s="53">
        <v>0</v>
      </c>
      <c r="DT415" s="53">
        <v>0</v>
      </c>
      <c r="DU415" s="53">
        <v>0</v>
      </c>
      <c r="DV415" s="53">
        <v>0</v>
      </c>
      <c r="DW415" s="53">
        <v>0</v>
      </c>
      <c r="DX415" s="2"/>
      <c r="DY415" s="2"/>
      <c r="DZ415" s="46"/>
      <c r="EA415" s="46"/>
      <c r="EB415" s="46"/>
      <c r="EC415" s="46"/>
      <c r="ED415" s="46"/>
      <c r="EE415" s="46"/>
      <c r="EF415" s="46"/>
      <c r="EG415" s="46"/>
      <c r="EH415" s="46">
        <f t="shared" si="101"/>
        <v>50</v>
      </c>
      <c r="EI415" s="46">
        <f t="shared" si="100"/>
        <v>4617</v>
      </c>
    </row>
    <row r="416" spans="3:139">
      <c r="C416" s="36" t="s">
        <v>612</v>
      </c>
      <c r="D416" s="36" t="s">
        <v>544</v>
      </c>
      <c r="E416" s="36" t="s">
        <v>545</v>
      </c>
      <c r="F416" s="38">
        <f t="shared" si="99"/>
        <v>4008</v>
      </c>
      <c r="G416" s="37" t="s">
        <v>546</v>
      </c>
      <c r="H416" s="47"/>
      <c r="I416" s="48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8"/>
      <c r="U416" s="48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8"/>
      <c r="AG416" s="48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1"/>
      <c r="CO416" s="51"/>
      <c r="CP416" s="51"/>
      <c r="CQ416" s="51"/>
      <c r="CR416" s="51"/>
      <c r="CS416" s="51"/>
      <c r="CT416" s="51"/>
      <c r="CU416" s="51"/>
      <c r="CV416" s="51"/>
      <c r="CW416" s="51"/>
      <c r="CX416" s="51"/>
      <c r="CY416" s="51"/>
      <c r="CZ416" s="51"/>
      <c r="DA416" s="51"/>
      <c r="DB416" s="51"/>
      <c r="DC416" s="51"/>
      <c r="DD416" s="51"/>
      <c r="DE416" s="51"/>
      <c r="DF416" s="52"/>
      <c r="DG416" s="52">
        <v>160</v>
      </c>
      <c r="DH416" s="52">
        <v>516</v>
      </c>
      <c r="DI416" s="52">
        <v>903</v>
      </c>
      <c r="DJ416" s="52">
        <v>3</v>
      </c>
      <c r="DK416" s="52">
        <v>542</v>
      </c>
      <c r="DL416" s="52">
        <v>326</v>
      </c>
      <c r="DM416" s="52">
        <v>604</v>
      </c>
      <c r="DN416" s="52">
        <v>-3</v>
      </c>
      <c r="DO416" s="52">
        <v>352</v>
      </c>
      <c r="DP416" s="52">
        <v>397</v>
      </c>
      <c r="DQ416" s="52">
        <v>208</v>
      </c>
      <c r="DR416" s="52">
        <v>264</v>
      </c>
      <c r="DS416" s="53">
        <v>429</v>
      </c>
      <c r="DT416" s="53">
        <v>429</v>
      </c>
      <c r="DU416" s="53">
        <v>257</v>
      </c>
      <c r="DV416" s="53">
        <v>197</v>
      </c>
      <c r="DW416" s="53">
        <v>124</v>
      </c>
      <c r="DX416" s="2"/>
      <c r="DY416" s="2"/>
      <c r="DZ416" s="46"/>
      <c r="EA416" s="46"/>
      <c r="EB416" s="46"/>
      <c r="EC416" s="46"/>
      <c r="ED416" s="46"/>
      <c r="EE416" s="46"/>
      <c r="EF416" s="46"/>
      <c r="EG416" s="46"/>
      <c r="EH416" s="46">
        <f t="shared" si="101"/>
        <v>1582</v>
      </c>
      <c r="EI416" s="46">
        <f t="shared" si="100"/>
        <v>1279</v>
      </c>
    </row>
    <row r="417" spans="3:139">
      <c r="C417" s="36" t="s">
        <v>613</v>
      </c>
      <c r="D417" s="36" t="s">
        <v>544</v>
      </c>
      <c r="E417" s="36" t="s">
        <v>545</v>
      </c>
      <c r="F417" s="38">
        <f t="shared" si="99"/>
        <v>88</v>
      </c>
      <c r="G417" s="37" t="s">
        <v>546</v>
      </c>
      <c r="H417" s="47"/>
      <c r="I417" s="48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8"/>
      <c r="U417" s="48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8"/>
      <c r="AG417" s="48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  <c r="BP417" s="50"/>
      <c r="BQ417" s="50"/>
      <c r="BR417" s="50"/>
      <c r="BS417" s="50"/>
      <c r="BT417" s="50"/>
      <c r="BU417" s="50"/>
      <c r="BV417" s="50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1"/>
      <c r="CO417" s="51"/>
      <c r="CP417" s="51"/>
      <c r="CQ417" s="51"/>
      <c r="CR417" s="51"/>
      <c r="CS417" s="51"/>
      <c r="CT417" s="51"/>
      <c r="CU417" s="51"/>
      <c r="CV417" s="51"/>
      <c r="CW417" s="51"/>
      <c r="CX417" s="51"/>
      <c r="CY417" s="51"/>
      <c r="CZ417" s="51"/>
      <c r="DA417" s="51"/>
      <c r="DB417" s="51"/>
      <c r="DC417" s="51"/>
      <c r="DD417" s="51"/>
      <c r="DE417" s="51"/>
      <c r="DF417" s="52"/>
      <c r="DG417" s="52"/>
      <c r="DH417" s="52"/>
      <c r="DI417" s="52"/>
      <c r="DJ417" s="52"/>
      <c r="DK417" s="52"/>
      <c r="DL417" s="52"/>
      <c r="DM417" s="52">
        <v>15</v>
      </c>
      <c r="DN417" s="52">
        <v>43</v>
      </c>
      <c r="DO417" s="52">
        <v>20</v>
      </c>
      <c r="DP417" s="52">
        <v>10</v>
      </c>
      <c r="DQ417" s="52">
        <v>0</v>
      </c>
      <c r="DR417" s="52">
        <v>38</v>
      </c>
      <c r="DS417" s="53">
        <v>11</v>
      </c>
      <c r="DT417" s="53">
        <v>11</v>
      </c>
      <c r="DU417" s="53">
        <v>7</v>
      </c>
      <c r="DV417" s="53">
        <v>5</v>
      </c>
      <c r="DW417" s="53">
        <v>3</v>
      </c>
      <c r="DX417" s="2"/>
      <c r="DY417" s="2"/>
      <c r="DZ417" s="46"/>
      <c r="EA417" s="46"/>
      <c r="EB417" s="46"/>
      <c r="EC417" s="46"/>
      <c r="ED417" s="46"/>
      <c r="EE417" s="46"/>
      <c r="EF417" s="46"/>
      <c r="EG417" s="46"/>
      <c r="EH417" s="46"/>
      <c r="EI417" s="46">
        <f t="shared" si="100"/>
        <v>78</v>
      </c>
    </row>
    <row r="418" spans="3:139">
      <c r="C418" s="36" t="s">
        <v>614</v>
      </c>
      <c r="D418" s="36" t="s">
        <v>544</v>
      </c>
      <c r="E418" s="36" t="s">
        <v>545</v>
      </c>
      <c r="F418" s="38">
        <f t="shared" si="99"/>
        <v>328</v>
      </c>
      <c r="G418" s="37" t="s">
        <v>546</v>
      </c>
      <c r="H418" s="47"/>
      <c r="I418" s="48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8"/>
      <c r="U418" s="48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8"/>
      <c r="AG418" s="48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50"/>
      <c r="BQ418" s="50"/>
      <c r="BR418" s="50"/>
      <c r="BS418" s="50"/>
      <c r="BT418" s="50"/>
      <c r="BU418" s="50"/>
      <c r="BV418" s="50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1"/>
      <c r="CO418" s="51"/>
      <c r="CP418" s="51"/>
      <c r="CQ418" s="51"/>
      <c r="CR418" s="51"/>
      <c r="CS418" s="51"/>
      <c r="CT418" s="51"/>
      <c r="CU418" s="51"/>
      <c r="CV418" s="51"/>
      <c r="CW418" s="51"/>
      <c r="CX418" s="51"/>
      <c r="CY418" s="51"/>
      <c r="CZ418" s="51"/>
      <c r="DA418" s="51"/>
      <c r="DB418" s="51"/>
      <c r="DC418" s="51"/>
      <c r="DD418" s="51"/>
      <c r="DE418" s="51"/>
      <c r="DF418" s="52"/>
      <c r="DG418" s="52"/>
      <c r="DH418" s="52"/>
      <c r="DI418" s="52"/>
      <c r="DJ418" s="52"/>
      <c r="DK418" s="52"/>
      <c r="DL418" s="52"/>
      <c r="DM418" s="52"/>
      <c r="DN418" s="52"/>
      <c r="DO418" s="52"/>
      <c r="DP418" s="52">
        <v>9</v>
      </c>
      <c r="DQ418" s="52">
        <v>319</v>
      </c>
      <c r="DR418" s="52">
        <v>446</v>
      </c>
      <c r="DS418" s="53">
        <v>10</v>
      </c>
      <c r="DT418" s="53">
        <v>10</v>
      </c>
      <c r="DU418" s="53">
        <v>6</v>
      </c>
      <c r="DV418" s="53">
        <v>5</v>
      </c>
      <c r="DW418" s="53">
        <v>3</v>
      </c>
      <c r="DX418" s="2"/>
      <c r="DY418" s="2"/>
      <c r="DZ418" s="46"/>
      <c r="EA418" s="46"/>
      <c r="EB418" s="46"/>
      <c r="EC418" s="46"/>
      <c r="ED418" s="46"/>
      <c r="EE418" s="46"/>
      <c r="EF418" s="46"/>
      <c r="EG418" s="46"/>
      <c r="EH418" s="46"/>
      <c r="EI418" s="46">
        <f t="shared" si="100"/>
        <v>0</v>
      </c>
    </row>
    <row r="419" spans="3:139">
      <c r="C419" s="36" t="s">
        <v>615</v>
      </c>
      <c r="D419" s="36" t="s">
        <v>544</v>
      </c>
      <c r="E419" s="36" t="s">
        <v>545</v>
      </c>
      <c r="F419" s="38">
        <f t="shared" si="99"/>
        <v>-5</v>
      </c>
      <c r="G419" s="37" t="s">
        <v>546</v>
      </c>
      <c r="H419" s="47"/>
      <c r="I419" s="48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8"/>
      <c r="U419" s="48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8"/>
      <c r="AG419" s="48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  <c r="BP419" s="50"/>
      <c r="BQ419" s="50"/>
      <c r="BR419" s="50"/>
      <c r="BS419" s="50"/>
      <c r="BT419" s="50"/>
      <c r="BU419" s="50"/>
      <c r="BV419" s="50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1"/>
      <c r="CO419" s="51"/>
      <c r="CP419" s="51"/>
      <c r="CQ419" s="51"/>
      <c r="CR419" s="51"/>
      <c r="CS419" s="51"/>
      <c r="CT419" s="51"/>
      <c r="CU419" s="51"/>
      <c r="CV419" s="51"/>
      <c r="CW419" s="51"/>
      <c r="CX419" s="51"/>
      <c r="CY419" s="51"/>
      <c r="CZ419" s="51"/>
      <c r="DA419" s="51"/>
      <c r="DB419" s="51"/>
      <c r="DC419" s="51"/>
      <c r="DD419" s="51"/>
      <c r="DE419" s="51"/>
      <c r="DF419" s="52"/>
      <c r="DG419" s="52"/>
      <c r="DH419" s="52"/>
      <c r="DI419" s="52"/>
      <c r="DJ419" s="52"/>
      <c r="DK419" s="52"/>
      <c r="DL419" s="52"/>
      <c r="DM419" s="52"/>
      <c r="DN419" s="52"/>
      <c r="DO419" s="52"/>
      <c r="DP419" s="52"/>
      <c r="DQ419" s="52">
        <v>-5</v>
      </c>
      <c r="DR419" s="52">
        <v>0</v>
      </c>
      <c r="DS419" s="53">
        <v>0</v>
      </c>
      <c r="DT419" s="53">
        <v>0</v>
      </c>
      <c r="DU419" s="53">
        <v>0</v>
      </c>
      <c r="DV419" s="53">
        <v>0</v>
      </c>
      <c r="DW419" s="53">
        <v>0</v>
      </c>
      <c r="DX419" s="2"/>
      <c r="DY419" s="2"/>
      <c r="DZ419" s="46"/>
      <c r="EA419" s="46"/>
      <c r="EB419" s="46"/>
      <c r="EC419" s="46"/>
      <c r="ED419" s="46"/>
      <c r="EE419" s="46"/>
      <c r="EF419" s="46"/>
      <c r="EG419" s="46"/>
      <c r="EH419" s="46"/>
      <c r="EI419" s="46"/>
    </row>
    <row r="420" spans="3:139">
      <c r="C420" s="36" t="s">
        <v>616</v>
      </c>
      <c r="D420" s="36" t="s">
        <v>544</v>
      </c>
      <c r="E420" s="36" t="s">
        <v>545</v>
      </c>
      <c r="F420" s="38">
        <f t="shared" si="99"/>
        <v>0</v>
      </c>
      <c r="G420" s="37" t="s">
        <v>546</v>
      </c>
      <c r="H420" s="47"/>
      <c r="I420" s="48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8"/>
      <c r="U420" s="48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8"/>
      <c r="AG420" s="48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1"/>
      <c r="CO420" s="51"/>
      <c r="CP420" s="51"/>
      <c r="CQ420" s="51"/>
      <c r="CR420" s="51"/>
      <c r="CS420" s="51"/>
      <c r="CT420" s="51"/>
      <c r="CU420" s="51"/>
      <c r="CV420" s="51"/>
      <c r="CW420" s="51"/>
      <c r="CX420" s="51"/>
      <c r="CY420" s="51"/>
      <c r="CZ420" s="51"/>
      <c r="DA420" s="51"/>
      <c r="DB420" s="51"/>
      <c r="DC420" s="51"/>
      <c r="DD420" s="51"/>
      <c r="DE420" s="51"/>
      <c r="DF420" s="52"/>
      <c r="DG420" s="52"/>
      <c r="DH420" s="52"/>
      <c r="DI420" s="52"/>
      <c r="DJ420" s="52"/>
      <c r="DK420" s="52"/>
      <c r="DL420" s="52"/>
      <c r="DM420" s="52"/>
      <c r="DN420" s="52"/>
      <c r="DO420" s="52"/>
      <c r="DP420" s="52"/>
      <c r="DQ420" s="52"/>
      <c r="DR420" s="52">
        <v>23</v>
      </c>
      <c r="DS420" s="53"/>
      <c r="DT420" s="53"/>
      <c r="DU420" s="53"/>
      <c r="DV420" s="53"/>
      <c r="DW420" s="53"/>
      <c r="DX420" s="2"/>
      <c r="DY420" s="2"/>
      <c r="DZ420" s="46"/>
      <c r="EA420" s="46"/>
      <c r="EB420" s="46"/>
      <c r="EC420" s="46"/>
      <c r="ED420" s="46"/>
      <c r="EE420" s="46"/>
      <c r="EF420" s="46"/>
      <c r="EG420" s="46"/>
      <c r="EH420" s="46"/>
      <c r="EI420" s="46"/>
    </row>
    <row r="421" spans="3:139">
      <c r="C421" s="36" t="s">
        <v>617</v>
      </c>
      <c r="D421" s="36" t="s">
        <v>544</v>
      </c>
      <c r="E421" s="36" t="s">
        <v>545</v>
      </c>
      <c r="F421" s="38">
        <f t="shared" si="99"/>
        <v>0</v>
      </c>
      <c r="G421" s="37" t="s">
        <v>546</v>
      </c>
      <c r="H421" s="47"/>
      <c r="I421" s="48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8"/>
      <c r="U421" s="48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8"/>
      <c r="AG421" s="48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1"/>
      <c r="CO421" s="51"/>
      <c r="CP421" s="51"/>
      <c r="CQ421" s="51"/>
      <c r="CR421" s="51"/>
      <c r="CS421" s="51"/>
      <c r="CT421" s="51"/>
      <c r="CU421" s="51"/>
      <c r="CV421" s="51"/>
      <c r="CW421" s="51"/>
      <c r="CX421" s="51"/>
      <c r="CY421" s="51"/>
      <c r="CZ421" s="51"/>
      <c r="DA421" s="51"/>
      <c r="DB421" s="51"/>
      <c r="DC421" s="51"/>
      <c r="DD421" s="51"/>
      <c r="DE421" s="51"/>
      <c r="DF421" s="52"/>
      <c r="DG421" s="52"/>
      <c r="DH421" s="52"/>
      <c r="DI421" s="52"/>
      <c r="DJ421" s="52"/>
      <c r="DK421" s="52"/>
      <c r="DL421" s="52"/>
      <c r="DM421" s="52"/>
      <c r="DN421" s="52"/>
      <c r="DO421" s="52"/>
      <c r="DP421" s="52"/>
      <c r="DQ421" s="52"/>
      <c r="DR421" s="52">
        <v>20</v>
      </c>
      <c r="DS421" s="53"/>
      <c r="DT421" s="53"/>
      <c r="DU421" s="53"/>
      <c r="DV421" s="53"/>
      <c r="DW421" s="53"/>
      <c r="DX421" s="2"/>
      <c r="DY421" s="2"/>
      <c r="DZ421" s="46"/>
      <c r="EA421" s="46"/>
      <c r="EB421" s="46"/>
      <c r="EC421" s="46"/>
      <c r="ED421" s="46"/>
      <c r="EE421" s="46"/>
      <c r="EF421" s="46"/>
      <c r="EG421" s="46"/>
      <c r="EH421" s="46"/>
      <c r="EI421" s="46"/>
    </row>
    <row r="422" spans="3:139">
      <c r="C422" s="36" t="s">
        <v>618</v>
      </c>
      <c r="D422" s="36"/>
      <c r="E422" s="36"/>
      <c r="F422" s="38">
        <f t="shared" si="99"/>
        <v>10</v>
      </c>
      <c r="G422" s="37" t="s">
        <v>546</v>
      </c>
      <c r="H422" s="47"/>
      <c r="I422" s="48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8"/>
      <c r="U422" s="48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8"/>
      <c r="AG422" s="48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1"/>
      <c r="CO422" s="51"/>
      <c r="CP422" s="51"/>
      <c r="CQ422" s="51"/>
      <c r="CR422" s="51"/>
      <c r="CS422" s="51"/>
      <c r="CT422" s="51"/>
      <c r="CU422" s="51"/>
      <c r="CV422" s="51"/>
      <c r="CW422" s="51"/>
      <c r="CX422" s="51"/>
      <c r="CY422" s="51"/>
      <c r="CZ422" s="51"/>
      <c r="DA422" s="51"/>
      <c r="DB422" s="51"/>
      <c r="DC422" s="51"/>
      <c r="DD422" s="51"/>
      <c r="DE422" s="51"/>
      <c r="DF422" s="52"/>
      <c r="DG422" s="52"/>
      <c r="DH422" s="52">
        <v>10</v>
      </c>
      <c r="DI422" s="52">
        <v>0</v>
      </c>
      <c r="DJ422" s="52">
        <v>0</v>
      </c>
      <c r="DK422" s="52">
        <v>0</v>
      </c>
      <c r="DL422" s="52">
        <v>0</v>
      </c>
      <c r="DM422" s="52">
        <v>0</v>
      </c>
      <c r="DN422" s="52">
        <v>0</v>
      </c>
      <c r="DO422" s="52">
        <v>0</v>
      </c>
      <c r="DP422" s="52">
        <v>0</v>
      </c>
      <c r="DQ422" s="52">
        <v>0</v>
      </c>
      <c r="DR422" s="52">
        <v>0</v>
      </c>
      <c r="DS422" s="53">
        <v>0</v>
      </c>
      <c r="DT422" s="53">
        <v>0</v>
      </c>
      <c r="DU422" s="53">
        <v>0</v>
      </c>
      <c r="DV422" s="53">
        <v>0</v>
      </c>
      <c r="DW422" s="53">
        <v>0</v>
      </c>
      <c r="DX422" s="2"/>
      <c r="DY422" s="2"/>
      <c r="DZ422" s="46"/>
      <c r="EA422" s="46"/>
      <c r="EB422" s="46"/>
      <c r="EC422" s="46"/>
      <c r="ED422" s="46"/>
      <c r="EE422" s="46"/>
      <c r="EF422" s="46"/>
      <c r="EG422" s="46"/>
      <c r="EH422" s="46">
        <f t="shared" si="101"/>
        <v>10</v>
      </c>
      <c r="EI422" s="46">
        <f t="shared" si="100"/>
        <v>0</v>
      </c>
    </row>
    <row r="423" spans="3:139">
      <c r="C423" s="36" t="s">
        <v>619</v>
      </c>
      <c r="D423" s="36" t="s">
        <v>620</v>
      </c>
      <c r="E423" s="36" t="s">
        <v>621</v>
      </c>
      <c r="F423" s="38">
        <f t="shared" si="99"/>
        <v>100</v>
      </c>
      <c r="G423" s="37" t="s">
        <v>622</v>
      </c>
      <c r="H423" s="47"/>
      <c r="I423" s="48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8"/>
      <c r="U423" s="48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8"/>
      <c r="AG423" s="48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1"/>
      <c r="CO423" s="51"/>
      <c r="CP423" s="51"/>
      <c r="CQ423" s="51"/>
      <c r="CR423" s="51"/>
      <c r="CS423" s="51"/>
      <c r="CT423" s="51"/>
      <c r="CU423" s="51"/>
      <c r="CV423" s="51"/>
      <c r="CW423" s="51"/>
      <c r="CX423" s="51"/>
      <c r="CY423" s="51"/>
      <c r="CZ423" s="51"/>
      <c r="DA423" s="51"/>
      <c r="DB423" s="51"/>
      <c r="DC423" s="51"/>
      <c r="DD423" s="51"/>
      <c r="DE423" s="51"/>
      <c r="DF423" s="52">
        <v>0</v>
      </c>
      <c r="DG423" s="52">
        <v>0</v>
      </c>
      <c r="DH423" s="52">
        <v>0</v>
      </c>
      <c r="DI423" s="52">
        <v>35</v>
      </c>
      <c r="DJ423" s="52">
        <v>30</v>
      </c>
      <c r="DK423" s="52">
        <v>18</v>
      </c>
      <c r="DL423" s="52">
        <v>8</v>
      </c>
      <c r="DM423" s="52">
        <v>2</v>
      </c>
      <c r="DN423" s="52">
        <v>7</v>
      </c>
      <c r="DO423" s="52">
        <v>0</v>
      </c>
      <c r="DP423" s="52">
        <v>0</v>
      </c>
      <c r="DQ423" s="52">
        <v>0</v>
      </c>
      <c r="DR423" s="52">
        <v>5</v>
      </c>
      <c r="DS423" s="53">
        <v>0</v>
      </c>
      <c r="DT423" s="53">
        <v>0</v>
      </c>
      <c r="DU423" s="53">
        <v>0</v>
      </c>
      <c r="DV423" s="53">
        <v>0</v>
      </c>
      <c r="DW423" s="53">
        <v>0</v>
      </c>
      <c r="DX423" s="2"/>
      <c r="DY423" s="2"/>
      <c r="DZ423" s="46"/>
      <c r="EA423" s="46"/>
      <c r="EB423" s="46"/>
      <c r="EC423" s="46"/>
      <c r="ED423" s="46"/>
      <c r="EE423" s="46"/>
      <c r="EF423" s="46"/>
      <c r="EG423" s="46"/>
      <c r="EH423" s="46">
        <f t="shared" si="101"/>
        <v>65</v>
      </c>
      <c r="EI423" s="46">
        <f t="shared" si="100"/>
        <v>17</v>
      </c>
    </row>
    <row r="424" spans="3:139">
      <c r="C424" s="36" t="s">
        <v>623</v>
      </c>
      <c r="D424" s="36" t="s">
        <v>620</v>
      </c>
      <c r="E424" s="36" t="s">
        <v>621</v>
      </c>
      <c r="F424" s="38">
        <f t="shared" si="99"/>
        <v>862</v>
      </c>
      <c r="G424" s="37" t="s">
        <v>622</v>
      </c>
      <c r="H424" s="47"/>
      <c r="I424" s="48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8"/>
      <c r="U424" s="48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8"/>
      <c r="AG424" s="48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1"/>
      <c r="CO424" s="51"/>
      <c r="CP424" s="51"/>
      <c r="CQ424" s="51"/>
      <c r="CR424" s="51"/>
      <c r="CS424" s="51"/>
      <c r="CT424" s="51"/>
      <c r="CU424" s="51"/>
      <c r="CV424" s="51"/>
      <c r="CW424" s="51"/>
      <c r="CX424" s="51"/>
      <c r="CY424" s="51"/>
      <c r="CZ424" s="51"/>
      <c r="DA424" s="51"/>
      <c r="DB424" s="51"/>
      <c r="DC424" s="51"/>
      <c r="DD424" s="51"/>
      <c r="DE424" s="51"/>
      <c r="DF424" s="52"/>
      <c r="DG424" s="52"/>
      <c r="DH424" s="52"/>
      <c r="DI424" s="52">
        <v>10</v>
      </c>
      <c r="DJ424" s="52">
        <v>20</v>
      </c>
      <c r="DK424" s="52">
        <v>0</v>
      </c>
      <c r="DL424" s="52">
        <v>34</v>
      </c>
      <c r="DM424" s="52">
        <v>810</v>
      </c>
      <c r="DN424" s="52">
        <v>-3</v>
      </c>
      <c r="DO424" s="52">
        <v>0</v>
      </c>
      <c r="DP424" s="52">
        <v>0</v>
      </c>
      <c r="DQ424" s="52">
        <v>-9</v>
      </c>
      <c r="DR424" s="52">
        <v>-4</v>
      </c>
      <c r="DS424" s="53">
        <v>0</v>
      </c>
      <c r="DT424" s="53">
        <v>0</v>
      </c>
      <c r="DU424" s="53">
        <v>0</v>
      </c>
      <c r="DV424" s="53">
        <v>0</v>
      </c>
      <c r="DW424" s="53">
        <v>0</v>
      </c>
      <c r="DX424" s="2"/>
      <c r="DY424" s="2"/>
      <c r="DZ424" s="46"/>
      <c r="EA424" s="46"/>
      <c r="EB424" s="46"/>
      <c r="EC424" s="46"/>
      <c r="ED424" s="46"/>
      <c r="EE424" s="46"/>
      <c r="EF424" s="46"/>
      <c r="EG424" s="46"/>
      <c r="EH424" s="46">
        <f t="shared" si="101"/>
        <v>30</v>
      </c>
      <c r="EI424" s="46">
        <f t="shared" si="100"/>
        <v>841</v>
      </c>
    </row>
    <row r="425" spans="3:139">
      <c r="C425" s="36" t="s">
        <v>624</v>
      </c>
      <c r="D425" s="36" t="s">
        <v>620</v>
      </c>
      <c r="E425" s="36" t="s">
        <v>621</v>
      </c>
      <c r="F425" s="38">
        <f t="shared" si="99"/>
        <v>0</v>
      </c>
      <c r="G425" s="37" t="s">
        <v>622</v>
      </c>
      <c r="H425" s="47"/>
      <c r="I425" s="48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8"/>
      <c r="U425" s="48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8"/>
      <c r="AG425" s="48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1"/>
      <c r="CO425" s="51"/>
      <c r="CP425" s="51"/>
      <c r="CQ425" s="51"/>
      <c r="CR425" s="51"/>
      <c r="CS425" s="51"/>
      <c r="CT425" s="51"/>
      <c r="CU425" s="51"/>
      <c r="CV425" s="51"/>
      <c r="CW425" s="51"/>
      <c r="CX425" s="51"/>
      <c r="CY425" s="51"/>
      <c r="CZ425" s="51"/>
      <c r="DA425" s="51"/>
      <c r="DB425" s="51"/>
      <c r="DC425" s="51"/>
      <c r="DD425" s="51"/>
      <c r="DE425" s="51"/>
      <c r="DF425" s="52"/>
      <c r="DG425" s="52"/>
      <c r="DH425" s="52"/>
      <c r="DI425" s="52"/>
      <c r="DJ425" s="52"/>
      <c r="DK425" s="52"/>
      <c r="DL425" s="52"/>
      <c r="DM425" s="52"/>
      <c r="DN425" s="52"/>
      <c r="DO425" s="52"/>
      <c r="DP425" s="52"/>
      <c r="DQ425" s="52"/>
      <c r="DR425" s="52"/>
      <c r="DS425" s="53">
        <v>0</v>
      </c>
      <c r="DT425" s="53">
        <v>0</v>
      </c>
      <c r="DU425" s="53">
        <v>0</v>
      </c>
      <c r="DV425" s="53">
        <v>0</v>
      </c>
      <c r="DW425" s="53">
        <v>0</v>
      </c>
      <c r="DX425" s="2"/>
      <c r="DY425" s="2"/>
      <c r="DZ425" s="46"/>
      <c r="EA425" s="46"/>
      <c r="EB425" s="46"/>
      <c r="EC425" s="46"/>
      <c r="ED425" s="46"/>
      <c r="EE425" s="46"/>
      <c r="EF425" s="46"/>
      <c r="EG425" s="46"/>
      <c r="EH425" s="46">
        <f t="shared" si="101"/>
        <v>0</v>
      </c>
      <c r="EI425" s="46">
        <f t="shared" si="100"/>
        <v>0</v>
      </c>
    </row>
    <row r="426" spans="3:139">
      <c r="C426" s="36" t="s">
        <v>625</v>
      </c>
      <c r="D426" s="36" t="s">
        <v>620</v>
      </c>
      <c r="E426" s="36" t="s">
        <v>621</v>
      </c>
      <c r="F426" s="38">
        <f t="shared" si="99"/>
        <v>1100</v>
      </c>
      <c r="G426" s="37" t="s">
        <v>622</v>
      </c>
      <c r="H426" s="47"/>
      <c r="I426" s="48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8"/>
      <c r="U426" s="48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8"/>
      <c r="AG426" s="48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1"/>
      <c r="CO426" s="51"/>
      <c r="CP426" s="51"/>
      <c r="CQ426" s="51"/>
      <c r="CR426" s="51"/>
      <c r="CS426" s="51"/>
      <c r="CT426" s="51"/>
      <c r="CU426" s="51"/>
      <c r="CV426" s="51"/>
      <c r="CW426" s="51"/>
      <c r="CX426" s="51"/>
      <c r="CY426" s="51"/>
      <c r="CZ426" s="51"/>
      <c r="DA426" s="51"/>
      <c r="DB426" s="51"/>
      <c r="DC426" s="51"/>
      <c r="DD426" s="51"/>
      <c r="DE426" s="51"/>
      <c r="DF426" s="52">
        <v>849</v>
      </c>
      <c r="DG426" s="52">
        <v>235</v>
      </c>
      <c r="DH426" s="52">
        <v>0</v>
      </c>
      <c r="DI426" s="52">
        <v>16</v>
      </c>
      <c r="DJ426" s="52">
        <v>0</v>
      </c>
      <c r="DK426" s="52">
        <v>0</v>
      </c>
      <c r="DL426" s="52">
        <v>0</v>
      </c>
      <c r="DM426" s="52">
        <v>0</v>
      </c>
      <c r="DN426" s="52">
        <v>0</v>
      </c>
      <c r="DO426" s="52">
        <v>0</v>
      </c>
      <c r="DP426" s="52">
        <v>0</v>
      </c>
      <c r="DQ426" s="52">
        <v>0</v>
      </c>
      <c r="DR426" s="52">
        <v>0</v>
      </c>
      <c r="DS426" s="53">
        <v>0</v>
      </c>
      <c r="DT426" s="53">
        <v>0</v>
      </c>
      <c r="DU426" s="53">
        <v>0</v>
      </c>
      <c r="DV426" s="53">
        <v>0</v>
      </c>
      <c r="DW426" s="53">
        <v>0</v>
      </c>
      <c r="DX426" s="2"/>
      <c r="DY426" s="2"/>
      <c r="DZ426" s="46"/>
      <c r="EA426" s="46"/>
      <c r="EB426" s="46"/>
      <c r="EC426" s="46"/>
      <c r="ED426" s="46"/>
      <c r="EE426" s="46"/>
      <c r="EF426" s="46"/>
      <c r="EG426" s="46"/>
      <c r="EH426" s="46">
        <f t="shared" si="101"/>
        <v>1100</v>
      </c>
      <c r="EI426" s="46">
        <f t="shared" si="100"/>
        <v>0</v>
      </c>
    </row>
    <row r="427" spans="3:139">
      <c r="C427" s="36" t="s">
        <v>626</v>
      </c>
      <c r="D427" s="36" t="s">
        <v>620</v>
      </c>
      <c r="E427" s="36" t="s">
        <v>621</v>
      </c>
      <c r="F427" s="38">
        <f t="shared" si="99"/>
        <v>3</v>
      </c>
      <c r="G427" s="37" t="s">
        <v>622</v>
      </c>
      <c r="H427" s="47"/>
      <c r="I427" s="48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8"/>
      <c r="U427" s="48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8"/>
      <c r="AG427" s="48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1"/>
      <c r="CO427" s="51"/>
      <c r="CP427" s="51"/>
      <c r="CQ427" s="51"/>
      <c r="CR427" s="51"/>
      <c r="CS427" s="51"/>
      <c r="CT427" s="51"/>
      <c r="CU427" s="51"/>
      <c r="CV427" s="51"/>
      <c r="CW427" s="51"/>
      <c r="CX427" s="51"/>
      <c r="CY427" s="51"/>
      <c r="CZ427" s="51"/>
      <c r="DA427" s="51"/>
      <c r="DB427" s="51"/>
      <c r="DC427" s="51"/>
      <c r="DD427" s="51"/>
      <c r="DE427" s="51"/>
      <c r="DF427" s="52"/>
      <c r="DG427" s="52"/>
      <c r="DH427" s="52"/>
      <c r="DI427" s="52">
        <v>3</v>
      </c>
      <c r="DJ427" s="52">
        <v>0</v>
      </c>
      <c r="DK427" s="52">
        <v>0</v>
      </c>
      <c r="DL427" s="52">
        <v>0</v>
      </c>
      <c r="DM427" s="52">
        <v>0</v>
      </c>
      <c r="DN427" s="52">
        <v>0</v>
      </c>
      <c r="DO427" s="52">
        <v>0</v>
      </c>
      <c r="DP427" s="52">
        <v>0</v>
      </c>
      <c r="DQ427" s="52">
        <v>0</v>
      </c>
      <c r="DR427" s="52">
        <v>0</v>
      </c>
      <c r="DS427" s="53">
        <v>0</v>
      </c>
      <c r="DT427" s="53">
        <v>0</v>
      </c>
      <c r="DU427" s="53">
        <v>0</v>
      </c>
      <c r="DV427" s="53">
        <v>0</v>
      </c>
      <c r="DW427" s="53">
        <v>0</v>
      </c>
      <c r="DX427" s="2"/>
      <c r="DY427" s="2"/>
      <c r="DZ427" s="46"/>
      <c r="EA427" s="46"/>
      <c r="EB427" s="46"/>
      <c r="EC427" s="46"/>
      <c r="ED427" s="46"/>
      <c r="EE427" s="46"/>
      <c r="EF427" s="46"/>
      <c r="EG427" s="46"/>
      <c r="EH427" s="46">
        <f t="shared" si="101"/>
        <v>3</v>
      </c>
      <c r="EI427" s="46">
        <f t="shared" si="100"/>
        <v>0</v>
      </c>
    </row>
    <row r="428" spans="3:139">
      <c r="C428" s="36" t="s">
        <v>627</v>
      </c>
      <c r="D428" s="36" t="s">
        <v>620</v>
      </c>
      <c r="E428" s="36" t="s">
        <v>621</v>
      </c>
      <c r="F428" s="38">
        <f t="shared" si="99"/>
        <v>2401</v>
      </c>
      <c r="G428" s="37" t="s">
        <v>622</v>
      </c>
      <c r="H428" s="47"/>
      <c r="I428" s="48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8"/>
      <c r="U428" s="48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8"/>
      <c r="AG428" s="48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1"/>
      <c r="CO428" s="51"/>
      <c r="CP428" s="51"/>
      <c r="CQ428" s="51"/>
      <c r="CR428" s="51"/>
      <c r="CS428" s="51"/>
      <c r="CT428" s="51"/>
      <c r="CU428" s="51"/>
      <c r="CV428" s="51"/>
      <c r="CW428" s="51"/>
      <c r="CX428" s="51"/>
      <c r="CY428" s="51"/>
      <c r="CZ428" s="51"/>
      <c r="DA428" s="51"/>
      <c r="DB428" s="51"/>
      <c r="DC428" s="51"/>
      <c r="DD428" s="51"/>
      <c r="DE428" s="51"/>
      <c r="DF428" s="52"/>
      <c r="DG428" s="52"/>
      <c r="DH428" s="52"/>
      <c r="DI428" s="52">
        <v>58</v>
      </c>
      <c r="DJ428" s="52">
        <v>0</v>
      </c>
      <c r="DK428" s="52">
        <v>1286</v>
      </c>
      <c r="DL428" s="52">
        <v>43</v>
      </c>
      <c r="DM428" s="52">
        <v>114</v>
      </c>
      <c r="DN428" s="52">
        <v>390</v>
      </c>
      <c r="DO428" s="52">
        <v>0</v>
      </c>
      <c r="DP428" s="52">
        <v>176</v>
      </c>
      <c r="DQ428" s="52">
        <v>334</v>
      </c>
      <c r="DR428" s="52">
        <v>356</v>
      </c>
      <c r="DS428" s="53">
        <v>190</v>
      </c>
      <c r="DT428" s="53">
        <v>190</v>
      </c>
      <c r="DU428" s="53">
        <v>114</v>
      </c>
      <c r="DV428" s="53">
        <v>87</v>
      </c>
      <c r="DW428" s="53">
        <v>55</v>
      </c>
      <c r="DX428" s="2"/>
      <c r="DY428" s="2"/>
      <c r="DZ428" s="46"/>
      <c r="EA428" s="46"/>
      <c r="EB428" s="46"/>
      <c r="EC428" s="46"/>
      <c r="ED428" s="46"/>
      <c r="EE428" s="46"/>
      <c r="EF428" s="46"/>
      <c r="EG428" s="46"/>
      <c r="EH428" s="46">
        <f t="shared" si="101"/>
        <v>58</v>
      </c>
      <c r="EI428" s="46">
        <f t="shared" si="100"/>
        <v>547</v>
      </c>
    </row>
    <row r="429" spans="3:139">
      <c r="C429" s="36" t="s">
        <v>628</v>
      </c>
      <c r="D429" s="36" t="s">
        <v>620</v>
      </c>
      <c r="E429" s="36" t="s">
        <v>621</v>
      </c>
      <c r="F429" s="38">
        <f t="shared" si="99"/>
        <v>4618</v>
      </c>
      <c r="G429" s="37" t="s">
        <v>622</v>
      </c>
      <c r="H429" s="47"/>
      <c r="I429" s="48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8"/>
      <c r="U429" s="48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8"/>
      <c r="AG429" s="48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1"/>
      <c r="CO429" s="51"/>
      <c r="CP429" s="51"/>
      <c r="CQ429" s="51"/>
      <c r="CR429" s="51"/>
      <c r="CS429" s="51"/>
      <c r="CT429" s="51"/>
      <c r="CU429" s="51"/>
      <c r="CV429" s="51"/>
      <c r="CW429" s="51"/>
      <c r="CX429" s="51"/>
      <c r="CY429" s="51"/>
      <c r="CZ429" s="51"/>
      <c r="DA429" s="51"/>
      <c r="DB429" s="51"/>
      <c r="DC429" s="51"/>
      <c r="DD429" s="51"/>
      <c r="DE429" s="51"/>
      <c r="DF429" s="52"/>
      <c r="DG429" s="52"/>
      <c r="DH429" s="52"/>
      <c r="DI429" s="52">
        <v>7</v>
      </c>
      <c r="DJ429" s="52">
        <v>27</v>
      </c>
      <c r="DK429" s="52">
        <v>16</v>
      </c>
      <c r="DL429" s="52">
        <v>0</v>
      </c>
      <c r="DM429" s="52">
        <v>15</v>
      </c>
      <c r="DN429" s="52">
        <v>946</v>
      </c>
      <c r="DO429" s="52">
        <v>1931</v>
      </c>
      <c r="DP429" s="52">
        <v>931</v>
      </c>
      <c r="DQ429" s="52">
        <v>745</v>
      </c>
      <c r="DR429" s="52">
        <v>572</v>
      </c>
      <c r="DS429" s="53">
        <v>1005</v>
      </c>
      <c r="DT429" s="53">
        <v>1005</v>
      </c>
      <c r="DU429" s="53">
        <v>603</v>
      </c>
      <c r="DV429" s="53">
        <v>462</v>
      </c>
      <c r="DW429" s="53">
        <v>291</v>
      </c>
      <c r="DX429" s="2"/>
      <c r="DY429" s="2"/>
      <c r="DZ429" s="46"/>
      <c r="EA429" s="46"/>
      <c r="EB429" s="46"/>
      <c r="EC429" s="46"/>
      <c r="ED429" s="46"/>
      <c r="EE429" s="46"/>
      <c r="EF429" s="46"/>
      <c r="EG429" s="46"/>
      <c r="EH429" s="46">
        <f t="shared" si="101"/>
        <v>34</v>
      </c>
      <c r="EI429" s="46">
        <f t="shared" si="100"/>
        <v>2892</v>
      </c>
    </row>
    <row r="430" spans="3:139">
      <c r="C430" s="36" t="s">
        <v>629</v>
      </c>
      <c r="D430" s="36" t="s">
        <v>620</v>
      </c>
      <c r="E430" s="36" t="s">
        <v>621</v>
      </c>
      <c r="F430" s="38">
        <f t="shared" si="99"/>
        <v>956</v>
      </c>
      <c r="G430" s="37" t="s">
        <v>622</v>
      </c>
      <c r="H430" s="47"/>
      <c r="I430" s="48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8"/>
      <c r="U430" s="48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8"/>
      <c r="AG430" s="48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1"/>
      <c r="CO430" s="51"/>
      <c r="CP430" s="51"/>
      <c r="CQ430" s="51"/>
      <c r="CR430" s="51"/>
      <c r="CS430" s="51"/>
      <c r="CT430" s="51"/>
      <c r="CU430" s="51"/>
      <c r="CV430" s="51"/>
      <c r="CW430" s="51"/>
      <c r="CX430" s="51"/>
      <c r="CY430" s="51"/>
      <c r="CZ430" s="51"/>
      <c r="DA430" s="51"/>
      <c r="DB430" s="51"/>
      <c r="DC430" s="51"/>
      <c r="DD430" s="51"/>
      <c r="DE430" s="51"/>
      <c r="DF430" s="52"/>
      <c r="DG430" s="52"/>
      <c r="DH430" s="52"/>
      <c r="DI430" s="52">
        <v>10</v>
      </c>
      <c r="DJ430" s="52">
        <v>20</v>
      </c>
      <c r="DK430" s="52">
        <v>72</v>
      </c>
      <c r="DL430" s="52">
        <v>364</v>
      </c>
      <c r="DM430" s="52">
        <v>503</v>
      </c>
      <c r="DN430" s="52">
        <v>-12</v>
      </c>
      <c r="DO430" s="52">
        <v>0</v>
      </c>
      <c r="DP430" s="52">
        <v>0</v>
      </c>
      <c r="DQ430" s="52">
        <v>-1</v>
      </c>
      <c r="DR430" s="52">
        <v>-2</v>
      </c>
      <c r="DS430" s="53">
        <v>0</v>
      </c>
      <c r="DT430" s="53">
        <v>0</v>
      </c>
      <c r="DU430" s="53">
        <v>0</v>
      </c>
      <c r="DV430" s="53">
        <v>0</v>
      </c>
      <c r="DW430" s="53">
        <v>0</v>
      </c>
      <c r="DX430" s="2"/>
      <c r="DY430" s="2"/>
      <c r="DZ430" s="46"/>
      <c r="EA430" s="46"/>
      <c r="EB430" s="46"/>
      <c r="EC430" s="46"/>
      <c r="ED430" s="46"/>
      <c r="EE430" s="46"/>
      <c r="EF430" s="46"/>
      <c r="EG430" s="46"/>
      <c r="EH430" s="46">
        <f t="shared" si="101"/>
        <v>30</v>
      </c>
      <c r="EI430" s="46">
        <f t="shared" si="100"/>
        <v>855</v>
      </c>
    </row>
    <row r="431" spans="3:139">
      <c r="C431" s="36" t="s">
        <v>630</v>
      </c>
      <c r="D431" s="36" t="s">
        <v>620</v>
      </c>
      <c r="E431" s="36" t="s">
        <v>621</v>
      </c>
      <c r="F431" s="38">
        <f t="shared" si="99"/>
        <v>14982</v>
      </c>
      <c r="G431" s="37" t="s">
        <v>622</v>
      </c>
      <c r="H431" s="47"/>
      <c r="I431" s="48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8"/>
      <c r="U431" s="48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8"/>
      <c r="AG431" s="48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50"/>
      <c r="BQ431" s="50"/>
      <c r="BR431" s="50"/>
      <c r="BS431" s="50"/>
      <c r="BT431" s="50"/>
      <c r="BU431" s="50"/>
      <c r="BV431" s="50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1"/>
      <c r="CO431" s="51"/>
      <c r="CP431" s="51"/>
      <c r="CQ431" s="51"/>
      <c r="CR431" s="51"/>
      <c r="CS431" s="51"/>
      <c r="CT431" s="51"/>
      <c r="CU431" s="51"/>
      <c r="CV431" s="51"/>
      <c r="CW431" s="51"/>
      <c r="CX431" s="51"/>
      <c r="CY431" s="51"/>
      <c r="CZ431" s="51"/>
      <c r="DA431" s="51"/>
      <c r="DB431" s="51"/>
      <c r="DC431" s="51"/>
      <c r="DD431" s="51"/>
      <c r="DE431" s="51"/>
      <c r="DF431" s="52"/>
      <c r="DG431" s="52">
        <v>1345</v>
      </c>
      <c r="DH431" s="52">
        <v>1733</v>
      </c>
      <c r="DI431" s="52">
        <v>3728</v>
      </c>
      <c r="DJ431" s="52">
        <v>1513</v>
      </c>
      <c r="DK431" s="52">
        <v>3253</v>
      </c>
      <c r="DL431" s="52">
        <v>966</v>
      </c>
      <c r="DM431" s="52">
        <v>729</v>
      </c>
      <c r="DN431" s="52">
        <v>787</v>
      </c>
      <c r="DO431" s="52">
        <v>59</v>
      </c>
      <c r="DP431" s="52">
        <v>189</v>
      </c>
      <c r="DQ431" s="52">
        <v>680</v>
      </c>
      <c r="DR431" s="52">
        <v>919</v>
      </c>
      <c r="DS431" s="53">
        <v>204</v>
      </c>
      <c r="DT431" s="53">
        <v>204</v>
      </c>
      <c r="DU431" s="53">
        <v>122</v>
      </c>
      <c r="DV431" s="53">
        <v>94</v>
      </c>
      <c r="DW431" s="53">
        <v>59</v>
      </c>
      <c r="DX431" s="2"/>
      <c r="DY431" s="2"/>
      <c r="DZ431" s="46"/>
      <c r="EA431" s="46"/>
      <c r="EB431" s="46"/>
      <c r="EC431" s="46"/>
      <c r="ED431" s="46"/>
      <c r="EE431" s="46"/>
      <c r="EF431" s="46"/>
      <c r="EG431" s="46"/>
      <c r="EH431" s="46">
        <f t="shared" si="101"/>
        <v>8319</v>
      </c>
      <c r="EI431" s="46">
        <f t="shared" si="100"/>
        <v>2541</v>
      </c>
    </row>
    <row r="432" spans="3:139">
      <c r="C432" s="36" t="s">
        <v>631</v>
      </c>
      <c r="D432" s="36" t="s">
        <v>620</v>
      </c>
      <c r="E432" s="36" t="s">
        <v>621</v>
      </c>
      <c r="F432" s="38">
        <f t="shared" si="99"/>
        <v>13585</v>
      </c>
      <c r="G432" s="37" t="s">
        <v>622</v>
      </c>
      <c r="H432" s="47"/>
      <c r="I432" s="48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8"/>
      <c r="U432" s="48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8"/>
      <c r="AG432" s="48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1"/>
      <c r="CO432" s="51"/>
      <c r="CP432" s="51"/>
      <c r="CQ432" s="51"/>
      <c r="CR432" s="51"/>
      <c r="CS432" s="51"/>
      <c r="CT432" s="51"/>
      <c r="CU432" s="51"/>
      <c r="CV432" s="51"/>
      <c r="CW432" s="51"/>
      <c r="CX432" s="51"/>
      <c r="CY432" s="51"/>
      <c r="CZ432" s="51"/>
      <c r="DA432" s="51"/>
      <c r="DB432" s="51"/>
      <c r="DC432" s="51"/>
      <c r="DD432" s="51"/>
      <c r="DE432" s="51"/>
      <c r="DF432" s="52"/>
      <c r="DG432" s="52">
        <v>1440</v>
      </c>
      <c r="DH432" s="52">
        <v>1655</v>
      </c>
      <c r="DI432" s="52">
        <v>3129</v>
      </c>
      <c r="DJ432" s="52">
        <v>728</v>
      </c>
      <c r="DK432" s="52">
        <v>1592</v>
      </c>
      <c r="DL432" s="52">
        <v>1550</v>
      </c>
      <c r="DM432" s="52">
        <v>11</v>
      </c>
      <c r="DN432" s="52">
        <v>1620</v>
      </c>
      <c r="DO432" s="52">
        <v>1025</v>
      </c>
      <c r="DP432" s="52">
        <v>834</v>
      </c>
      <c r="DQ432" s="52">
        <v>1</v>
      </c>
      <c r="DR432" s="52">
        <v>1553</v>
      </c>
      <c r="DS432" s="53">
        <v>901</v>
      </c>
      <c r="DT432" s="53">
        <v>901</v>
      </c>
      <c r="DU432" s="53">
        <v>541</v>
      </c>
      <c r="DV432" s="53">
        <v>414</v>
      </c>
      <c r="DW432" s="53">
        <v>261</v>
      </c>
      <c r="DX432" s="2"/>
      <c r="DY432" s="2"/>
      <c r="DZ432" s="46"/>
      <c r="EA432" s="46"/>
      <c r="EB432" s="46"/>
      <c r="EC432" s="46"/>
      <c r="ED432" s="46"/>
      <c r="EE432" s="46"/>
      <c r="EF432" s="46"/>
      <c r="EG432" s="46"/>
      <c r="EH432" s="46">
        <f t="shared" si="101"/>
        <v>6952</v>
      </c>
      <c r="EI432" s="46">
        <f t="shared" si="100"/>
        <v>4206</v>
      </c>
    </row>
    <row r="433" spans="3:139">
      <c r="C433" s="36" t="s">
        <v>632</v>
      </c>
      <c r="D433" s="36" t="s">
        <v>620</v>
      </c>
      <c r="E433" s="36" t="s">
        <v>621</v>
      </c>
      <c r="F433" s="38">
        <f t="shared" si="99"/>
        <v>34920</v>
      </c>
      <c r="G433" s="37" t="s">
        <v>622</v>
      </c>
      <c r="H433" s="47"/>
      <c r="I433" s="48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8"/>
      <c r="U433" s="48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8"/>
      <c r="AG433" s="48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1"/>
      <c r="CO433" s="51"/>
      <c r="CP433" s="51"/>
      <c r="CQ433" s="51"/>
      <c r="CR433" s="51"/>
      <c r="CS433" s="51"/>
      <c r="CT433" s="51"/>
      <c r="CU433" s="51"/>
      <c r="CV433" s="51"/>
      <c r="CW433" s="51"/>
      <c r="CX433" s="51"/>
      <c r="CY433" s="51"/>
      <c r="CZ433" s="51"/>
      <c r="DA433" s="51"/>
      <c r="DB433" s="51"/>
      <c r="DC433" s="51"/>
      <c r="DD433" s="51"/>
      <c r="DE433" s="51"/>
      <c r="DF433" s="52"/>
      <c r="DG433" s="52"/>
      <c r="DH433" s="52"/>
      <c r="DI433" s="52"/>
      <c r="DJ433" s="52"/>
      <c r="DK433" s="52"/>
      <c r="DL433" s="52">
        <v>50</v>
      </c>
      <c r="DM433" s="52">
        <v>862</v>
      </c>
      <c r="DN433" s="52">
        <v>8632</v>
      </c>
      <c r="DO433" s="52">
        <v>9935</v>
      </c>
      <c r="DP433" s="52">
        <v>6976</v>
      </c>
      <c r="DQ433" s="52">
        <v>8465</v>
      </c>
      <c r="DR433" s="52">
        <v>3992</v>
      </c>
      <c r="DS433" s="53">
        <v>7534</v>
      </c>
      <c r="DT433" s="53">
        <v>7534</v>
      </c>
      <c r="DU433" s="53">
        <v>4520</v>
      </c>
      <c r="DV433" s="53">
        <v>3466</v>
      </c>
      <c r="DW433" s="53">
        <v>2185</v>
      </c>
      <c r="DX433" s="2"/>
      <c r="DY433" s="2"/>
      <c r="DZ433" s="46"/>
      <c r="EA433" s="46"/>
      <c r="EB433" s="46"/>
      <c r="EC433" s="46"/>
      <c r="ED433" s="46"/>
      <c r="EE433" s="46"/>
      <c r="EF433" s="46"/>
      <c r="EG433" s="46"/>
      <c r="EH433" s="46"/>
      <c r="EI433" s="46">
        <f t="shared" si="100"/>
        <v>19479</v>
      </c>
    </row>
    <row r="434" spans="3:139">
      <c r="C434" s="36" t="s">
        <v>633</v>
      </c>
      <c r="D434" s="36" t="s">
        <v>620</v>
      </c>
      <c r="E434" s="36" t="s">
        <v>621</v>
      </c>
      <c r="F434" s="38">
        <f t="shared" si="99"/>
        <v>4999</v>
      </c>
      <c r="G434" s="37" t="s">
        <v>622</v>
      </c>
      <c r="H434" s="47"/>
      <c r="I434" s="48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8"/>
      <c r="U434" s="48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8"/>
      <c r="AG434" s="48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1"/>
      <c r="CO434" s="51"/>
      <c r="CP434" s="51"/>
      <c r="CQ434" s="51"/>
      <c r="CR434" s="51"/>
      <c r="CS434" s="51"/>
      <c r="CT434" s="51"/>
      <c r="CU434" s="51"/>
      <c r="CV434" s="51"/>
      <c r="CW434" s="51"/>
      <c r="CX434" s="51"/>
      <c r="CY434" s="51"/>
      <c r="CZ434" s="51"/>
      <c r="DA434" s="51"/>
      <c r="DB434" s="51"/>
      <c r="DC434" s="51"/>
      <c r="DD434" s="51"/>
      <c r="DE434" s="51"/>
      <c r="DF434" s="52"/>
      <c r="DG434" s="52"/>
      <c r="DH434" s="52"/>
      <c r="DI434" s="52"/>
      <c r="DJ434" s="52"/>
      <c r="DK434" s="52"/>
      <c r="DL434" s="52"/>
      <c r="DM434" s="52"/>
      <c r="DN434" s="52">
        <v>565</v>
      </c>
      <c r="DO434" s="52">
        <v>858</v>
      </c>
      <c r="DP434" s="52">
        <v>1135</v>
      </c>
      <c r="DQ434" s="52">
        <v>2441</v>
      </c>
      <c r="DR434" s="52">
        <v>1170</v>
      </c>
      <c r="DS434" s="53">
        <v>1226</v>
      </c>
      <c r="DT434" s="53">
        <v>1226</v>
      </c>
      <c r="DU434" s="53">
        <v>736</v>
      </c>
      <c r="DV434" s="53">
        <v>564</v>
      </c>
      <c r="DW434" s="53">
        <v>356</v>
      </c>
      <c r="DX434" s="2"/>
      <c r="DY434" s="2"/>
      <c r="DZ434" s="46"/>
      <c r="EA434" s="46"/>
      <c r="EB434" s="46"/>
      <c r="EC434" s="46"/>
      <c r="ED434" s="46"/>
      <c r="EE434" s="46"/>
      <c r="EF434" s="46"/>
      <c r="EG434" s="46"/>
      <c r="EH434" s="46"/>
      <c r="EI434" s="46">
        <f t="shared" si="100"/>
        <v>1423</v>
      </c>
    </row>
    <row r="435" spans="3:139">
      <c r="C435" s="36" t="s">
        <v>634</v>
      </c>
      <c r="D435" s="36" t="s">
        <v>620</v>
      </c>
      <c r="E435" s="36" t="s">
        <v>621</v>
      </c>
      <c r="F435" s="38">
        <f t="shared" si="99"/>
        <v>1747</v>
      </c>
      <c r="G435" s="37" t="s">
        <v>622</v>
      </c>
      <c r="H435" s="47"/>
      <c r="I435" s="48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8"/>
      <c r="U435" s="48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8"/>
      <c r="AG435" s="48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50"/>
      <c r="BQ435" s="50"/>
      <c r="BR435" s="50"/>
      <c r="BS435" s="50"/>
      <c r="BT435" s="50"/>
      <c r="BU435" s="50"/>
      <c r="BV435" s="50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1"/>
      <c r="CO435" s="51"/>
      <c r="CP435" s="51"/>
      <c r="CQ435" s="51"/>
      <c r="CR435" s="51"/>
      <c r="CS435" s="51"/>
      <c r="CT435" s="51"/>
      <c r="CU435" s="51"/>
      <c r="CV435" s="51"/>
      <c r="CW435" s="51"/>
      <c r="CX435" s="51"/>
      <c r="CY435" s="51"/>
      <c r="CZ435" s="51"/>
      <c r="DA435" s="51"/>
      <c r="DB435" s="51"/>
      <c r="DC435" s="51"/>
      <c r="DD435" s="51"/>
      <c r="DE435" s="51"/>
      <c r="DF435" s="52"/>
      <c r="DG435" s="52"/>
      <c r="DH435" s="52"/>
      <c r="DI435" s="52"/>
      <c r="DJ435" s="52"/>
      <c r="DK435" s="52"/>
      <c r="DL435" s="52"/>
      <c r="DM435" s="52"/>
      <c r="DN435" s="52">
        <v>24</v>
      </c>
      <c r="DO435" s="52">
        <v>409</v>
      </c>
      <c r="DP435" s="52">
        <v>1083</v>
      </c>
      <c r="DQ435" s="52">
        <v>231</v>
      </c>
      <c r="DR435" s="52">
        <v>0</v>
      </c>
      <c r="DS435" s="53">
        <v>1170</v>
      </c>
      <c r="DT435" s="53">
        <v>1170</v>
      </c>
      <c r="DU435" s="53">
        <v>702</v>
      </c>
      <c r="DV435" s="53">
        <v>538</v>
      </c>
      <c r="DW435" s="53">
        <v>339</v>
      </c>
      <c r="DX435" s="2"/>
      <c r="DY435" s="2"/>
      <c r="DZ435" s="46"/>
      <c r="EA435" s="46"/>
      <c r="EB435" s="46"/>
      <c r="EC435" s="46"/>
      <c r="ED435" s="46"/>
      <c r="EE435" s="46"/>
      <c r="EF435" s="46"/>
      <c r="EG435" s="46"/>
      <c r="EH435" s="46"/>
      <c r="EI435" s="46">
        <f t="shared" si="100"/>
        <v>433</v>
      </c>
    </row>
    <row r="436" spans="3:139">
      <c r="C436" s="36" t="s">
        <v>635</v>
      </c>
      <c r="D436" s="36" t="s">
        <v>620</v>
      </c>
      <c r="E436" s="36" t="s">
        <v>621</v>
      </c>
      <c r="F436" s="38">
        <f t="shared" si="99"/>
        <v>1353</v>
      </c>
      <c r="G436" s="37" t="s">
        <v>622</v>
      </c>
      <c r="H436" s="47"/>
      <c r="I436" s="48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8"/>
      <c r="U436" s="48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8"/>
      <c r="AG436" s="48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50"/>
      <c r="BQ436" s="50"/>
      <c r="BR436" s="50"/>
      <c r="BS436" s="50"/>
      <c r="BT436" s="50"/>
      <c r="BU436" s="50"/>
      <c r="BV436" s="50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1"/>
      <c r="CO436" s="51"/>
      <c r="CP436" s="51"/>
      <c r="CQ436" s="51"/>
      <c r="CR436" s="51"/>
      <c r="CS436" s="51"/>
      <c r="CT436" s="51"/>
      <c r="CU436" s="51"/>
      <c r="CV436" s="51"/>
      <c r="CW436" s="51"/>
      <c r="CX436" s="51"/>
      <c r="CY436" s="51"/>
      <c r="CZ436" s="51"/>
      <c r="DA436" s="51"/>
      <c r="DB436" s="51"/>
      <c r="DC436" s="51"/>
      <c r="DD436" s="51"/>
      <c r="DE436" s="51"/>
      <c r="DF436" s="52"/>
      <c r="DG436" s="52"/>
      <c r="DH436" s="52"/>
      <c r="DI436" s="52"/>
      <c r="DJ436" s="52"/>
      <c r="DK436" s="52"/>
      <c r="DL436" s="52"/>
      <c r="DM436" s="52"/>
      <c r="DN436" s="52">
        <v>24</v>
      </c>
      <c r="DO436" s="52">
        <v>38</v>
      </c>
      <c r="DP436" s="52">
        <v>1161</v>
      </c>
      <c r="DQ436" s="52">
        <v>130</v>
      </c>
      <c r="DR436" s="52">
        <v>283</v>
      </c>
      <c r="DS436" s="53">
        <v>1254</v>
      </c>
      <c r="DT436" s="53">
        <v>1254</v>
      </c>
      <c r="DU436" s="53">
        <v>752</v>
      </c>
      <c r="DV436" s="53">
        <v>577</v>
      </c>
      <c r="DW436" s="53">
        <v>364</v>
      </c>
      <c r="DX436" s="2"/>
      <c r="DY436" s="2"/>
      <c r="DZ436" s="46"/>
      <c r="EA436" s="46"/>
      <c r="EB436" s="46"/>
      <c r="EC436" s="46"/>
      <c r="ED436" s="46"/>
      <c r="EE436" s="46"/>
      <c r="EF436" s="46"/>
      <c r="EG436" s="46"/>
      <c r="EH436" s="46"/>
      <c r="EI436" s="46">
        <f t="shared" si="100"/>
        <v>62</v>
      </c>
    </row>
    <row r="437" spans="3:139">
      <c r="C437" s="36" t="s">
        <v>636</v>
      </c>
      <c r="D437" s="36" t="s">
        <v>620</v>
      </c>
      <c r="E437" s="36" t="s">
        <v>621</v>
      </c>
      <c r="F437" s="38">
        <f t="shared" si="99"/>
        <v>240</v>
      </c>
      <c r="G437" s="37" t="s">
        <v>622</v>
      </c>
      <c r="H437" s="47"/>
      <c r="I437" s="48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8"/>
      <c r="U437" s="48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8"/>
      <c r="AG437" s="48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50"/>
      <c r="BQ437" s="50"/>
      <c r="BR437" s="50"/>
      <c r="BS437" s="50"/>
      <c r="BT437" s="50"/>
      <c r="BU437" s="50"/>
      <c r="BV437" s="50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1"/>
      <c r="CO437" s="51"/>
      <c r="CP437" s="51"/>
      <c r="CQ437" s="51"/>
      <c r="CR437" s="51"/>
      <c r="CS437" s="51"/>
      <c r="CT437" s="51"/>
      <c r="CU437" s="51"/>
      <c r="CV437" s="51"/>
      <c r="CW437" s="51"/>
      <c r="CX437" s="51"/>
      <c r="CY437" s="51"/>
      <c r="CZ437" s="51"/>
      <c r="DA437" s="51"/>
      <c r="DB437" s="51"/>
      <c r="DC437" s="51"/>
      <c r="DD437" s="51"/>
      <c r="DE437" s="51"/>
      <c r="DF437" s="52"/>
      <c r="DG437" s="52"/>
      <c r="DH437" s="52"/>
      <c r="DI437" s="52"/>
      <c r="DJ437" s="52"/>
      <c r="DK437" s="52"/>
      <c r="DL437" s="52"/>
      <c r="DM437" s="52"/>
      <c r="DN437" s="52"/>
      <c r="DO437" s="52"/>
      <c r="DP437" s="52"/>
      <c r="DQ437" s="52">
        <v>240</v>
      </c>
      <c r="DR437" s="52">
        <v>438</v>
      </c>
      <c r="DS437" s="53">
        <v>0</v>
      </c>
      <c r="DT437" s="53">
        <v>0</v>
      </c>
      <c r="DU437" s="53">
        <v>0</v>
      </c>
      <c r="DV437" s="53">
        <v>0</v>
      </c>
      <c r="DW437" s="53">
        <v>0</v>
      </c>
      <c r="DX437" s="2"/>
      <c r="DY437" s="2"/>
      <c r="DZ437" s="46"/>
      <c r="EA437" s="46"/>
      <c r="EB437" s="46"/>
      <c r="EC437" s="46"/>
      <c r="ED437" s="46"/>
      <c r="EE437" s="46"/>
      <c r="EF437" s="46"/>
      <c r="EG437" s="46"/>
      <c r="EH437" s="46"/>
      <c r="EI437" s="46"/>
    </row>
    <row r="438" spans="3:139">
      <c r="C438" s="36" t="s">
        <v>637</v>
      </c>
      <c r="D438" s="36" t="s">
        <v>620</v>
      </c>
      <c r="E438" s="36" t="s">
        <v>621</v>
      </c>
      <c r="F438" s="38">
        <f t="shared" si="99"/>
        <v>0</v>
      </c>
      <c r="G438" s="37" t="s">
        <v>622</v>
      </c>
      <c r="H438" s="47"/>
      <c r="I438" s="48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8"/>
      <c r="U438" s="48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8"/>
      <c r="AG438" s="48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  <c r="BE438" s="49"/>
      <c r="BF438" s="49"/>
      <c r="BG438" s="49"/>
      <c r="BH438" s="49"/>
      <c r="BI438" s="49"/>
      <c r="BJ438" s="49"/>
      <c r="BK438" s="49"/>
      <c r="BL438" s="49"/>
      <c r="BM438" s="49"/>
      <c r="BN438" s="49"/>
      <c r="BO438" s="49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1"/>
      <c r="CO438" s="51"/>
      <c r="CP438" s="51"/>
      <c r="CQ438" s="51"/>
      <c r="CR438" s="51"/>
      <c r="CS438" s="51"/>
      <c r="CT438" s="51"/>
      <c r="CU438" s="51"/>
      <c r="CV438" s="51"/>
      <c r="CW438" s="51"/>
      <c r="CX438" s="51"/>
      <c r="CY438" s="51"/>
      <c r="CZ438" s="51"/>
      <c r="DA438" s="51"/>
      <c r="DB438" s="51"/>
      <c r="DC438" s="51"/>
      <c r="DD438" s="51"/>
      <c r="DE438" s="51"/>
      <c r="DF438" s="52"/>
      <c r="DG438" s="52"/>
      <c r="DH438" s="52"/>
      <c r="DI438" s="52"/>
      <c r="DJ438" s="52"/>
      <c r="DK438" s="52"/>
      <c r="DL438" s="52"/>
      <c r="DM438" s="52"/>
      <c r="DN438" s="52"/>
      <c r="DO438" s="52"/>
      <c r="DP438" s="52"/>
      <c r="DQ438" s="52"/>
      <c r="DR438" s="52">
        <v>696</v>
      </c>
      <c r="DS438" s="53"/>
      <c r="DT438" s="53"/>
      <c r="DU438" s="53"/>
      <c r="DV438" s="53"/>
      <c r="DW438" s="53"/>
      <c r="DX438" s="2"/>
      <c r="DY438" s="2"/>
      <c r="DZ438" s="46"/>
      <c r="EA438" s="46"/>
      <c r="EB438" s="46"/>
      <c r="EC438" s="46"/>
      <c r="ED438" s="46"/>
      <c r="EE438" s="46"/>
      <c r="EF438" s="46"/>
      <c r="EG438" s="46"/>
      <c r="EH438" s="46"/>
      <c r="EI438" s="46"/>
    </row>
    <row r="439" spans="3:139">
      <c r="C439" s="36" t="s">
        <v>638</v>
      </c>
      <c r="D439" s="36" t="s">
        <v>620</v>
      </c>
      <c r="E439" s="36" t="s">
        <v>621</v>
      </c>
      <c r="F439" s="38">
        <f t="shared" si="99"/>
        <v>0</v>
      </c>
      <c r="G439" s="37" t="s">
        <v>622</v>
      </c>
      <c r="H439" s="47"/>
      <c r="I439" s="48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8"/>
      <c r="U439" s="48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8"/>
      <c r="AG439" s="48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1"/>
      <c r="CO439" s="51"/>
      <c r="CP439" s="51"/>
      <c r="CQ439" s="51"/>
      <c r="CR439" s="51"/>
      <c r="CS439" s="51"/>
      <c r="CT439" s="51"/>
      <c r="CU439" s="51"/>
      <c r="CV439" s="51"/>
      <c r="CW439" s="51"/>
      <c r="CX439" s="51"/>
      <c r="CY439" s="51"/>
      <c r="CZ439" s="51"/>
      <c r="DA439" s="51"/>
      <c r="DB439" s="51"/>
      <c r="DC439" s="51"/>
      <c r="DD439" s="51"/>
      <c r="DE439" s="51"/>
      <c r="DF439" s="52"/>
      <c r="DG439" s="52"/>
      <c r="DH439" s="52"/>
      <c r="DI439" s="52"/>
      <c r="DJ439" s="52"/>
      <c r="DK439" s="52"/>
      <c r="DL439" s="52"/>
      <c r="DM439" s="52"/>
      <c r="DN439" s="52"/>
      <c r="DO439" s="52"/>
      <c r="DP439" s="52"/>
      <c r="DQ439" s="52"/>
      <c r="DR439" s="52">
        <v>258</v>
      </c>
      <c r="DS439" s="53"/>
      <c r="DT439" s="53"/>
      <c r="DU439" s="53"/>
      <c r="DV439" s="53"/>
      <c r="DW439" s="53"/>
      <c r="DX439" s="2"/>
      <c r="DY439" s="2"/>
      <c r="DZ439" s="46"/>
      <c r="EA439" s="46"/>
      <c r="EB439" s="46"/>
      <c r="EC439" s="46"/>
      <c r="ED439" s="46"/>
      <c r="EE439" s="46"/>
      <c r="EF439" s="46"/>
      <c r="EG439" s="46"/>
      <c r="EH439" s="46"/>
      <c r="EI439" s="46"/>
    </row>
    <row r="440" spans="3:139">
      <c r="C440" s="36" t="s">
        <v>639</v>
      </c>
      <c r="D440" s="36" t="s">
        <v>620</v>
      </c>
      <c r="E440" s="36"/>
      <c r="F440" s="38">
        <f t="shared" si="99"/>
        <v>0</v>
      </c>
      <c r="G440" s="37" t="s">
        <v>622</v>
      </c>
      <c r="H440" s="47"/>
      <c r="I440" s="48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8"/>
      <c r="U440" s="48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8"/>
      <c r="AG440" s="48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49"/>
      <c r="BI440" s="49"/>
      <c r="BJ440" s="49"/>
      <c r="BK440" s="49"/>
      <c r="BL440" s="49"/>
      <c r="BM440" s="49"/>
      <c r="BN440" s="49"/>
      <c r="BO440" s="49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1"/>
      <c r="CO440" s="51"/>
      <c r="CP440" s="51"/>
      <c r="CQ440" s="51"/>
      <c r="CR440" s="51"/>
      <c r="CS440" s="51"/>
      <c r="CT440" s="51"/>
      <c r="CU440" s="51"/>
      <c r="CV440" s="51"/>
      <c r="CW440" s="51"/>
      <c r="CX440" s="51"/>
      <c r="CY440" s="51"/>
      <c r="CZ440" s="51"/>
      <c r="DA440" s="51"/>
      <c r="DB440" s="51"/>
      <c r="DC440" s="51"/>
      <c r="DD440" s="51"/>
      <c r="DE440" s="51"/>
      <c r="DF440" s="52"/>
      <c r="DG440" s="52"/>
      <c r="DH440" s="52"/>
      <c r="DI440" s="52"/>
      <c r="DJ440" s="52"/>
      <c r="DK440" s="52"/>
      <c r="DL440" s="52"/>
      <c r="DM440" s="52"/>
      <c r="DN440" s="52"/>
      <c r="DO440" s="52"/>
      <c r="DP440" s="52"/>
      <c r="DQ440" s="52">
        <v>0</v>
      </c>
      <c r="DR440" s="52">
        <v>0</v>
      </c>
      <c r="DS440" s="53">
        <v>0</v>
      </c>
      <c r="DT440" s="53">
        <v>0</v>
      </c>
      <c r="DU440" s="53">
        <v>0</v>
      </c>
      <c r="DV440" s="53">
        <v>0</v>
      </c>
      <c r="DW440" s="53">
        <v>0</v>
      </c>
      <c r="DX440" s="2"/>
      <c r="DY440" s="2"/>
      <c r="DZ440" s="46"/>
      <c r="EA440" s="46"/>
      <c r="EB440" s="46"/>
      <c r="EC440" s="46"/>
      <c r="ED440" s="46"/>
      <c r="EE440" s="46"/>
      <c r="EF440" s="46"/>
      <c r="EG440" s="46"/>
      <c r="EH440" s="46"/>
      <c r="EI440" s="46"/>
    </row>
    <row r="441" spans="3:139">
      <c r="C441" s="36" t="s">
        <v>640</v>
      </c>
      <c r="D441" s="36" t="s">
        <v>620</v>
      </c>
      <c r="E441" s="36"/>
      <c r="F441" s="38">
        <f t="shared" si="99"/>
        <v>0</v>
      </c>
      <c r="G441" s="37" t="s">
        <v>622</v>
      </c>
      <c r="H441" s="47"/>
      <c r="I441" s="48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8"/>
      <c r="U441" s="48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8"/>
      <c r="AG441" s="48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  <c r="BF441" s="49"/>
      <c r="BG441" s="49"/>
      <c r="BH441" s="49"/>
      <c r="BI441" s="49"/>
      <c r="BJ441" s="49"/>
      <c r="BK441" s="49"/>
      <c r="BL441" s="49"/>
      <c r="BM441" s="49"/>
      <c r="BN441" s="49"/>
      <c r="BO441" s="49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1"/>
      <c r="CO441" s="51"/>
      <c r="CP441" s="51"/>
      <c r="CQ441" s="51"/>
      <c r="CR441" s="51"/>
      <c r="CS441" s="51"/>
      <c r="CT441" s="51"/>
      <c r="CU441" s="51"/>
      <c r="CV441" s="51"/>
      <c r="CW441" s="51"/>
      <c r="CX441" s="51"/>
      <c r="CY441" s="51"/>
      <c r="CZ441" s="51"/>
      <c r="DA441" s="51"/>
      <c r="DB441" s="51"/>
      <c r="DC441" s="51"/>
      <c r="DD441" s="51"/>
      <c r="DE441" s="51"/>
      <c r="DF441" s="52"/>
      <c r="DG441" s="52"/>
      <c r="DH441" s="52"/>
      <c r="DI441" s="52"/>
      <c r="DJ441" s="52"/>
      <c r="DK441" s="52"/>
      <c r="DL441" s="52"/>
      <c r="DM441" s="52"/>
      <c r="DN441" s="52"/>
      <c r="DO441" s="52"/>
      <c r="DP441" s="52"/>
      <c r="DQ441" s="52">
        <v>0</v>
      </c>
      <c r="DR441" s="52">
        <v>0</v>
      </c>
      <c r="DS441" s="53">
        <v>0</v>
      </c>
      <c r="DT441" s="53">
        <v>0</v>
      </c>
      <c r="DU441" s="53">
        <v>0</v>
      </c>
      <c r="DV441" s="53">
        <v>0</v>
      </c>
      <c r="DW441" s="53">
        <v>0</v>
      </c>
      <c r="DX441" s="2"/>
      <c r="DY441" s="2"/>
      <c r="DZ441" s="46"/>
      <c r="EA441" s="46"/>
      <c r="EB441" s="46"/>
      <c r="EC441" s="46"/>
      <c r="ED441" s="46"/>
      <c r="EE441" s="46"/>
      <c r="EF441" s="46"/>
      <c r="EG441" s="46"/>
      <c r="EH441" s="46"/>
      <c r="EI441" s="46"/>
    </row>
    <row r="442" spans="3:139">
      <c r="C442" s="56" t="s">
        <v>641</v>
      </c>
      <c r="D442" s="36" t="s">
        <v>212</v>
      </c>
      <c r="E442" s="36"/>
      <c r="F442" s="38">
        <f t="shared" si="99"/>
        <v>64</v>
      </c>
      <c r="G442" s="57" t="s">
        <v>642</v>
      </c>
      <c r="H442" s="47"/>
      <c r="I442" s="48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8"/>
      <c r="U442" s="48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8"/>
      <c r="AG442" s="48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  <c r="BF442" s="49"/>
      <c r="BG442" s="49"/>
      <c r="BH442" s="49"/>
      <c r="BI442" s="49"/>
      <c r="BJ442" s="49"/>
      <c r="BK442" s="49"/>
      <c r="BL442" s="49"/>
      <c r="BM442" s="49"/>
      <c r="BN442" s="49"/>
      <c r="BO442" s="49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>
        <v>64</v>
      </c>
      <c r="CA442" s="50">
        <v>0</v>
      </c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1"/>
      <c r="CO442" s="51"/>
      <c r="CP442" s="51"/>
      <c r="CQ442" s="51"/>
      <c r="CR442" s="51"/>
      <c r="CS442" s="51"/>
      <c r="CT442" s="51"/>
      <c r="CU442" s="51"/>
      <c r="CV442" s="51"/>
      <c r="CW442" s="51"/>
      <c r="CX442" s="51"/>
      <c r="CY442" s="51"/>
      <c r="CZ442" s="51"/>
      <c r="DA442" s="51"/>
      <c r="DB442" s="51"/>
      <c r="DC442" s="51"/>
      <c r="DD442" s="51"/>
      <c r="DE442" s="51"/>
      <c r="DF442" s="52"/>
      <c r="DG442" s="52"/>
      <c r="DH442" s="52"/>
      <c r="DI442" s="52"/>
      <c r="DJ442" s="52"/>
      <c r="DK442" s="52"/>
      <c r="DL442" s="52"/>
      <c r="DM442" s="52"/>
      <c r="DN442" s="52"/>
      <c r="DO442" s="52"/>
      <c r="DP442" s="52"/>
      <c r="DQ442" s="52"/>
      <c r="DR442" s="52"/>
      <c r="DS442" s="58">
        <v>0</v>
      </c>
      <c r="DT442" s="58">
        <v>0</v>
      </c>
      <c r="DU442" s="58">
        <v>0</v>
      </c>
      <c r="DV442" s="58">
        <v>0</v>
      </c>
      <c r="DW442" s="58"/>
      <c r="DX442" s="2"/>
      <c r="DY442" s="2"/>
      <c r="DZ442" s="46">
        <f t="shared" ref="DZ442:DZ470" si="102">SUM(H442:S442)</f>
        <v>0</v>
      </c>
      <c r="EA442" s="46">
        <f t="shared" ref="EA442:EA470" si="103">SUM(T442:AE442)</f>
        <v>0</v>
      </c>
      <c r="EB442" s="46">
        <f t="shared" ref="EB442:EB470" si="104">SUM(AF442:AQ442)</f>
        <v>0</v>
      </c>
      <c r="EC442" s="46">
        <f t="shared" ref="EC442:EC470" si="105">SUM(AR442:BC442)</f>
        <v>0</v>
      </c>
      <c r="ED442" s="46">
        <f t="shared" ref="ED442:ED470" si="106">SUM(BD442:BO442)</f>
        <v>0</v>
      </c>
      <c r="EE442" s="46">
        <f t="shared" ref="EE442:EE470" si="107">SUM(BP442:CA442)</f>
        <v>64</v>
      </c>
      <c r="EF442" s="46">
        <f t="shared" ref="EF442:EF470" si="108">SUM(CB442:CM442)</f>
        <v>0</v>
      </c>
      <c r="EG442" s="46">
        <f t="shared" ref="EG442:EG470" si="109">SUM(CN442:CY442)</f>
        <v>0</v>
      </c>
      <c r="EH442" s="46">
        <f t="shared" ref="EH442:EH475" si="110">SUM(CZ442:DJ442)</f>
        <v>0</v>
      </c>
      <c r="EI442" s="46">
        <f t="shared" si="100"/>
        <v>0</v>
      </c>
    </row>
    <row r="443" spans="3:139">
      <c r="C443" s="56" t="s">
        <v>643</v>
      </c>
      <c r="D443" s="36" t="s">
        <v>212</v>
      </c>
      <c r="E443" s="36"/>
      <c r="F443" s="38">
        <f t="shared" si="99"/>
        <v>64</v>
      </c>
      <c r="G443" s="57" t="s">
        <v>642</v>
      </c>
      <c r="H443" s="47"/>
      <c r="I443" s="48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8"/>
      <c r="U443" s="48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8"/>
      <c r="AG443" s="48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/>
      <c r="BJ443" s="49"/>
      <c r="BK443" s="49"/>
      <c r="BL443" s="49"/>
      <c r="BM443" s="49"/>
      <c r="BN443" s="49"/>
      <c r="BO443" s="49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>
        <v>64</v>
      </c>
      <c r="CA443" s="50">
        <v>0</v>
      </c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1"/>
      <c r="CO443" s="51"/>
      <c r="CP443" s="51"/>
      <c r="CQ443" s="51"/>
      <c r="CR443" s="51"/>
      <c r="CS443" s="51"/>
      <c r="CT443" s="51"/>
      <c r="CU443" s="51"/>
      <c r="CV443" s="51"/>
      <c r="CW443" s="51"/>
      <c r="CX443" s="51"/>
      <c r="CY443" s="51"/>
      <c r="CZ443" s="51"/>
      <c r="DA443" s="51"/>
      <c r="DB443" s="51"/>
      <c r="DC443" s="51"/>
      <c r="DD443" s="51"/>
      <c r="DE443" s="51"/>
      <c r="DF443" s="52"/>
      <c r="DG443" s="52"/>
      <c r="DH443" s="52"/>
      <c r="DI443" s="52"/>
      <c r="DJ443" s="52"/>
      <c r="DK443" s="52"/>
      <c r="DL443" s="52"/>
      <c r="DM443" s="52"/>
      <c r="DN443" s="52"/>
      <c r="DO443" s="52"/>
      <c r="DP443" s="52"/>
      <c r="DQ443" s="52"/>
      <c r="DR443" s="52"/>
      <c r="DS443" s="58">
        <v>0</v>
      </c>
      <c r="DT443" s="58">
        <v>0</v>
      </c>
      <c r="DU443" s="58">
        <v>0</v>
      </c>
      <c r="DV443" s="58">
        <v>0</v>
      </c>
      <c r="DW443" s="58"/>
      <c r="DX443" s="2"/>
      <c r="DY443" s="2"/>
      <c r="DZ443" s="46">
        <f t="shared" si="102"/>
        <v>0</v>
      </c>
      <c r="EA443" s="46">
        <f t="shared" si="103"/>
        <v>0</v>
      </c>
      <c r="EB443" s="46">
        <f t="shared" si="104"/>
        <v>0</v>
      </c>
      <c r="EC443" s="46">
        <f t="shared" si="105"/>
        <v>0</v>
      </c>
      <c r="ED443" s="46">
        <f t="shared" si="106"/>
        <v>0</v>
      </c>
      <c r="EE443" s="46">
        <f t="shared" si="107"/>
        <v>64</v>
      </c>
      <c r="EF443" s="46">
        <f t="shared" si="108"/>
        <v>0</v>
      </c>
      <c r="EG443" s="46">
        <f t="shared" si="109"/>
        <v>0</v>
      </c>
      <c r="EH443" s="46">
        <f t="shared" si="110"/>
        <v>0</v>
      </c>
      <c r="EI443" s="46">
        <f t="shared" si="100"/>
        <v>0</v>
      </c>
    </row>
    <row r="444" spans="3:139">
      <c r="C444" s="56" t="s">
        <v>644</v>
      </c>
      <c r="D444" s="36" t="s">
        <v>826</v>
      </c>
      <c r="E444" s="36" t="s">
        <v>646</v>
      </c>
      <c r="F444" s="38">
        <f t="shared" si="99"/>
        <v>112534</v>
      </c>
      <c r="G444" s="37" t="s">
        <v>647</v>
      </c>
      <c r="H444" s="47"/>
      <c r="I444" s="48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8"/>
      <c r="U444" s="48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8"/>
      <c r="AG444" s="48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  <c r="BF444" s="49"/>
      <c r="BG444" s="49"/>
      <c r="BH444" s="49"/>
      <c r="BI444" s="49"/>
      <c r="BJ444" s="49"/>
      <c r="BK444" s="49"/>
      <c r="BL444" s="49"/>
      <c r="BM444" s="49"/>
      <c r="BN444" s="49"/>
      <c r="BO444" s="49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>
        <v>102</v>
      </c>
      <c r="CG444" s="50"/>
      <c r="CH444" s="50">
        <v>0</v>
      </c>
      <c r="CI444" s="50">
        <v>0</v>
      </c>
      <c r="CJ444" s="50">
        <v>0</v>
      </c>
      <c r="CK444" s="50">
        <v>0</v>
      </c>
      <c r="CL444" s="50">
        <v>0</v>
      </c>
      <c r="CM444" s="50">
        <v>0</v>
      </c>
      <c r="CN444" s="51">
        <v>0</v>
      </c>
      <c r="CO444" s="51">
        <v>0</v>
      </c>
      <c r="CP444" s="51">
        <v>0</v>
      </c>
      <c r="CQ444" s="51">
        <v>44</v>
      </c>
      <c r="CR444" s="51">
        <v>0</v>
      </c>
      <c r="CS444" s="51">
        <v>0</v>
      </c>
      <c r="CT444" s="51">
        <v>1188</v>
      </c>
      <c r="CU444" s="51">
        <v>5413</v>
      </c>
      <c r="CV444" s="51">
        <v>7720</v>
      </c>
      <c r="CW444" s="51">
        <v>6510</v>
      </c>
      <c r="CX444" s="51">
        <v>7320</v>
      </c>
      <c r="CY444" s="51">
        <v>6340</v>
      </c>
      <c r="CZ444" s="51">
        <v>6970</v>
      </c>
      <c r="DA444" s="51">
        <v>8052</v>
      </c>
      <c r="DB444" s="51">
        <v>2345</v>
      </c>
      <c r="DC444" s="51">
        <v>3760</v>
      </c>
      <c r="DD444" s="51">
        <v>5348</v>
      </c>
      <c r="DE444" s="51">
        <v>9414</v>
      </c>
      <c r="DF444" s="52">
        <v>6483</v>
      </c>
      <c r="DG444" s="52">
        <v>6118</v>
      </c>
      <c r="DH444" s="52">
        <v>10825</v>
      </c>
      <c r="DI444" s="52">
        <v>5409</v>
      </c>
      <c r="DJ444" s="52">
        <v>2876</v>
      </c>
      <c r="DK444" s="52">
        <v>2018</v>
      </c>
      <c r="DL444" s="52">
        <v>2748</v>
      </c>
      <c r="DM444" s="52">
        <v>40</v>
      </c>
      <c r="DN444" s="52">
        <v>-43</v>
      </c>
      <c r="DO444" s="52">
        <v>2005</v>
      </c>
      <c r="DP444" s="52">
        <v>3384</v>
      </c>
      <c r="DQ444" s="52">
        <v>145</v>
      </c>
      <c r="DR444" s="52">
        <v>13</v>
      </c>
      <c r="DS444" s="58">
        <v>3892</v>
      </c>
      <c r="DT444" s="58">
        <v>3892</v>
      </c>
      <c r="DU444" s="58">
        <v>3892</v>
      </c>
      <c r="DV444" s="58">
        <v>3892</v>
      </c>
      <c r="DW444" s="58"/>
      <c r="DX444" s="2"/>
      <c r="DY444" s="2"/>
      <c r="DZ444" s="46">
        <f t="shared" si="102"/>
        <v>0</v>
      </c>
      <c r="EA444" s="46">
        <f t="shared" si="103"/>
        <v>0</v>
      </c>
      <c r="EB444" s="46">
        <f t="shared" si="104"/>
        <v>0</v>
      </c>
      <c r="EC444" s="46">
        <f t="shared" si="105"/>
        <v>0</v>
      </c>
      <c r="ED444" s="46">
        <f t="shared" si="106"/>
        <v>0</v>
      </c>
      <c r="EE444" s="46">
        <f t="shared" si="107"/>
        <v>0</v>
      </c>
      <c r="EF444" s="46">
        <f t="shared" si="108"/>
        <v>102</v>
      </c>
      <c r="EG444" s="46">
        <f t="shared" si="109"/>
        <v>34535</v>
      </c>
      <c r="EH444" s="46">
        <f t="shared" si="110"/>
        <v>67600</v>
      </c>
      <c r="EI444" s="46">
        <f t="shared" si="100"/>
        <v>4750</v>
      </c>
    </row>
    <row r="445" spans="3:139">
      <c r="C445" s="56" t="s">
        <v>648</v>
      </c>
      <c r="D445" s="36" t="s">
        <v>645</v>
      </c>
      <c r="E445" s="36" t="s">
        <v>646</v>
      </c>
      <c r="F445" s="38">
        <f t="shared" si="99"/>
        <v>31188</v>
      </c>
      <c r="G445" s="37" t="s">
        <v>649</v>
      </c>
      <c r="H445" s="47"/>
      <c r="I445" s="48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8"/>
      <c r="U445" s="48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8"/>
      <c r="AG445" s="48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  <c r="BF445" s="49"/>
      <c r="BG445" s="49"/>
      <c r="BH445" s="49"/>
      <c r="BI445" s="49"/>
      <c r="BJ445" s="49"/>
      <c r="BK445" s="49"/>
      <c r="BL445" s="49"/>
      <c r="BM445" s="49"/>
      <c r="BN445" s="49"/>
      <c r="BO445" s="49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1"/>
      <c r="CO445" s="51"/>
      <c r="CP445" s="51">
        <v>8</v>
      </c>
      <c r="CQ445" s="51">
        <v>0</v>
      </c>
      <c r="CR445" s="51">
        <v>0</v>
      </c>
      <c r="CS445" s="51">
        <v>0</v>
      </c>
      <c r="CT445" s="51">
        <v>0</v>
      </c>
      <c r="CU445" s="51">
        <v>120</v>
      </c>
      <c r="CV445" s="51">
        <v>1599</v>
      </c>
      <c r="CW445" s="51">
        <v>2998</v>
      </c>
      <c r="CX445" s="51">
        <v>3033</v>
      </c>
      <c r="CY445" s="51">
        <v>2239</v>
      </c>
      <c r="CZ445" s="51">
        <v>2400</v>
      </c>
      <c r="DA445" s="51">
        <v>2074</v>
      </c>
      <c r="DB445" s="51">
        <v>1721</v>
      </c>
      <c r="DC445" s="51">
        <v>2495</v>
      </c>
      <c r="DD445" s="51">
        <v>1287</v>
      </c>
      <c r="DE445" s="51">
        <v>42</v>
      </c>
      <c r="DF445" s="52">
        <v>2030</v>
      </c>
      <c r="DG445" s="52">
        <v>1552</v>
      </c>
      <c r="DH445" s="52">
        <v>875</v>
      </c>
      <c r="DI445" s="52">
        <v>3385</v>
      </c>
      <c r="DJ445" s="52">
        <v>1575</v>
      </c>
      <c r="DK445" s="52">
        <v>1124</v>
      </c>
      <c r="DL445" s="52">
        <v>16</v>
      </c>
      <c r="DM445" s="52">
        <v>197</v>
      </c>
      <c r="DN445" s="52">
        <v>-37</v>
      </c>
      <c r="DO445" s="52">
        <v>436</v>
      </c>
      <c r="DP445" s="52">
        <v>19</v>
      </c>
      <c r="DQ445" s="52">
        <v>0</v>
      </c>
      <c r="DR445" s="52">
        <v>-1</v>
      </c>
      <c r="DS445" s="58">
        <v>22</v>
      </c>
      <c r="DT445" s="58">
        <v>22</v>
      </c>
      <c r="DU445" s="58">
        <v>22</v>
      </c>
      <c r="DV445" s="58">
        <v>22</v>
      </c>
      <c r="DW445" s="58"/>
      <c r="DX445" s="2"/>
      <c r="DY445" s="2"/>
      <c r="DZ445" s="46">
        <f t="shared" si="102"/>
        <v>0</v>
      </c>
      <c r="EA445" s="46">
        <f t="shared" si="103"/>
        <v>0</v>
      </c>
      <c r="EB445" s="46">
        <f t="shared" si="104"/>
        <v>0</v>
      </c>
      <c r="EC445" s="46">
        <f t="shared" si="105"/>
        <v>0</v>
      </c>
      <c r="ED445" s="46">
        <f t="shared" si="106"/>
        <v>0</v>
      </c>
      <c r="EE445" s="46">
        <f t="shared" si="107"/>
        <v>0</v>
      </c>
      <c r="EF445" s="46">
        <f t="shared" si="108"/>
        <v>0</v>
      </c>
      <c r="EG445" s="46">
        <f t="shared" si="109"/>
        <v>9997</v>
      </c>
      <c r="EH445" s="46">
        <f t="shared" si="110"/>
        <v>19436</v>
      </c>
      <c r="EI445" s="46">
        <f t="shared" si="100"/>
        <v>612</v>
      </c>
    </row>
    <row r="446" spans="3:139">
      <c r="C446" s="56" t="s">
        <v>650</v>
      </c>
      <c r="D446" s="36" t="s">
        <v>645</v>
      </c>
      <c r="E446" s="36" t="s">
        <v>646</v>
      </c>
      <c r="F446" s="38">
        <f t="shared" si="99"/>
        <v>75714</v>
      </c>
      <c r="G446" s="37" t="s">
        <v>651</v>
      </c>
      <c r="H446" s="47"/>
      <c r="I446" s="48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8"/>
      <c r="U446" s="48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8"/>
      <c r="AG446" s="48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  <c r="BF446" s="49"/>
      <c r="BG446" s="49"/>
      <c r="BH446" s="49"/>
      <c r="BI446" s="49"/>
      <c r="BJ446" s="49"/>
      <c r="BK446" s="49"/>
      <c r="BL446" s="49"/>
      <c r="BM446" s="49"/>
      <c r="BN446" s="49"/>
      <c r="BO446" s="49"/>
      <c r="BP446" s="50"/>
      <c r="BQ446" s="50"/>
      <c r="BR446" s="50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1"/>
      <c r="CO446" s="51"/>
      <c r="CP446" s="51">
        <v>6</v>
      </c>
      <c r="CQ446" s="51">
        <v>0</v>
      </c>
      <c r="CR446" s="51">
        <v>0</v>
      </c>
      <c r="CS446" s="51">
        <v>0</v>
      </c>
      <c r="CT446" s="51">
        <v>0</v>
      </c>
      <c r="CU446" s="51">
        <v>0</v>
      </c>
      <c r="CV446" s="51">
        <v>0</v>
      </c>
      <c r="CW446" s="51">
        <v>25</v>
      </c>
      <c r="CX446" s="51">
        <v>2149</v>
      </c>
      <c r="CY446" s="51">
        <v>6597</v>
      </c>
      <c r="CZ446" s="51">
        <v>7740</v>
      </c>
      <c r="DA446" s="51">
        <v>7447</v>
      </c>
      <c r="DB446" s="51">
        <v>5743</v>
      </c>
      <c r="DC446" s="51">
        <v>5434</v>
      </c>
      <c r="DD446" s="51">
        <v>7291</v>
      </c>
      <c r="DE446" s="51">
        <v>5759</v>
      </c>
      <c r="DF446" s="52">
        <v>6029</v>
      </c>
      <c r="DG446" s="52">
        <v>4355</v>
      </c>
      <c r="DH446" s="52">
        <v>9586</v>
      </c>
      <c r="DI446" s="52">
        <v>3380</v>
      </c>
      <c r="DJ446" s="52">
        <v>3031</v>
      </c>
      <c r="DK446" s="52">
        <v>378</v>
      </c>
      <c r="DL446" s="52">
        <v>44</v>
      </c>
      <c r="DM446" s="52">
        <v>478</v>
      </c>
      <c r="DN446" s="52">
        <v>242</v>
      </c>
      <c r="DO446" s="52">
        <v>0</v>
      </c>
      <c r="DP446" s="52">
        <v>0</v>
      </c>
      <c r="DQ446" s="52">
        <v>0</v>
      </c>
      <c r="DR446" s="52">
        <v>-4</v>
      </c>
      <c r="DS446" s="58">
        <v>0</v>
      </c>
      <c r="DT446" s="58">
        <v>0</v>
      </c>
      <c r="DU446" s="58">
        <v>0</v>
      </c>
      <c r="DV446" s="58">
        <v>0</v>
      </c>
      <c r="DW446" s="58"/>
      <c r="DX446" s="2"/>
      <c r="DY446" s="2"/>
      <c r="DZ446" s="46">
        <f t="shared" si="102"/>
        <v>0</v>
      </c>
      <c r="EA446" s="46">
        <f t="shared" si="103"/>
        <v>0</v>
      </c>
      <c r="EB446" s="46">
        <f t="shared" si="104"/>
        <v>0</v>
      </c>
      <c r="EC446" s="46">
        <f t="shared" si="105"/>
        <v>0</v>
      </c>
      <c r="ED446" s="46">
        <f t="shared" si="106"/>
        <v>0</v>
      </c>
      <c r="EE446" s="46">
        <f t="shared" si="107"/>
        <v>0</v>
      </c>
      <c r="EF446" s="46">
        <f t="shared" si="108"/>
        <v>0</v>
      </c>
      <c r="EG446" s="46">
        <f t="shared" si="109"/>
        <v>8777</v>
      </c>
      <c r="EH446" s="46">
        <f t="shared" si="110"/>
        <v>65795</v>
      </c>
      <c r="EI446" s="46">
        <f t="shared" si="100"/>
        <v>764</v>
      </c>
    </row>
    <row r="447" spans="3:139">
      <c r="C447" s="56" t="s">
        <v>652</v>
      </c>
      <c r="D447" s="36" t="s">
        <v>645</v>
      </c>
      <c r="E447" s="36" t="s">
        <v>646</v>
      </c>
      <c r="F447" s="38">
        <f t="shared" si="99"/>
        <v>41320</v>
      </c>
      <c r="G447" s="37" t="s">
        <v>653</v>
      </c>
      <c r="H447" s="47"/>
      <c r="I447" s="48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8"/>
      <c r="U447" s="48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8"/>
      <c r="AG447" s="48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  <c r="BF447" s="49"/>
      <c r="BG447" s="49"/>
      <c r="BH447" s="49"/>
      <c r="BI447" s="49"/>
      <c r="BJ447" s="49"/>
      <c r="BK447" s="49"/>
      <c r="BL447" s="49"/>
      <c r="BM447" s="49"/>
      <c r="BN447" s="49"/>
      <c r="BO447" s="49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1"/>
      <c r="CO447" s="51"/>
      <c r="CP447" s="51">
        <v>10</v>
      </c>
      <c r="CQ447" s="51">
        <v>0</v>
      </c>
      <c r="CR447" s="51">
        <v>0</v>
      </c>
      <c r="CS447" s="51">
        <v>0</v>
      </c>
      <c r="CT447" s="51">
        <v>0</v>
      </c>
      <c r="CU447" s="51">
        <v>0</v>
      </c>
      <c r="CV447" s="51">
        <v>900</v>
      </c>
      <c r="CW447" s="51">
        <v>2464</v>
      </c>
      <c r="CX447" s="51">
        <v>4789</v>
      </c>
      <c r="CY447" s="51">
        <v>4280</v>
      </c>
      <c r="CZ447" s="51">
        <v>5113</v>
      </c>
      <c r="DA447" s="51">
        <v>4770</v>
      </c>
      <c r="DB447" s="51">
        <v>960</v>
      </c>
      <c r="DC447" s="51">
        <v>3196</v>
      </c>
      <c r="DD447" s="51">
        <v>1633</v>
      </c>
      <c r="DE447" s="51">
        <v>2652</v>
      </c>
      <c r="DF447" s="52">
        <v>2810</v>
      </c>
      <c r="DG447" s="52">
        <v>967</v>
      </c>
      <c r="DH447" s="52">
        <v>3623</v>
      </c>
      <c r="DI447" s="52">
        <v>2000</v>
      </c>
      <c r="DJ447" s="52">
        <v>735</v>
      </c>
      <c r="DK447" s="52">
        <v>252</v>
      </c>
      <c r="DL447" s="52">
        <v>172</v>
      </c>
      <c r="DM447" s="52">
        <v>0</v>
      </c>
      <c r="DN447" s="52">
        <v>-6</v>
      </c>
      <c r="DO447" s="52">
        <v>0</v>
      </c>
      <c r="DP447" s="52">
        <v>0</v>
      </c>
      <c r="DQ447" s="52">
        <v>0</v>
      </c>
      <c r="DR447" s="52">
        <v>215</v>
      </c>
      <c r="DS447" s="58">
        <v>0</v>
      </c>
      <c r="DT447" s="58">
        <v>0</v>
      </c>
      <c r="DU447" s="58">
        <v>0</v>
      </c>
      <c r="DV447" s="58">
        <v>0</v>
      </c>
      <c r="DW447" s="58"/>
      <c r="DX447" s="2"/>
      <c r="DY447" s="2"/>
      <c r="DZ447" s="46">
        <f t="shared" si="102"/>
        <v>0</v>
      </c>
      <c r="EA447" s="46">
        <f t="shared" si="103"/>
        <v>0</v>
      </c>
      <c r="EB447" s="46">
        <f t="shared" si="104"/>
        <v>0</v>
      </c>
      <c r="EC447" s="46">
        <f t="shared" si="105"/>
        <v>0</v>
      </c>
      <c r="ED447" s="46">
        <f t="shared" si="106"/>
        <v>0</v>
      </c>
      <c r="EE447" s="46">
        <f t="shared" si="107"/>
        <v>0</v>
      </c>
      <c r="EF447" s="46">
        <f t="shared" si="108"/>
        <v>0</v>
      </c>
      <c r="EG447" s="46">
        <f t="shared" si="109"/>
        <v>12443</v>
      </c>
      <c r="EH447" s="46">
        <f t="shared" si="110"/>
        <v>28459</v>
      </c>
      <c r="EI447" s="46">
        <f t="shared" si="100"/>
        <v>166</v>
      </c>
    </row>
    <row r="448" spans="3:139">
      <c r="C448" s="56" t="s">
        <v>654</v>
      </c>
      <c r="D448" s="36" t="s">
        <v>828</v>
      </c>
      <c r="E448" s="36" t="s">
        <v>656</v>
      </c>
      <c r="F448" s="38">
        <f t="shared" si="99"/>
        <v>48899</v>
      </c>
      <c r="G448" s="37" t="s">
        <v>657</v>
      </c>
      <c r="H448" s="47"/>
      <c r="I448" s="48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8"/>
      <c r="U448" s="48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8"/>
      <c r="AG448" s="48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  <c r="BF448" s="49"/>
      <c r="BG448" s="49"/>
      <c r="BH448" s="49"/>
      <c r="BI448" s="49"/>
      <c r="BJ448" s="49"/>
      <c r="BK448" s="49"/>
      <c r="BL448" s="49"/>
      <c r="BM448" s="49"/>
      <c r="BN448" s="49"/>
      <c r="BO448" s="49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>
        <v>100</v>
      </c>
      <c r="CG448" s="50"/>
      <c r="CH448" s="50">
        <v>0</v>
      </c>
      <c r="CI448" s="50">
        <v>0</v>
      </c>
      <c r="CJ448" s="50">
        <v>0</v>
      </c>
      <c r="CK448" s="50">
        <v>0</v>
      </c>
      <c r="CL448" s="50">
        <v>0</v>
      </c>
      <c r="CM448" s="50">
        <v>25</v>
      </c>
      <c r="CN448" s="51">
        <v>0</v>
      </c>
      <c r="CO448" s="51">
        <v>0</v>
      </c>
      <c r="CP448" s="51">
        <v>0</v>
      </c>
      <c r="CQ448" s="51">
        <v>0</v>
      </c>
      <c r="CR448" s="51">
        <v>0</v>
      </c>
      <c r="CS448" s="51">
        <v>543</v>
      </c>
      <c r="CT448" s="51">
        <v>4440</v>
      </c>
      <c r="CU448" s="51">
        <v>3370</v>
      </c>
      <c r="CV448" s="51">
        <v>3360</v>
      </c>
      <c r="CW448" s="51">
        <v>5775</v>
      </c>
      <c r="CX448" s="51">
        <v>5117</v>
      </c>
      <c r="CY448" s="51">
        <v>1237</v>
      </c>
      <c r="CZ448" s="51">
        <v>5760</v>
      </c>
      <c r="DA448" s="51">
        <v>2729</v>
      </c>
      <c r="DB448" s="51">
        <v>6974</v>
      </c>
      <c r="DC448" s="51">
        <v>5062</v>
      </c>
      <c r="DD448" s="51">
        <v>3451</v>
      </c>
      <c r="DE448" s="51">
        <v>27</v>
      </c>
      <c r="DF448" s="52">
        <v>303</v>
      </c>
      <c r="DG448" s="52">
        <v>0</v>
      </c>
      <c r="DH448" s="52">
        <v>0</v>
      </c>
      <c r="DI448" s="52">
        <v>0</v>
      </c>
      <c r="DJ448" s="52">
        <v>-1</v>
      </c>
      <c r="DK448" s="52">
        <v>309</v>
      </c>
      <c r="DL448" s="52">
        <v>31</v>
      </c>
      <c r="DM448" s="52">
        <v>89</v>
      </c>
      <c r="DN448" s="52">
        <v>160</v>
      </c>
      <c r="DO448" s="52">
        <v>38</v>
      </c>
      <c r="DP448" s="52">
        <v>0</v>
      </c>
      <c r="DQ448" s="52">
        <v>0</v>
      </c>
      <c r="DR448" s="52">
        <v>287</v>
      </c>
      <c r="DS448" s="58">
        <v>0</v>
      </c>
      <c r="DT448" s="58">
        <v>0</v>
      </c>
      <c r="DU448" s="58">
        <v>0</v>
      </c>
      <c r="DV448" s="58">
        <v>0</v>
      </c>
      <c r="DW448" s="58"/>
      <c r="DX448" s="2"/>
      <c r="DY448" s="2"/>
      <c r="DZ448" s="46">
        <f t="shared" si="102"/>
        <v>0</v>
      </c>
      <c r="EA448" s="46">
        <f t="shared" si="103"/>
        <v>0</v>
      </c>
      <c r="EB448" s="46">
        <f t="shared" si="104"/>
        <v>0</v>
      </c>
      <c r="EC448" s="46">
        <f t="shared" si="105"/>
        <v>0</v>
      </c>
      <c r="ED448" s="46">
        <f t="shared" si="106"/>
        <v>0</v>
      </c>
      <c r="EE448" s="46">
        <f t="shared" si="107"/>
        <v>0</v>
      </c>
      <c r="EF448" s="46">
        <f t="shared" si="108"/>
        <v>125</v>
      </c>
      <c r="EG448" s="46">
        <f t="shared" si="109"/>
        <v>23842</v>
      </c>
      <c r="EH448" s="46">
        <f t="shared" si="110"/>
        <v>24305</v>
      </c>
      <c r="EI448" s="46">
        <f t="shared" si="100"/>
        <v>318</v>
      </c>
    </row>
    <row r="449" spans="3:139">
      <c r="C449" s="56" t="s">
        <v>658</v>
      </c>
      <c r="D449" s="36" t="s">
        <v>655</v>
      </c>
      <c r="E449" s="36" t="s">
        <v>656</v>
      </c>
      <c r="F449" s="38">
        <f t="shared" si="99"/>
        <v>24480</v>
      </c>
      <c r="G449" s="37" t="s">
        <v>659</v>
      </c>
      <c r="H449" s="47"/>
      <c r="I449" s="48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8"/>
      <c r="U449" s="48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8"/>
      <c r="AG449" s="48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  <c r="BF449" s="49"/>
      <c r="BG449" s="49"/>
      <c r="BH449" s="49"/>
      <c r="BI449" s="49"/>
      <c r="BJ449" s="49"/>
      <c r="BK449" s="49"/>
      <c r="BL449" s="49"/>
      <c r="BM449" s="49"/>
      <c r="BN449" s="49"/>
      <c r="BO449" s="49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1"/>
      <c r="CO449" s="51"/>
      <c r="CP449" s="51">
        <v>10</v>
      </c>
      <c r="CQ449" s="51">
        <v>0</v>
      </c>
      <c r="CR449" s="51">
        <v>0</v>
      </c>
      <c r="CS449" s="51">
        <v>0</v>
      </c>
      <c r="CT449" s="51">
        <v>0</v>
      </c>
      <c r="CU449" s="51">
        <v>20</v>
      </c>
      <c r="CV449" s="51">
        <v>0</v>
      </c>
      <c r="CW449" s="51">
        <v>5206</v>
      </c>
      <c r="CX449" s="51">
        <v>4023</v>
      </c>
      <c r="CY449" s="51">
        <v>2080</v>
      </c>
      <c r="CZ449" s="51">
        <v>3491</v>
      </c>
      <c r="DA449" s="51">
        <v>3368</v>
      </c>
      <c r="DB449" s="51">
        <v>1265</v>
      </c>
      <c r="DC449" s="51">
        <v>3213</v>
      </c>
      <c r="DD449" s="51">
        <v>41</v>
      </c>
      <c r="DE449" s="51">
        <v>956</v>
      </c>
      <c r="DF449" s="52">
        <v>181</v>
      </c>
      <c r="DG449" s="52">
        <v>0</v>
      </c>
      <c r="DH449" s="52">
        <v>0</v>
      </c>
      <c r="DI449" s="52">
        <v>0</v>
      </c>
      <c r="DJ449" s="52">
        <v>0</v>
      </c>
      <c r="DK449" s="52">
        <v>626</v>
      </c>
      <c r="DL449" s="52">
        <v>0</v>
      </c>
      <c r="DM449" s="52">
        <v>0</v>
      </c>
      <c r="DN449" s="52">
        <v>0</v>
      </c>
      <c r="DO449" s="52">
        <v>0</v>
      </c>
      <c r="DP449" s="52">
        <v>0</v>
      </c>
      <c r="DQ449" s="52">
        <v>0</v>
      </c>
      <c r="DR449" s="52">
        <v>140</v>
      </c>
      <c r="DS449" s="58">
        <v>0</v>
      </c>
      <c r="DT449" s="58">
        <v>0</v>
      </c>
      <c r="DU449" s="58">
        <v>0</v>
      </c>
      <c r="DV449" s="58">
        <v>0</v>
      </c>
      <c r="DW449" s="58"/>
      <c r="DX449" s="2"/>
      <c r="DY449" s="2"/>
      <c r="DZ449" s="46">
        <f t="shared" si="102"/>
        <v>0</v>
      </c>
      <c r="EA449" s="46">
        <f t="shared" si="103"/>
        <v>0</v>
      </c>
      <c r="EB449" s="46">
        <f t="shared" si="104"/>
        <v>0</v>
      </c>
      <c r="EC449" s="46">
        <f t="shared" si="105"/>
        <v>0</v>
      </c>
      <c r="ED449" s="46">
        <f t="shared" si="106"/>
        <v>0</v>
      </c>
      <c r="EE449" s="46">
        <f t="shared" si="107"/>
        <v>0</v>
      </c>
      <c r="EF449" s="46">
        <f t="shared" si="108"/>
        <v>0</v>
      </c>
      <c r="EG449" s="46">
        <f t="shared" si="109"/>
        <v>11339</v>
      </c>
      <c r="EH449" s="46">
        <f t="shared" si="110"/>
        <v>12515</v>
      </c>
      <c r="EI449" s="46">
        <f t="shared" si="100"/>
        <v>0</v>
      </c>
    </row>
    <row r="450" spans="3:139">
      <c r="C450" s="56" t="s">
        <v>660</v>
      </c>
      <c r="D450" s="36" t="s">
        <v>827</v>
      </c>
      <c r="E450" s="36" t="s">
        <v>662</v>
      </c>
      <c r="F450" s="38">
        <f t="shared" si="99"/>
        <v>8019</v>
      </c>
      <c r="G450" s="37" t="s">
        <v>663</v>
      </c>
      <c r="H450" s="47"/>
      <c r="I450" s="48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8"/>
      <c r="U450" s="48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8"/>
      <c r="AG450" s="48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1"/>
      <c r="CO450" s="51">
        <v>40</v>
      </c>
      <c r="CP450" s="51">
        <v>5</v>
      </c>
      <c r="CQ450" s="51">
        <v>0</v>
      </c>
      <c r="CR450" s="51">
        <v>0</v>
      </c>
      <c r="CS450" s="51">
        <v>0</v>
      </c>
      <c r="CT450" s="51">
        <v>0</v>
      </c>
      <c r="CU450" s="51">
        <v>0</v>
      </c>
      <c r="CV450" s="51">
        <v>0</v>
      </c>
      <c r="CW450" s="51">
        <v>840</v>
      </c>
      <c r="CX450" s="51">
        <v>300</v>
      </c>
      <c r="CY450" s="51">
        <v>0</v>
      </c>
      <c r="CZ450" s="51">
        <v>340</v>
      </c>
      <c r="DA450" s="51">
        <v>1800</v>
      </c>
      <c r="DB450" s="51">
        <v>336</v>
      </c>
      <c r="DC450" s="51">
        <v>2381</v>
      </c>
      <c r="DD450" s="51">
        <v>1292</v>
      </c>
      <c r="DE450" s="51">
        <v>455</v>
      </c>
      <c r="DF450" s="52">
        <v>230</v>
      </c>
      <c r="DG450" s="52">
        <v>0</v>
      </c>
      <c r="DH450" s="52">
        <v>0</v>
      </c>
      <c r="DI450" s="52">
        <v>0</v>
      </c>
      <c r="DJ450" s="52">
        <v>0</v>
      </c>
      <c r="DK450" s="52">
        <v>0</v>
      </c>
      <c r="DL450" s="52">
        <v>0</v>
      </c>
      <c r="DM450" s="52">
        <v>0</v>
      </c>
      <c r="DN450" s="52">
        <v>0</v>
      </c>
      <c r="DO450" s="52">
        <v>0</v>
      </c>
      <c r="DP450" s="52">
        <v>0</v>
      </c>
      <c r="DQ450" s="52">
        <v>0</v>
      </c>
      <c r="DR450" s="52">
        <v>-1</v>
      </c>
      <c r="DS450" s="58">
        <v>0</v>
      </c>
      <c r="DT450" s="58">
        <v>0</v>
      </c>
      <c r="DU450" s="58">
        <v>0</v>
      </c>
      <c r="DV450" s="58">
        <v>0</v>
      </c>
      <c r="DW450" s="58"/>
      <c r="DX450" s="2"/>
      <c r="DY450" s="2"/>
      <c r="DZ450" s="46">
        <f t="shared" si="102"/>
        <v>0</v>
      </c>
      <c r="EA450" s="46">
        <f t="shared" si="103"/>
        <v>0</v>
      </c>
      <c r="EB450" s="46">
        <f t="shared" si="104"/>
        <v>0</v>
      </c>
      <c r="EC450" s="46">
        <f t="shared" si="105"/>
        <v>0</v>
      </c>
      <c r="ED450" s="46">
        <f t="shared" si="106"/>
        <v>0</v>
      </c>
      <c r="EE450" s="46">
        <f t="shared" si="107"/>
        <v>0</v>
      </c>
      <c r="EF450" s="46">
        <f t="shared" si="108"/>
        <v>0</v>
      </c>
      <c r="EG450" s="46">
        <f t="shared" si="109"/>
        <v>1185</v>
      </c>
      <c r="EH450" s="46">
        <f t="shared" si="110"/>
        <v>6834</v>
      </c>
      <c r="EI450" s="46">
        <f t="shared" si="100"/>
        <v>0</v>
      </c>
    </row>
    <row r="451" spans="3:139">
      <c r="C451" s="56" t="s">
        <v>664</v>
      </c>
      <c r="D451" s="36" t="s">
        <v>661</v>
      </c>
      <c r="E451" s="36" t="s">
        <v>662</v>
      </c>
      <c r="F451" s="38">
        <f t="shared" si="99"/>
        <v>32297</v>
      </c>
      <c r="G451" s="37" t="s">
        <v>665</v>
      </c>
      <c r="H451" s="47"/>
      <c r="I451" s="48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8"/>
      <c r="U451" s="48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8"/>
      <c r="AG451" s="48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  <c r="BF451" s="49"/>
      <c r="BG451" s="49"/>
      <c r="BH451" s="49"/>
      <c r="BI451" s="49"/>
      <c r="BJ451" s="49"/>
      <c r="BK451" s="49"/>
      <c r="BL451" s="49"/>
      <c r="BM451" s="49"/>
      <c r="BN451" s="49"/>
      <c r="BO451" s="49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1"/>
      <c r="CO451" s="51"/>
      <c r="CP451" s="51">
        <v>6</v>
      </c>
      <c r="CQ451" s="51">
        <v>0</v>
      </c>
      <c r="CR451" s="51">
        <v>0</v>
      </c>
      <c r="CS451" s="51">
        <v>0</v>
      </c>
      <c r="CT451" s="51">
        <v>0</v>
      </c>
      <c r="CU451" s="51">
        <v>20</v>
      </c>
      <c r="CV451" s="51">
        <v>0</v>
      </c>
      <c r="CW451" s="51">
        <v>3090</v>
      </c>
      <c r="CX451" s="51">
        <v>1239</v>
      </c>
      <c r="CY451" s="51">
        <v>960</v>
      </c>
      <c r="CZ451" s="51">
        <v>1020</v>
      </c>
      <c r="DA451" s="51">
        <v>1792</v>
      </c>
      <c r="DB451" s="51">
        <v>2910</v>
      </c>
      <c r="DC451" s="51">
        <v>347</v>
      </c>
      <c r="DD451" s="51">
        <v>1659</v>
      </c>
      <c r="DE451" s="51">
        <v>3102</v>
      </c>
      <c r="DF451" s="52">
        <v>37</v>
      </c>
      <c r="DG451" s="52">
        <v>3533</v>
      </c>
      <c r="DH451" s="52">
        <v>724</v>
      </c>
      <c r="DI451" s="52">
        <v>2135</v>
      </c>
      <c r="DJ451" s="52">
        <v>2173</v>
      </c>
      <c r="DK451" s="52">
        <v>562</v>
      </c>
      <c r="DL451" s="52">
        <v>1990</v>
      </c>
      <c r="DM451" s="52">
        <v>463</v>
      </c>
      <c r="DN451" s="52">
        <v>2678</v>
      </c>
      <c r="DO451" s="52">
        <v>435</v>
      </c>
      <c r="DP451" s="52">
        <v>646</v>
      </c>
      <c r="DQ451" s="52">
        <v>776</v>
      </c>
      <c r="DR451" s="52">
        <v>1683</v>
      </c>
      <c r="DS451" s="58">
        <v>743</v>
      </c>
      <c r="DT451" s="58">
        <v>743</v>
      </c>
      <c r="DU451" s="58">
        <v>743</v>
      </c>
      <c r="DV451" s="58">
        <v>743</v>
      </c>
      <c r="DW451" s="58"/>
      <c r="DX451" s="2"/>
      <c r="DY451" s="2"/>
      <c r="DZ451" s="46">
        <f t="shared" si="102"/>
        <v>0</v>
      </c>
      <c r="EA451" s="46">
        <f t="shared" si="103"/>
        <v>0</v>
      </c>
      <c r="EB451" s="46">
        <f t="shared" si="104"/>
        <v>0</v>
      </c>
      <c r="EC451" s="46">
        <f t="shared" si="105"/>
        <v>0</v>
      </c>
      <c r="ED451" s="46">
        <f t="shared" si="106"/>
        <v>0</v>
      </c>
      <c r="EE451" s="46">
        <f t="shared" si="107"/>
        <v>0</v>
      </c>
      <c r="EF451" s="46">
        <f t="shared" si="108"/>
        <v>0</v>
      </c>
      <c r="EG451" s="46">
        <f t="shared" si="109"/>
        <v>5315</v>
      </c>
      <c r="EH451" s="46">
        <f t="shared" si="110"/>
        <v>19432</v>
      </c>
      <c r="EI451" s="46">
        <f t="shared" si="100"/>
        <v>5566</v>
      </c>
    </row>
    <row r="452" spans="3:139">
      <c r="C452" s="56" t="s">
        <v>666</v>
      </c>
      <c r="D452" s="36" t="s">
        <v>661</v>
      </c>
      <c r="E452" s="36" t="s">
        <v>662</v>
      </c>
      <c r="F452" s="38">
        <f t="shared" si="99"/>
        <v>6731</v>
      </c>
      <c r="G452" s="37" t="s">
        <v>667</v>
      </c>
      <c r="H452" s="47"/>
      <c r="I452" s="48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8"/>
      <c r="U452" s="48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8"/>
      <c r="AG452" s="48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  <c r="BF452" s="49"/>
      <c r="BG452" s="49"/>
      <c r="BH452" s="49"/>
      <c r="BI452" s="49"/>
      <c r="BJ452" s="49"/>
      <c r="BK452" s="49"/>
      <c r="BL452" s="49"/>
      <c r="BM452" s="49"/>
      <c r="BN452" s="49"/>
      <c r="BO452" s="49"/>
      <c r="BP452" s="50"/>
      <c r="BQ452" s="50"/>
      <c r="BR452" s="50"/>
      <c r="BS452" s="50"/>
      <c r="BT452" s="50"/>
      <c r="BU452" s="50"/>
      <c r="BV452" s="50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1"/>
      <c r="CO452" s="51"/>
      <c r="CP452" s="51">
        <v>5</v>
      </c>
      <c r="CQ452" s="51">
        <v>0</v>
      </c>
      <c r="CR452" s="51">
        <v>0</v>
      </c>
      <c r="CS452" s="51">
        <v>0</v>
      </c>
      <c r="CT452" s="51">
        <v>0</v>
      </c>
      <c r="CU452" s="51">
        <v>150</v>
      </c>
      <c r="CV452" s="51">
        <v>0</v>
      </c>
      <c r="CW452" s="51">
        <v>0</v>
      </c>
      <c r="CX452" s="51">
        <v>0</v>
      </c>
      <c r="CY452" s="51">
        <v>0</v>
      </c>
      <c r="CZ452" s="51">
        <v>0</v>
      </c>
      <c r="DA452" s="51">
        <v>240</v>
      </c>
      <c r="DB452" s="51">
        <v>155</v>
      </c>
      <c r="DC452" s="51">
        <v>336</v>
      </c>
      <c r="DD452" s="51">
        <v>561</v>
      </c>
      <c r="DE452" s="51">
        <v>94</v>
      </c>
      <c r="DF452" s="52">
        <v>92</v>
      </c>
      <c r="DG452" s="52">
        <v>187</v>
      </c>
      <c r="DH452" s="52">
        <v>0</v>
      </c>
      <c r="DI452" s="52">
        <v>900</v>
      </c>
      <c r="DJ452" s="52">
        <v>16</v>
      </c>
      <c r="DK452" s="52">
        <v>69</v>
      </c>
      <c r="DL452" s="52">
        <v>0</v>
      </c>
      <c r="DM452" s="52">
        <v>520</v>
      </c>
      <c r="DN452" s="52">
        <v>476</v>
      </c>
      <c r="DO452" s="52">
        <v>726</v>
      </c>
      <c r="DP452" s="52">
        <v>1642</v>
      </c>
      <c r="DQ452" s="52">
        <v>562</v>
      </c>
      <c r="DR452" s="52">
        <v>857</v>
      </c>
      <c r="DS452" s="58">
        <v>1888</v>
      </c>
      <c r="DT452" s="58">
        <v>1888</v>
      </c>
      <c r="DU452" s="58">
        <v>1888</v>
      </c>
      <c r="DV452" s="58">
        <v>1888</v>
      </c>
      <c r="DW452" s="58"/>
      <c r="DX452" s="2"/>
      <c r="DY452" s="2"/>
      <c r="DZ452" s="46">
        <f t="shared" si="102"/>
        <v>0</v>
      </c>
      <c r="EA452" s="46">
        <f t="shared" si="103"/>
        <v>0</v>
      </c>
      <c r="EB452" s="46">
        <f t="shared" si="104"/>
        <v>0</v>
      </c>
      <c r="EC452" s="46">
        <f t="shared" si="105"/>
        <v>0</v>
      </c>
      <c r="ED452" s="46">
        <f t="shared" si="106"/>
        <v>0</v>
      </c>
      <c r="EE452" s="46">
        <f t="shared" si="107"/>
        <v>0</v>
      </c>
      <c r="EF452" s="46">
        <f t="shared" si="108"/>
        <v>0</v>
      </c>
      <c r="EG452" s="46">
        <f t="shared" si="109"/>
        <v>155</v>
      </c>
      <c r="EH452" s="46">
        <f t="shared" si="110"/>
        <v>2581</v>
      </c>
      <c r="EI452" s="46">
        <f t="shared" si="100"/>
        <v>1722</v>
      </c>
    </row>
    <row r="453" spans="3:139">
      <c r="C453" s="56" t="s">
        <v>668</v>
      </c>
      <c r="D453" s="36" t="s">
        <v>661</v>
      </c>
      <c r="E453" s="36" t="s">
        <v>662</v>
      </c>
      <c r="F453" s="38">
        <f t="shared" si="99"/>
        <v>14533</v>
      </c>
      <c r="G453" s="37" t="s">
        <v>669</v>
      </c>
      <c r="H453" s="47"/>
      <c r="I453" s="48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8"/>
      <c r="U453" s="48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8"/>
      <c r="AG453" s="48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  <c r="BF453" s="49"/>
      <c r="BG453" s="49"/>
      <c r="BH453" s="49"/>
      <c r="BI453" s="49"/>
      <c r="BJ453" s="49"/>
      <c r="BK453" s="49"/>
      <c r="BL453" s="49"/>
      <c r="BM453" s="49"/>
      <c r="BN453" s="49"/>
      <c r="BO453" s="49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1"/>
      <c r="CO453" s="51"/>
      <c r="CP453" s="51">
        <v>5</v>
      </c>
      <c r="CQ453" s="51">
        <v>0</v>
      </c>
      <c r="CR453" s="51">
        <v>0</v>
      </c>
      <c r="CS453" s="51">
        <v>0</v>
      </c>
      <c r="CT453" s="51">
        <v>0</v>
      </c>
      <c r="CU453" s="51">
        <v>0</v>
      </c>
      <c r="CV453" s="51">
        <v>0</v>
      </c>
      <c r="CW453" s="51">
        <v>425</v>
      </c>
      <c r="CX453" s="51">
        <v>1217</v>
      </c>
      <c r="CY453" s="51">
        <v>360</v>
      </c>
      <c r="CZ453" s="51">
        <v>260</v>
      </c>
      <c r="DA453" s="51">
        <v>1283</v>
      </c>
      <c r="DB453" s="51">
        <v>746</v>
      </c>
      <c r="DC453" s="51">
        <v>252</v>
      </c>
      <c r="DD453" s="51">
        <v>1983</v>
      </c>
      <c r="DE453" s="51">
        <v>23</v>
      </c>
      <c r="DF453" s="52">
        <v>186</v>
      </c>
      <c r="DG453" s="52">
        <v>1675</v>
      </c>
      <c r="DH453" s="52">
        <v>0</v>
      </c>
      <c r="DI453" s="52">
        <v>1474</v>
      </c>
      <c r="DJ453" s="52">
        <v>485</v>
      </c>
      <c r="DK453" s="52">
        <v>697</v>
      </c>
      <c r="DL453" s="52">
        <v>1117</v>
      </c>
      <c r="DM453" s="52">
        <v>213</v>
      </c>
      <c r="DN453" s="52">
        <v>-5</v>
      </c>
      <c r="DO453" s="52">
        <v>853</v>
      </c>
      <c r="DP453" s="52">
        <v>611</v>
      </c>
      <c r="DQ453" s="52">
        <v>673</v>
      </c>
      <c r="DR453" s="52">
        <v>1502</v>
      </c>
      <c r="DS453" s="58">
        <v>703</v>
      </c>
      <c r="DT453" s="58">
        <v>703</v>
      </c>
      <c r="DU453" s="58">
        <v>703</v>
      </c>
      <c r="DV453" s="58">
        <v>703</v>
      </c>
      <c r="DW453" s="58"/>
      <c r="DX453" s="2"/>
      <c r="DY453" s="2"/>
      <c r="DZ453" s="46">
        <f t="shared" si="102"/>
        <v>0</v>
      </c>
      <c r="EA453" s="46">
        <f t="shared" si="103"/>
        <v>0</v>
      </c>
      <c r="EB453" s="46">
        <f t="shared" si="104"/>
        <v>0</v>
      </c>
      <c r="EC453" s="46">
        <f t="shared" si="105"/>
        <v>0</v>
      </c>
      <c r="ED453" s="46">
        <f t="shared" si="106"/>
        <v>0</v>
      </c>
      <c r="EE453" s="46">
        <f t="shared" si="107"/>
        <v>0</v>
      </c>
      <c r="EF453" s="46">
        <f t="shared" si="108"/>
        <v>0</v>
      </c>
      <c r="EG453" s="46">
        <f t="shared" si="109"/>
        <v>2007</v>
      </c>
      <c r="EH453" s="46">
        <f t="shared" si="110"/>
        <v>8367</v>
      </c>
      <c r="EI453" s="46">
        <f t="shared" si="100"/>
        <v>2178</v>
      </c>
    </row>
    <row r="454" spans="3:139">
      <c r="C454" s="56" t="s">
        <v>670</v>
      </c>
      <c r="D454" s="36" t="s">
        <v>661</v>
      </c>
      <c r="E454" s="36" t="s">
        <v>662</v>
      </c>
      <c r="F454" s="38">
        <f t="shared" si="99"/>
        <v>5127</v>
      </c>
      <c r="G454" s="37" t="s">
        <v>671</v>
      </c>
      <c r="H454" s="47"/>
      <c r="I454" s="48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8"/>
      <c r="U454" s="48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8"/>
      <c r="AG454" s="48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49"/>
      <c r="BI454" s="49"/>
      <c r="BJ454" s="49"/>
      <c r="BK454" s="49"/>
      <c r="BL454" s="49"/>
      <c r="BM454" s="49"/>
      <c r="BN454" s="49"/>
      <c r="BO454" s="49"/>
      <c r="BP454" s="50"/>
      <c r="BQ454" s="50"/>
      <c r="BR454" s="50"/>
      <c r="BS454" s="50"/>
      <c r="BT454" s="50"/>
      <c r="BU454" s="50"/>
      <c r="BV454" s="50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1"/>
      <c r="CO454" s="51"/>
      <c r="CP454" s="51">
        <v>5</v>
      </c>
      <c r="CQ454" s="51">
        <v>0</v>
      </c>
      <c r="CR454" s="51">
        <v>0</v>
      </c>
      <c r="CS454" s="51">
        <v>0</v>
      </c>
      <c r="CT454" s="51">
        <v>0</v>
      </c>
      <c r="CU454" s="51">
        <v>0</v>
      </c>
      <c r="CV454" s="51">
        <v>290</v>
      </c>
      <c r="CW454" s="51">
        <v>0</v>
      </c>
      <c r="CX454" s="51">
        <v>60</v>
      </c>
      <c r="CY454" s="51">
        <v>0</v>
      </c>
      <c r="CZ454" s="51">
        <v>40</v>
      </c>
      <c r="DA454" s="51">
        <v>642</v>
      </c>
      <c r="DB454" s="51">
        <v>49</v>
      </c>
      <c r="DC454" s="51">
        <v>355</v>
      </c>
      <c r="DD454" s="51">
        <v>698</v>
      </c>
      <c r="DE454" s="51">
        <v>18</v>
      </c>
      <c r="DF454" s="52">
        <v>382</v>
      </c>
      <c r="DG454" s="52">
        <v>229</v>
      </c>
      <c r="DH454" s="52">
        <v>128</v>
      </c>
      <c r="DI454" s="52">
        <v>474</v>
      </c>
      <c r="DJ454" s="52">
        <v>321</v>
      </c>
      <c r="DK454" s="52">
        <v>129</v>
      </c>
      <c r="DL454" s="52">
        <v>373</v>
      </c>
      <c r="DM454" s="52">
        <v>0</v>
      </c>
      <c r="DN454" s="52">
        <v>217</v>
      </c>
      <c r="DO454" s="52">
        <v>261</v>
      </c>
      <c r="DP454" s="52">
        <v>302</v>
      </c>
      <c r="DQ454" s="52">
        <v>154</v>
      </c>
      <c r="DR454" s="52">
        <v>426</v>
      </c>
      <c r="DS454" s="58">
        <v>347</v>
      </c>
      <c r="DT454" s="58">
        <v>347</v>
      </c>
      <c r="DU454" s="58">
        <v>347</v>
      </c>
      <c r="DV454" s="58">
        <v>347</v>
      </c>
      <c r="DW454" s="58"/>
      <c r="DX454" s="2"/>
      <c r="DY454" s="2"/>
      <c r="DZ454" s="46">
        <f t="shared" si="102"/>
        <v>0</v>
      </c>
      <c r="EA454" s="46">
        <f t="shared" si="103"/>
        <v>0</v>
      </c>
      <c r="EB454" s="46">
        <f t="shared" si="104"/>
        <v>0</v>
      </c>
      <c r="EC454" s="46">
        <f t="shared" si="105"/>
        <v>0</v>
      </c>
      <c r="ED454" s="46">
        <f t="shared" si="106"/>
        <v>0</v>
      </c>
      <c r="EE454" s="46">
        <f t="shared" si="107"/>
        <v>0</v>
      </c>
      <c r="EF454" s="46">
        <f t="shared" si="108"/>
        <v>0</v>
      </c>
      <c r="EG454" s="46">
        <f t="shared" si="109"/>
        <v>355</v>
      </c>
      <c r="EH454" s="46">
        <f t="shared" si="110"/>
        <v>3336</v>
      </c>
      <c r="EI454" s="46">
        <f t="shared" si="100"/>
        <v>851</v>
      </c>
    </row>
    <row r="455" spans="3:139">
      <c r="C455" s="56" t="s">
        <v>672</v>
      </c>
      <c r="D455" s="36" t="s">
        <v>661</v>
      </c>
      <c r="E455" s="36" t="s">
        <v>662</v>
      </c>
      <c r="F455" s="38">
        <f t="shared" si="99"/>
        <v>5366</v>
      </c>
      <c r="G455" s="37" t="s">
        <v>673</v>
      </c>
      <c r="H455" s="47"/>
      <c r="I455" s="48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8"/>
      <c r="U455" s="48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8"/>
      <c r="AG455" s="48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  <c r="BF455" s="49"/>
      <c r="BG455" s="49"/>
      <c r="BH455" s="49"/>
      <c r="BI455" s="49"/>
      <c r="BJ455" s="49"/>
      <c r="BK455" s="49"/>
      <c r="BL455" s="49"/>
      <c r="BM455" s="49"/>
      <c r="BN455" s="49"/>
      <c r="BO455" s="49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1"/>
      <c r="CO455" s="51"/>
      <c r="CP455" s="51">
        <v>5</v>
      </c>
      <c r="CQ455" s="51">
        <v>0</v>
      </c>
      <c r="CR455" s="51">
        <v>0</v>
      </c>
      <c r="CS455" s="51">
        <v>0</v>
      </c>
      <c r="CT455" s="51">
        <v>0</v>
      </c>
      <c r="CU455" s="51">
        <v>0</v>
      </c>
      <c r="CV455" s="51">
        <v>0</v>
      </c>
      <c r="CW455" s="51">
        <v>0</v>
      </c>
      <c r="CX455" s="51">
        <v>0</v>
      </c>
      <c r="CY455" s="51">
        <v>5</v>
      </c>
      <c r="CZ455" s="51">
        <v>480</v>
      </c>
      <c r="DA455" s="51">
        <v>339</v>
      </c>
      <c r="DB455" s="51">
        <v>5</v>
      </c>
      <c r="DC455" s="51">
        <v>469</v>
      </c>
      <c r="DD455" s="51">
        <v>320</v>
      </c>
      <c r="DE455" s="51">
        <v>15</v>
      </c>
      <c r="DF455" s="52">
        <v>561</v>
      </c>
      <c r="DG455" s="52">
        <v>303</v>
      </c>
      <c r="DH455" s="52">
        <v>278</v>
      </c>
      <c r="DI455" s="52">
        <v>989</v>
      </c>
      <c r="DJ455" s="52">
        <v>0</v>
      </c>
      <c r="DK455" s="52">
        <v>0</v>
      </c>
      <c r="DL455" s="52">
        <v>144</v>
      </c>
      <c r="DM455" s="52">
        <v>295</v>
      </c>
      <c r="DN455" s="52">
        <v>693</v>
      </c>
      <c r="DO455" s="52">
        <v>390</v>
      </c>
      <c r="DP455" s="52">
        <v>0</v>
      </c>
      <c r="DQ455" s="52">
        <v>75</v>
      </c>
      <c r="DR455" s="52">
        <v>127</v>
      </c>
      <c r="DS455" s="58">
        <v>0</v>
      </c>
      <c r="DT455" s="58">
        <v>0</v>
      </c>
      <c r="DU455" s="58">
        <v>0</v>
      </c>
      <c r="DV455" s="58">
        <v>0</v>
      </c>
      <c r="DW455" s="58"/>
      <c r="DX455" s="2"/>
      <c r="DY455" s="2"/>
      <c r="DZ455" s="46">
        <f t="shared" si="102"/>
        <v>0</v>
      </c>
      <c r="EA455" s="46">
        <f t="shared" si="103"/>
        <v>0</v>
      </c>
      <c r="EB455" s="46">
        <f t="shared" si="104"/>
        <v>0</v>
      </c>
      <c r="EC455" s="46">
        <f t="shared" si="105"/>
        <v>0</v>
      </c>
      <c r="ED455" s="46">
        <f t="shared" si="106"/>
        <v>0</v>
      </c>
      <c r="EE455" s="46">
        <f t="shared" si="107"/>
        <v>0</v>
      </c>
      <c r="EF455" s="46">
        <f t="shared" si="108"/>
        <v>0</v>
      </c>
      <c r="EG455" s="46">
        <f t="shared" si="109"/>
        <v>10</v>
      </c>
      <c r="EH455" s="46">
        <f t="shared" si="110"/>
        <v>3759</v>
      </c>
      <c r="EI455" s="46">
        <f t="shared" si="100"/>
        <v>1522</v>
      </c>
    </row>
    <row r="456" spans="3:139">
      <c r="C456" s="56" t="s">
        <v>674</v>
      </c>
      <c r="D456" s="36" t="s">
        <v>661</v>
      </c>
      <c r="E456" s="36" t="s">
        <v>662</v>
      </c>
      <c r="F456" s="38">
        <f t="shared" si="99"/>
        <v>2552</v>
      </c>
      <c r="G456" s="37"/>
      <c r="H456" s="47"/>
      <c r="I456" s="48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8"/>
      <c r="U456" s="48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8"/>
      <c r="AG456" s="48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  <c r="BF456" s="49"/>
      <c r="BG456" s="49"/>
      <c r="BH456" s="49"/>
      <c r="BI456" s="49"/>
      <c r="BJ456" s="49"/>
      <c r="BK456" s="49"/>
      <c r="BL456" s="49"/>
      <c r="BM456" s="49"/>
      <c r="BN456" s="49"/>
      <c r="BO456" s="49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1"/>
      <c r="CO456" s="51"/>
      <c r="CP456" s="51"/>
      <c r="CQ456" s="51"/>
      <c r="CR456" s="51"/>
      <c r="CS456" s="51"/>
      <c r="CT456" s="51">
        <v>0</v>
      </c>
      <c r="CU456" s="51"/>
      <c r="CV456" s="51">
        <v>0</v>
      </c>
      <c r="CW456" s="51"/>
      <c r="CX456" s="51">
        <v>620</v>
      </c>
      <c r="CY456" s="51">
        <v>0</v>
      </c>
      <c r="CZ456" s="51">
        <v>760</v>
      </c>
      <c r="DA456" s="51">
        <v>197</v>
      </c>
      <c r="DB456" s="51">
        <v>113</v>
      </c>
      <c r="DC456" s="51">
        <v>606</v>
      </c>
      <c r="DD456" s="51">
        <v>148</v>
      </c>
      <c r="DE456" s="51">
        <v>31</v>
      </c>
      <c r="DF456" s="52">
        <v>51</v>
      </c>
      <c r="DG456" s="52">
        <v>0</v>
      </c>
      <c r="DH456" s="52">
        <v>0</v>
      </c>
      <c r="DI456" s="52">
        <v>0</v>
      </c>
      <c r="DJ456" s="52">
        <v>0</v>
      </c>
      <c r="DK456" s="52">
        <v>0</v>
      </c>
      <c r="DL456" s="52">
        <v>0</v>
      </c>
      <c r="DM456" s="52">
        <v>0</v>
      </c>
      <c r="DN456" s="52">
        <v>0</v>
      </c>
      <c r="DO456" s="52">
        <v>26</v>
      </c>
      <c r="DP456" s="52">
        <v>0</v>
      </c>
      <c r="DQ456" s="52">
        <v>0</v>
      </c>
      <c r="DR456" s="52">
        <v>0</v>
      </c>
      <c r="DS456" s="58">
        <v>0</v>
      </c>
      <c r="DT456" s="58">
        <v>0</v>
      </c>
      <c r="DU456" s="58">
        <v>0</v>
      </c>
      <c r="DV456" s="58">
        <v>0</v>
      </c>
      <c r="DW456" s="58"/>
      <c r="DX456" s="2"/>
      <c r="DY456" s="2"/>
      <c r="DZ456" s="46">
        <f t="shared" si="102"/>
        <v>0</v>
      </c>
      <c r="EA456" s="46">
        <f t="shared" si="103"/>
        <v>0</v>
      </c>
      <c r="EB456" s="46">
        <f t="shared" si="104"/>
        <v>0</v>
      </c>
      <c r="EC456" s="46">
        <f t="shared" si="105"/>
        <v>0</v>
      </c>
      <c r="ED456" s="46">
        <f t="shared" si="106"/>
        <v>0</v>
      </c>
      <c r="EE456" s="46">
        <f t="shared" si="107"/>
        <v>0</v>
      </c>
      <c r="EF456" s="46">
        <f t="shared" si="108"/>
        <v>0</v>
      </c>
      <c r="EG456" s="46">
        <f t="shared" si="109"/>
        <v>620</v>
      </c>
      <c r="EH456" s="46">
        <f t="shared" si="110"/>
        <v>1906</v>
      </c>
      <c r="EI456" s="46">
        <f t="shared" si="100"/>
        <v>26</v>
      </c>
    </row>
    <row r="457" spans="3:139">
      <c r="C457" s="56" t="s">
        <v>675</v>
      </c>
      <c r="D457" s="36" t="s">
        <v>661</v>
      </c>
      <c r="E457" s="36" t="s">
        <v>662</v>
      </c>
      <c r="F457" s="38">
        <f t="shared" si="99"/>
        <v>6674</v>
      </c>
      <c r="G457" s="37"/>
      <c r="H457" s="47"/>
      <c r="I457" s="48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8"/>
      <c r="U457" s="48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8"/>
      <c r="AG457" s="48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  <c r="BF457" s="49"/>
      <c r="BG457" s="49"/>
      <c r="BH457" s="49"/>
      <c r="BI457" s="49"/>
      <c r="BJ457" s="49"/>
      <c r="BK457" s="49"/>
      <c r="BL457" s="49"/>
      <c r="BM457" s="49"/>
      <c r="BN457" s="49"/>
      <c r="BO457" s="49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1"/>
      <c r="CO457" s="51"/>
      <c r="CP457" s="51"/>
      <c r="CQ457" s="51"/>
      <c r="CR457" s="51"/>
      <c r="CS457" s="51"/>
      <c r="CT457" s="51">
        <v>0</v>
      </c>
      <c r="CU457" s="51"/>
      <c r="CV457" s="51">
        <v>0</v>
      </c>
      <c r="CW457" s="51"/>
      <c r="CX457" s="51">
        <v>155</v>
      </c>
      <c r="CY457" s="51">
        <v>100</v>
      </c>
      <c r="CZ457" s="51">
        <v>320</v>
      </c>
      <c r="DA457" s="51">
        <v>509</v>
      </c>
      <c r="DB457" s="51">
        <v>-12</v>
      </c>
      <c r="DC457" s="51">
        <v>794</v>
      </c>
      <c r="DD457" s="51">
        <v>527</v>
      </c>
      <c r="DE457" s="51">
        <v>18</v>
      </c>
      <c r="DF457" s="52">
        <v>1</v>
      </c>
      <c r="DG457" s="52">
        <v>639</v>
      </c>
      <c r="DH457" s="52">
        <v>379</v>
      </c>
      <c r="DI457" s="52">
        <v>374</v>
      </c>
      <c r="DJ457" s="52">
        <v>342</v>
      </c>
      <c r="DK457" s="52">
        <v>470</v>
      </c>
      <c r="DL457" s="52">
        <v>295</v>
      </c>
      <c r="DM457" s="52">
        <v>470</v>
      </c>
      <c r="DN457" s="52">
        <v>642</v>
      </c>
      <c r="DO457" s="52">
        <v>64</v>
      </c>
      <c r="DP457" s="52">
        <v>325</v>
      </c>
      <c r="DQ457" s="52">
        <v>262</v>
      </c>
      <c r="DR457" s="52">
        <v>601</v>
      </c>
      <c r="DS457" s="58">
        <v>374</v>
      </c>
      <c r="DT457" s="58">
        <v>374</v>
      </c>
      <c r="DU457" s="58">
        <v>374</v>
      </c>
      <c r="DV457" s="58">
        <v>374</v>
      </c>
      <c r="DW457" s="58"/>
      <c r="DX457" s="2"/>
      <c r="DY457" s="2"/>
      <c r="DZ457" s="46">
        <f t="shared" si="102"/>
        <v>0</v>
      </c>
      <c r="EA457" s="46">
        <f t="shared" si="103"/>
        <v>0</v>
      </c>
      <c r="EB457" s="46">
        <f t="shared" si="104"/>
        <v>0</v>
      </c>
      <c r="EC457" s="46">
        <f t="shared" si="105"/>
        <v>0</v>
      </c>
      <c r="ED457" s="46">
        <f t="shared" si="106"/>
        <v>0</v>
      </c>
      <c r="EE457" s="46">
        <f t="shared" si="107"/>
        <v>0</v>
      </c>
      <c r="EF457" s="46">
        <f t="shared" si="108"/>
        <v>0</v>
      </c>
      <c r="EG457" s="46">
        <f t="shared" si="109"/>
        <v>255</v>
      </c>
      <c r="EH457" s="46">
        <f t="shared" si="110"/>
        <v>3891</v>
      </c>
      <c r="EI457" s="46">
        <f t="shared" si="100"/>
        <v>1471</v>
      </c>
    </row>
    <row r="458" spans="3:139">
      <c r="C458" s="56" t="s">
        <v>676</v>
      </c>
      <c r="D458" s="36" t="s">
        <v>829</v>
      </c>
      <c r="E458" s="36" t="s">
        <v>678</v>
      </c>
      <c r="F458" s="38">
        <f t="shared" si="99"/>
        <v>1464</v>
      </c>
      <c r="G458" s="37" t="s">
        <v>679</v>
      </c>
      <c r="H458" s="47"/>
      <c r="I458" s="48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8"/>
      <c r="U458" s="48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8"/>
      <c r="AG458" s="48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  <c r="BF458" s="49"/>
      <c r="BG458" s="49"/>
      <c r="BH458" s="49"/>
      <c r="BI458" s="49"/>
      <c r="BJ458" s="49"/>
      <c r="BK458" s="49"/>
      <c r="BL458" s="49"/>
      <c r="BM458" s="49"/>
      <c r="BN458" s="49"/>
      <c r="BO458" s="49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1"/>
      <c r="CO458" s="51">
        <v>50</v>
      </c>
      <c r="CP458" s="51">
        <v>24</v>
      </c>
      <c r="CQ458" s="51">
        <v>0</v>
      </c>
      <c r="CR458" s="51">
        <v>0</v>
      </c>
      <c r="CS458" s="51">
        <v>115</v>
      </c>
      <c r="CT458" s="51">
        <v>140</v>
      </c>
      <c r="CU458" s="51">
        <v>40</v>
      </c>
      <c r="CV458" s="51">
        <v>0</v>
      </c>
      <c r="CW458" s="51">
        <v>120</v>
      </c>
      <c r="CX458" s="51">
        <v>102</v>
      </c>
      <c r="CY458" s="51">
        <v>0</v>
      </c>
      <c r="CZ458" s="51">
        <v>0</v>
      </c>
      <c r="DA458" s="51">
        <v>229</v>
      </c>
      <c r="DB458" s="51">
        <v>133</v>
      </c>
      <c r="DC458" s="51">
        <v>2</v>
      </c>
      <c r="DD458" s="51">
        <v>166</v>
      </c>
      <c r="DE458" s="51">
        <v>9</v>
      </c>
      <c r="DF458" s="52">
        <v>-6</v>
      </c>
      <c r="DG458" s="52">
        <v>0</v>
      </c>
      <c r="DH458" s="52">
        <v>0</v>
      </c>
      <c r="DI458" s="52">
        <v>0</v>
      </c>
      <c r="DJ458" s="52">
        <v>0</v>
      </c>
      <c r="DK458" s="52">
        <v>-14</v>
      </c>
      <c r="DL458" s="52">
        <v>233</v>
      </c>
      <c r="DM458" s="52">
        <v>135</v>
      </c>
      <c r="DN458" s="52">
        <v>-14</v>
      </c>
      <c r="DO458" s="52">
        <v>0</v>
      </c>
      <c r="DP458" s="52">
        <v>0</v>
      </c>
      <c r="DQ458" s="52">
        <v>0</v>
      </c>
      <c r="DR458" s="52">
        <v>0</v>
      </c>
      <c r="DS458" s="58">
        <v>0</v>
      </c>
      <c r="DT458" s="58">
        <v>0</v>
      </c>
      <c r="DU458" s="58">
        <v>0</v>
      </c>
      <c r="DV458" s="58">
        <v>0</v>
      </c>
      <c r="DW458" s="58"/>
      <c r="DX458" s="2"/>
      <c r="DY458" s="2"/>
      <c r="DZ458" s="46">
        <f t="shared" si="102"/>
        <v>0</v>
      </c>
      <c r="EA458" s="46">
        <f t="shared" si="103"/>
        <v>0</v>
      </c>
      <c r="EB458" s="46">
        <f t="shared" si="104"/>
        <v>0</v>
      </c>
      <c r="EC458" s="46">
        <f t="shared" si="105"/>
        <v>0</v>
      </c>
      <c r="ED458" s="46">
        <f t="shared" si="106"/>
        <v>0</v>
      </c>
      <c r="EE458" s="46">
        <f t="shared" si="107"/>
        <v>0</v>
      </c>
      <c r="EF458" s="46">
        <f t="shared" si="108"/>
        <v>0</v>
      </c>
      <c r="EG458" s="46">
        <f t="shared" si="109"/>
        <v>591</v>
      </c>
      <c r="EH458" s="46">
        <f t="shared" si="110"/>
        <v>533</v>
      </c>
      <c r="EI458" s="46">
        <f t="shared" si="100"/>
        <v>354</v>
      </c>
    </row>
    <row r="459" spans="3:139">
      <c r="C459" s="56" t="s">
        <v>680</v>
      </c>
      <c r="D459" s="36" t="s">
        <v>681</v>
      </c>
      <c r="E459" s="36" t="s">
        <v>682</v>
      </c>
      <c r="F459" s="38">
        <f t="shared" si="99"/>
        <v>6912</v>
      </c>
      <c r="G459" s="37" t="s">
        <v>683</v>
      </c>
      <c r="H459" s="47"/>
      <c r="I459" s="48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8"/>
      <c r="U459" s="48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8"/>
      <c r="AG459" s="48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  <c r="BF459" s="49"/>
      <c r="BG459" s="49"/>
      <c r="BH459" s="49"/>
      <c r="BI459" s="49"/>
      <c r="BJ459" s="49"/>
      <c r="BK459" s="49"/>
      <c r="BL459" s="49"/>
      <c r="BM459" s="49"/>
      <c r="BN459" s="49"/>
      <c r="BO459" s="49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1"/>
      <c r="CO459" s="51">
        <v>50</v>
      </c>
      <c r="CP459" s="51">
        <v>8</v>
      </c>
      <c r="CQ459" s="51">
        <v>0</v>
      </c>
      <c r="CR459" s="51">
        <v>0</v>
      </c>
      <c r="CS459" s="51">
        <v>650</v>
      </c>
      <c r="CT459" s="51">
        <v>609</v>
      </c>
      <c r="CU459" s="51">
        <v>260</v>
      </c>
      <c r="CV459" s="51">
        <v>40</v>
      </c>
      <c r="CW459" s="51">
        <v>507</v>
      </c>
      <c r="CX459" s="51">
        <v>200</v>
      </c>
      <c r="CY459" s="51">
        <v>80</v>
      </c>
      <c r="CZ459" s="51">
        <v>480</v>
      </c>
      <c r="DA459" s="51">
        <v>200</v>
      </c>
      <c r="DB459" s="51">
        <v>88</v>
      </c>
      <c r="DC459" s="51">
        <v>535</v>
      </c>
      <c r="DD459" s="51">
        <v>0</v>
      </c>
      <c r="DE459" s="51">
        <v>241</v>
      </c>
      <c r="DF459" s="52">
        <v>371</v>
      </c>
      <c r="DG459" s="52">
        <v>367</v>
      </c>
      <c r="DH459" s="52">
        <v>32</v>
      </c>
      <c r="DI459" s="52">
        <v>200</v>
      </c>
      <c r="DJ459" s="52">
        <v>570</v>
      </c>
      <c r="DK459" s="52">
        <v>-9</v>
      </c>
      <c r="DL459" s="52">
        <v>639</v>
      </c>
      <c r="DM459" s="52">
        <v>0</v>
      </c>
      <c r="DN459" s="52">
        <v>732</v>
      </c>
      <c r="DO459" s="52">
        <v>40</v>
      </c>
      <c r="DP459" s="52">
        <v>0</v>
      </c>
      <c r="DQ459" s="52">
        <v>22</v>
      </c>
      <c r="DR459" s="52">
        <v>-4</v>
      </c>
      <c r="DS459" s="58">
        <v>0</v>
      </c>
      <c r="DT459" s="58">
        <v>0</v>
      </c>
      <c r="DU459" s="58">
        <v>0</v>
      </c>
      <c r="DV459" s="58">
        <v>0</v>
      </c>
      <c r="DW459" s="58"/>
      <c r="DX459" s="2"/>
      <c r="DY459" s="2"/>
      <c r="DZ459" s="46">
        <f t="shared" si="102"/>
        <v>0</v>
      </c>
      <c r="EA459" s="46">
        <f t="shared" si="103"/>
        <v>0</v>
      </c>
      <c r="EB459" s="46">
        <f t="shared" si="104"/>
        <v>0</v>
      </c>
      <c r="EC459" s="46">
        <f t="shared" si="105"/>
        <v>0</v>
      </c>
      <c r="ED459" s="46">
        <f t="shared" si="106"/>
        <v>0</v>
      </c>
      <c r="EE459" s="46">
        <f t="shared" si="107"/>
        <v>0</v>
      </c>
      <c r="EF459" s="46">
        <f t="shared" si="108"/>
        <v>0</v>
      </c>
      <c r="EG459" s="46">
        <f t="shared" si="109"/>
        <v>2404</v>
      </c>
      <c r="EH459" s="46">
        <f t="shared" si="110"/>
        <v>3084</v>
      </c>
      <c r="EI459" s="46">
        <f t="shared" si="100"/>
        <v>1411</v>
      </c>
    </row>
    <row r="460" spans="3:139">
      <c r="C460" s="56" t="s">
        <v>684</v>
      </c>
      <c r="D460" s="36" t="s">
        <v>830</v>
      </c>
      <c r="E460" s="36" t="s">
        <v>682</v>
      </c>
      <c r="F460" s="38">
        <f t="shared" si="99"/>
        <v>4046</v>
      </c>
      <c r="G460" s="37" t="s">
        <v>685</v>
      </c>
      <c r="H460" s="47"/>
      <c r="I460" s="48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8"/>
      <c r="U460" s="48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8"/>
      <c r="AG460" s="48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  <c r="BF460" s="49"/>
      <c r="BG460" s="49"/>
      <c r="BH460" s="49"/>
      <c r="BI460" s="49"/>
      <c r="BJ460" s="49"/>
      <c r="BK460" s="49"/>
      <c r="BL460" s="49"/>
      <c r="BM460" s="49"/>
      <c r="BN460" s="49"/>
      <c r="BO460" s="49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1"/>
      <c r="CO460" s="51">
        <v>50</v>
      </c>
      <c r="CP460" s="51">
        <v>0</v>
      </c>
      <c r="CQ460" s="51">
        <v>0</v>
      </c>
      <c r="CR460" s="51">
        <v>0</v>
      </c>
      <c r="CS460" s="51">
        <v>160</v>
      </c>
      <c r="CT460" s="51">
        <v>330</v>
      </c>
      <c r="CU460" s="51">
        <v>40</v>
      </c>
      <c r="CV460" s="51">
        <v>0</v>
      </c>
      <c r="CW460" s="51">
        <v>507</v>
      </c>
      <c r="CX460" s="51">
        <v>240</v>
      </c>
      <c r="CY460" s="51">
        <v>0</v>
      </c>
      <c r="CZ460" s="51">
        <v>622</v>
      </c>
      <c r="DA460" s="51">
        <v>-38</v>
      </c>
      <c r="DB460" s="51">
        <v>109</v>
      </c>
      <c r="DC460" s="51">
        <v>185</v>
      </c>
      <c r="DD460" s="51">
        <v>177</v>
      </c>
      <c r="DE460" s="51">
        <v>84</v>
      </c>
      <c r="DF460" s="52">
        <v>55</v>
      </c>
      <c r="DG460" s="52">
        <v>187</v>
      </c>
      <c r="DH460" s="52">
        <v>127</v>
      </c>
      <c r="DI460" s="52">
        <v>191</v>
      </c>
      <c r="DJ460" s="52">
        <v>1</v>
      </c>
      <c r="DK460" s="52">
        <v>240</v>
      </c>
      <c r="DL460" s="52">
        <v>174</v>
      </c>
      <c r="DM460" s="52">
        <v>284</v>
      </c>
      <c r="DN460" s="52">
        <v>113</v>
      </c>
      <c r="DO460" s="52">
        <v>80</v>
      </c>
      <c r="DP460" s="52">
        <v>0</v>
      </c>
      <c r="DQ460" s="52">
        <v>128</v>
      </c>
      <c r="DR460" s="52">
        <v>-33</v>
      </c>
      <c r="DS460" s="58">
        <v>0</v>
      </c>
      <c r="DT460" s="58">
        <v>0</v>
      </c>
      <c r="DU460" s="58">
        <v>0</v>
      </c>
      <c r="DV460" s="58">
        <v>0</v>
      </c>
      <c r="DW460" s="58"/>
      <c r="DX460" s="2"/>
      <c r="DY460" s="2"/>
      <c r="DZ460" s="46">
        <f t="shared" si="102"/>
        <v>0</v>
      </c>
      <c r="EA460" s="46">
        <f t="shared" si="103"/>
        <v>0</v>
      </c>
      <c r="EB460" s="46">
        <f t="shared" si="104"/>
        <v>0</v>
      </c>
      <c r="EC460" s="46">
        <f t="shared" si="105"/>
        <v>0</v>
      </c>
      <c r="ED460" s="46">
        <f t="shared" si="106"/>
        <v>0</v>
      </c>
      <c r="EE460" s="46">
        <f t="shared" si="107"/>
        <v>0</v>
      </c>
      <c r="EF460" s="46">
        <f t="shared" si="108"/>
        <v>0</v>
      </c>
      <c r="EG460" s="46">
        <f t="shared" si="109"/>
        <v>1327</v>
      </c>
      <c r="EH460" s="46">
        <f t="shared" si="110"/>
        <v>1700</v>
      </c>
      <c r="EI460" s="46">
        <f t="shared" si="100"/>
        <v>651</v>
      </c>
    </row>
    <row r="461" spans="3:139">
      <c r="C461" s="56" t="s">
        <v>686</v>
      </c>
      <c r="D461" s="36" t="s">
        <v>687</v>
      </c>
      <c r="E461" s="36" t="s">
        <v>688</v>
      </c>
      <c r="F461" s="38">
        <f t="shared" si="99"/>
        <v>3558</v>
      </c>
      <c r="G461" s="37" t="s">
        <v>689</v>
      </c>
      <c r="H461" s="47"/>
      <c r="I461" s="48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8"/>
      <c r="U461" s="48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8"/>
      <c r="AG461" s="48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  <c r="BF461" s="49"/>
      <c r="BG461" s="49"/>
      <c r="BH461" s="49"/>
      <c r="BI461" s="49"/>
      <c r="BJ461" s="49"/>
      <c r="BK461" s="49"/>
      <c r="BL461" s="49"/>
      <c r="BM461" s="49"/>
      <c r="BN461" s="49"/>
      <c r="BO461" s="49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1"/>
      <c r="CO461" s="51">
        <v>50</v>
      </c>
      <c r="CP461" s="51">
        <v>8</v>
      </c>
      <c r="CQ461" s="51">
        <v>0</v>
      </c>
      <c r="CR461" s="51">
        <v>0</v>
      </c>
      <c r="CS461" s="51">
        <v>225</v>
      </c>
      <c r="CT461" s="51">
        <v>194</v>
      </c>
      <c r="CU461" s="51">
        <v>160</v>
      </c>
      <c r="CV461" s="51">
        <v>0</v>
      </c>
      <c r="CW461" s="51">
        <v>305</v>
      </c>
      <c r="CX461" s="51">
        <v>280</v>
      </c>
      <c r="CY461" s="51">
        <v>0</v>
      </c>
      <c r="CZ461" s="51">
        <v>80</v>
      </c>
      <c r="DA461" s="51">
        <v>134</v>
      </c>
      <c r="DB461" s="51">
        <v>165</v>
      </c>
      <c r="DC461" s="51">
        <v>42</v>
      </c>
      <c r="DD461" s="51">
        <v>272</v>
      </c>
      <c r="DE461" s="51">
        <v>231</v>
      </c>
      <c r="DF461" s="52">
        <v>-32</v>
      </c>
      <c r="DG461" s="52">
        <v>0</v>
      </c>
      <c r="DH461" s="52">
        <v>0</v>
      </c>
      <c r="DI461" s="52">
        <v>365</v>
      </c>
      <c r="DJ461" s="52">
        <v>330</v>
      </c>
      <c r="DK461" s="52">
        <v>462</v>
      </c>
      <c r="DL461" s="52">
        <v>19</v>
      </c>
      <c r="DM461" s="52">
        <v>-32</v>
      </c>
      <c r="DN461" s="52">
        <v>295</v>
      </c>
      <c r="DO461" s="52">
        <v>5</v>
      </c>
      <c r="DP461" s="52">
        <v>0</v>
      </c>
      <c r="DQ461" s="52">
        <v>0</v>
      </c>
      <c r="DR461" s="52">
        <v>-20</v>
      </c>
      <c r="DS461" s="58">
        <v>0</v>
      </c>
      <c r="DT461" s="58">
        <v>0</v>
      </c>
      <c r="DU461" s="58">
        <v>0</v>
      </c>
      <c r="DV461" s="58">
        <v>0</v>
      </c>
      <c r="DW461" s="58"/>
      <c r="DX461" s="2"/>
      <c r="DY461" s="2"/>
      <c r="DZ461" s="46">
        <f t="shared" si="102"/>
        <v>0</v>
      </c>
      <c r="EA461" s="46">
        <f t="shared" si="103"/>
        <v>0</v>
      </c>
      <c r="EB461" s="46">
        <f t="shared" si="104"/>
        <v>0</v>
      </c>
      <c r="EC461" s="46">
        <f t="shared" si="105"/>
        <v>0</v>
      </c>
      <c r="ED461" s="46">
        <f t="shared" si="106"/>
        <v>0</v>
      </c>
      <c r="EE461" s="46">
        <f t="shared" si="107"/>
        <v>0</v>
      </c>
      <c r="EF461" s="46">
        <f t="shared" si="108"/>
        <v>0</v>
      </c>
      <c r="EG461" s="46">
        <f t="shared" si="109"/>
        <v>1222</v>
      </c>
      <c r="EH461" s="46">
        <f t="shared" si="110"/>
        <v>1587</v>
      </c>
      <c r="EI461" s="46">
        <f t="shared" si="100"/>
        <v>287</v>
      </c>
    </row>
    <row r="462" spans="3:139">
      <c r="C462" s="56" t="s">
        <v>690</v>
      </c>
      <c r="D462" s="36" t="s">
        <v>691</v>
      </c>
      <c r="E462" s="36" t="s">
        <v>824</v>
      </c>
      <c r="F462" s="38">
        <f t="shared" si="99"/>
        <v>15478</v>
      </c>
      <c r="G462" s="37" t="s">
        <v>663</v>
      </c>
      <c r="H462" s="47"/>
      <c r="I462" s="48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8"/>
      <c r="U462" s="48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8"/>
      <c r="AG462" s="48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1"/>
      <c r="CO462" s="51">
        <v>0</v>
      </c>
      <c r="CP462" s="51">
        <v>43</v>
      </c>
      <c r="CQ462" s="51">
        <v>5</v>
      </c>
      <c r="CR462" s="51">
        <v>0</v>
      </c>
      <c r="CS462" s="51">
        <v>0</v>
      </c>
      <c r="CT462" s="51">
        <v>0</v>
      </c>
      <c r="CU462" s="51">
        <v>0</v>
      </c>
      <c r="CV462" s="51">
        <v>0</v>
      </c>
      <c r="CW462" s="51">
        <v>9</v>
      </c>
      <c r="CX462" s="51">
        <v>0</v>
      </c>
      <c r="CY462" s="51">
        <v>0</v>
      </c>
      <c r="CZ462" s="51">
        <v>500</v>
      </c>
      <c r="DA462" s="51">
        <v>1840</v>
      </c>
      <c r="DB462" s="51">
        <v>1084</v>
      </c>
      <c r="DC462" s="51">
        <v>3576</v>
      </c>
      <c r="DD462" s="51">
        <v>1777</v>
      </c>
      <c r="DE462" s="51">
        <v>376</v>
      </c>
      <c r="DF462" s="52">
        <v>316</v>
      </c>
      <c r="DG462" s="52">
        <v>167</v>
      </c>
      <c r="DH462" s="52">
        <v>0</v>
      </c>
      <c r="DI462" s="52">
        <v>968</v>
      </c>
      <c r="DJ462" s="52">
        <v>0</v>
      </c>
      <c r="DK462" s="52">
        <v>10</v>
      </c>
      <c r="DL462" s="52">
        <v>110</v>
      </c>
      <c r="DM462" s="52">
        <v>1140</v>
      </c>
      <c r="DN462" s="52">
        <v>508</v>
      </c>
      <c r="DO462" s="52">
        <v>792</v>
      </c>
      <c r="DP462" s="52">
        <v>1707</v>
      </c>
      <c r="DQ462" s="52">
        <v>550</v>
      </c>
      <c r="DR462" s="52">
        <v>804</v>
      </c>
      <c r="DS462" s="58">
        <v>1963</v>
      </c>
      <c r="DT462" s="58">
        <v>1963</v>
      </c>
      <c r="DU462" s="58">
        <v>1963</v>
      </c>
      <c r="DV462" s="58">
        <v>1963</v>
      </c>
      <c r="DW462" s="58"/>
      <c r="DX462" s="2"/>
      <c r="DY462" s="2"/>
      <c r="DZ462" s="46">
        <f t="shared" si="102"/>
        <v>0</v>
      </c>
      <c r="EA462" s="46">
        <f t="shared" si="103"/>
        <v>0</v>
      </c>
      <c r="EB462" s="46">
        <f t="shared" si="104"/>
        <v>0</v>
      </c>
      <c r="EC462" s="46">
        <f t="shared" si="105"/>
        <v>0</v>
      </c>
      <c r="ED462" s="46">
        <f t="shared" si="106"/>
        <v>0</v>
      </c>
      <c r="EE462" s="46">
        <f t="shared" si="107"/>
        <v>0</v>
      </c>
      <c r="EF462" s="46">
        <f t="shared" si="108"/>
        <v>0</v>
      </c>
      <c r="EG462" s="46">
        <f t="shared" si="109"/>
        <v>57</v>
      </c>
      <c r="EH462" s="46">
        <f t="shared" si="110"/>
        <v>10604</v>
      </c>
      <c r="EI462" s="46">
        <f t="shared" si="100"/>
        <v>2550</v>
      </c>
    </row>
    <row r="463" spans="3:139">
      <c r="C463" s="56" t="s">
        <v>692</v>
      </c>
      <c r="D463" s="36" t="s">
        <v>831</v>
      </c>
      <c r="E463" s="36" t="s">
        <v>824</v>
      </c>
      <c r="F463" s="38">
        <f t="shared" ref="F463:F526" si="111">SUM(H463:DQ463)</f>
        <v>57086</v>
      </c>
      <c r="G463" s="37" t="s">
        <v>665</v>
      </c>
      <c r="H463" s="47"/>
      <c r="I463" s="48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8"/>
      <c r="U463" s="48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8"/>
      <c r="AG463" s="48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49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1"/>
      <c r="CO463" s="51"/>
      <c r="CP463" s="51"/>
      <c r="CQ463" s="51">
        <v>10</v>
      </c>
      <c r="CR463" s="51">
        <v>0</v>
      </c>
      <c r="CS463" s="51">
        <v>0</v>
      </c>
      <c r="CT463" s="51">
        <v>0</v>
      </c>
      <c r="CU463" s="51">
        <v>0</v>
      </c>
      <c r="CV463" s="51">
        <v>0</v>
      </c>
      <c r="CW463" s="51">
        <v>0</v>
      </c>
      <c r="CX463" s="51">
        <v>39</v>
      </c>
      <c r="CY463" s="51">
        <v>0</v>
      </c>
      <c r="CZ463" s="51">
        <v>1860</v>
      </c>
      <c r="DA463" s="51">
        <v>3945</v>
      </c>
      <c r="DB463" s="51">
        <v>4080</v>
      </c>
      <c r="DC463" s="51">
        <v>2038</v>
      </c>
      <c r="DD463" s="51">
        <v>4317</v>
      </c>
      <c r="DE463" s="51">
        <v>3299</v>
      </c>
      <c r="DF463" s="52">
        <v>2404</v>
      </c>
      <c r="DG463" s="52">
        <v>5936</v>
      </c>
      <c r="DH463" s="52">
        <v>1520</v>
      </c>
      <c r="DI463" s="52">
        <v>4648</v>
      </c>
      <c r="DJ463" s="52">
        <v>5659</v>
      </c>
      <c r="DK463" s="52">
        <v>2072</v>
      </c>
      <c r="DL463" s="52">
        <v>4248</v>
      </c>
      <c r="DM463" s="52">
        <v>1407</v>
      </c>
      <c r="DN463" s="52">
        <v>3929</v>
      </c>
      <c r="DO463" s="52">
        <v>2360</v>
      </c>
      <c r="DP463" s="52">
        <v>961</v>
      </c>
      <c r="DQ463" s="52">
        <v>2354</v>
      </c>
      <c r="DR463" s="52">
        <v>4773</v>
      </c>
      <c r="DS463" s="58">
        <v>1105</v>
      </c>
      <c r="DT463" s="58">
        <v>1105</v>
      </c>
      <c r="DU463" s="58">
        <v>1105</v>
      </c>
      <c r="DV463" s="58">
        <v>1105</v>
      </c>
      <c r="DW463" s="58"/>
      <c r="DX463" s="2"/>
      <c r="DY463" s="2"/>
      <c r="DZ463" s="46">
        <f t="shared" si="102"/>
        <v>0</v>
      </c>
      <c r="EA463" s="46">
        <f t="shared" si="103"/>
        <v>0</v>
      </c>
      <c r="EB463" s="46">
        <f t="shared" si="104"/>
        <v>0</v>
      </c>
      <c r="EC463" s="46">
        <f t="shared" si="105"/>
        <v>0</v>
      </c>
      <c r="ED463" s="46">
        <f t="shared" si="106"/>
        <v>0</v>
      </c>
      <c r="EE463" s="46">
        <f t="shared" si="107"/>
        <v>0</v>
      </c>
      <c r="EF463" s="46">
        <f t="shared" si="108"/>
        <v>0</v>
      </c>
      <c r="EG463" s="46">
        <f t="shared" si="109"/>
        <v>49</v>
      </c>
      <c r="EH463" s="46">
        <f t="shared" si="110"/>
        <v>39706</v>
      </c>
      <c r="EI463" s="46">
        <f t="shared" si="100"/>
        <v>11944</v>
      </c>
    </row>
    <row r="464" spans="3:139">
      <c r="C464" s="56" t="s">
        <v>693</v>
      </c>
      <c r="D464" s="36" t="s">
        <v>691</v>
      </c>
      <c r="E464" s="36" t="s">
        <v>824</v>
      </c>
      <c r="F464" s="38">
        <f t="shared" si="111"/>
        <v>10</v>
      </c>
      <c r="G464" s="57" t="s">
        <v>694</v>
      </c>
      <c r="H464" s="47"/>
      <c r="I464" s="48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8"/>
      <c r="U464" s="48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8"/>
      <c r="AG464" s="48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  <c r="BF464" s="49"/>
      <c r="BG464" s="49"/>
      <c r="BH464" s="49"/>
      <c r="BI464" s="49"/>
      <c r="BJ464" s="49"/>
      <c r="BK464" s="49"/>
      <c r="BL464" s="49"/>
      <c r="BM464" s="49"/>
      <c r="BN464" s="49"/>
      <c r="BO464" s="49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1"/>
      <c r="CO464" s="51"/>
      <c r="CP464" s="51"/>
      <c r="CQ464" s="51">
        <v>10</v>
      </c>
      <c r="CR464" s="51">
        <v>0</v>
      </c>
      <c r="CS464" s="51">
        <v>0</v>
      </c>
      <c r="CT464" s="51">
        <v>0</v>
      </c>
      <c r="CU464" s="51">
        <v>0</v>
      </c>
      <c r="CV464" s="51">
        <v>0</v>
      </c>
      <c r="CW464" s="51">
        <v>0</v>
      </c>
      <c r="CX464" s="51">
        <v>0</v>
      </c>
      <c r="CY464" s="51">
        <v>0</v>
      </c>
      <c r="CZ464" s="51">
        <v>0</v>
      </c>
      <c r="DA464" s="51">
        <v>0</v>
      </c>
      <c r="DB464" s="51">
        <v>0</v>
      </c>
      <c r="DC464" s="51">
        <v>0</v>
      </c>
      <c r="DD464" s="51">
        <v>0</v>
      </c>
      <c r="DE464" s="51">
        <v>0</v>
      </c>
      <c r="DF464" s="52">
        <v>0</v>
      </c>
      <c r="DG464" s="52">
        <v>0</v>
      </c>
      <c r="DH464" s="52">
        <v>0</v>
      </c>
      <c r="DI464" s="52">
        <v>0</v>
      </c>
      <c r="DJ464" s="52">
        <v>0</v>
      </c>
      <c r="DK464" s="52">
        <v>0</v>
      </c>
      <c r="DL464" s="52">
        <v>0</v>
      </c>
      <c r="DM464" s="52">
        <v>0</v>
      </c>
      <c r="DN464" s="52">
        <v>0</v>
      </c>
      <c r="DO464" s="52">
        <v>0</v>
      </c>
      <c r="DP464" s="52">
        <v>0</v>
      </c>
      <c r="DQ464" s="52">
        <v>0</v>
      </c>
      <c r="DR464" s="52">
        <v>0</v>
      </c>
      <c r="DS464" s="58">
        <v>0</v>
      </c>
      <c r="DT464" s="58">
        <v>0</v>
      </c>
      <c r="DU464" s="58">
        <v>0</v>
      </c>
      <c r="DV464" s="58">
        <v>0</v>
      </c>
      <c r="DW464" s="58"/>
      <c r="DX464" s="2"/>
      <c r="DY464" s="2"/>
      <c r="DZ464" s="46">
        <f t="shared" si="102"/>
        <v>0</v>
      </c>
      <c r="EA464" s="46">
        <f t="shared" si="103"/>
        <v>0</v>
      </c>
      <c r="EB464" s="46">
        <f t="shared" si="104"/>
        <v>0</v>
      </c>
      <c r="EC464" s="46">
        <f t="shared" si="105"/>
        <v>0</v>
      </c>
      <c r="ED464" s="46">
        <f t="shared" si="106"/>
        <v>0</v>
      </c>
      <c r="EE464" s="46">
        <f t="shared" si="107"/>
        <v>0</v>
      </c>
      <c r="EF464" s="46">
        <f t="shared" si="108"/>
        <v>0</v>
      </c>
      <c r="EG464" s="46">
        <f t="shared" si="109"/>
        <v>10</v>
      </c>
      <c r="EH464" s="46">
        <f t="shared" si="110"/>
        <v>0</v>
      </c>
      <c r="EI464" s="46">
        <f t="shared" si="100"/>
        <v>0</v>
      </c>
    </row>
    <row r="465" spans="3:139">
      <c r="C465" s="56" t="s">
        <v>695</v>
      </c>
      <c r="D465" s="36" t="s">
        <v>691</v>
      </c>
      <c r="E465" s="36" t="s">
        <v>824</v>
      </c>
      <c r="F465" s="38">
        <f t="shared" si="111"/>
        <v>0</v>
      </c>
      <c r="G465" s="57" t="s">
        <v>694</v>
      </c>
      <c r="H465" s="47"/>
      <c r="I465" s="48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8"/>
      <c r="U465" s="48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8"/>
      <c r="AG465" s="48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  <c r="BF465" s="49"/>
      <c r="BG465" s="49"/>
      <c r="BH465" s="49"/>
      <c r="BI465" s="49"/>
      <c r="BJ465" s="49"/>
      <c r="BK465" s="49"/>
      <c r="BL465" s="49"/>
      <c r="BM465" s="49"/>
      <c r="BN465" s="49"/>
      <c r="BO465" s="49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1"/>
      <c r="CO465" s="51"/>
      <c r="CP465" s="51"/>
      <c r="CQ465" s="51">
        <v>0</v>
      </c>
      <c r="CR465" s="51"/>
      <c r="CS465" s="51"/>
      <c r="CT465" s="51">
        <v>0</v>
      </c>
      <c r="CU465" s="51"/>
      <c r="CV465" s="51">
        <v>0</v>
      </c>
      <c r="CW465" s="51"/>
      <c r="CX465" s="51"/>
      <c r="CY465" s="51"/>
      <c r="CZ465" s="51"/>
      <c r="DA465" s="51"/>
      <c r="DB465" s="51">
        <v>0</v>
      </c>
      <c r="DC465" s="51"/>
      <c r="DD465" s="51"/>
      <c r="DE465" s="51"/>
      <c r="DF465" s="52"/>
      <c r="DG465" s="52"/>
      <c r="DH465" s="52"/>
      <c r="DI465" s="52"/>
      <c r="DJ465" s="52"/>
      <c r="DK465" s="52"/>
      <c r="DL465" s="52"/>
      <c r="DM465" s="52"/>
      <c r="DN465" s="52"/>
      <c r="DO465" s="52"/>
      <c r="DP465" s="52"/>
      <c r="DQ465" s="52"/>
      <c r="DR465" s="52"/>
      <c r="DS465" s="58">
        <v>0</v>
      </c>
      <c r="DT465" s="58">
        <v>0</v>
      </c>
      <c r="DU465" s="58">
        <v>0</v>
      </c>
      <c r="DV465" s="58">
        <v>0</v>
      </c>
      <c r="DW465" s="58"/>
      <c r="DX465" s="2"/>
      <c r="DY465" s="2"/>
      <c r="DZ465" s="46">
        <f t="shared" si="102"/>
        <v>0</v>
      </c>
      <c r="EA465" s="46">
        <f t="shared" si="103"/>
        <v>0</v>
      </c>
      <c r="EB465" s="46">
        <f t="shared" si="104"/>
        <v>0</v>
      </c>
      <c r="EC465" s="46">
        <f t="shared" si="105"/>
        <v>0</v>
      </c>
      <c r="ED465" s="46">
        <f t="shared" si="106"/>
        <v>0</v>
      </c>
      <c r="EE465" s="46">
        <f t="shared" si="107"/>
        <v>0</v>
      </c>
      <c r="EF465" s="46">
        <f t="shared" si="108"/>
        <v>0</v>
      </c>
      <c r="EG465" s="46">
        <f t="shared" si="109"/>
        <v>0</v>
      </c>
      <c r="EH465" s="46">
        <f t="shared" si="110"/>
        <v>0</v>
      </c>
      <c r="EI465" s="46">
        <f t="shared" si="100"/>
        <v>0</v>
      </c>
    </row>
    <row r="466" spans="3:139">
      <c r="C466" s="56" t="s">
        <v>696</v>
      </c>
      <c r="D466" s="36" t="s">
        <v>691</v>
      </c>
      <c r="E466" s="36" t="s">
        <v>824</v>
      </c>
      <c r="F466" s="38">
        <f t="shared" si="111"/>
        <v>0</v>
      </c>
      <c r="G466" s="57" t="s">
        <v>694</v>
      </c>
      <c r="H466" s="47"/>
      <c r="I466" s="48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8"/>
      <c r="U466" s="48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8"/>
      <c r="AG466" s="48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1"/>
      <c r="CO466" s="51"/>
      <c r="CP466" s="51"/>
      <c r="CQ466" s="51">
        <v>0</v>
      </c>
      <c r="CR466" s="51"/>
      <c r="CS466" s="51"/>
      <c r="CT466" s="51">
        <v>0</v>
      </c>
      <c r="CU466" s="51"/>
      <c r="CV466" s="51">
        <v>0</v>
      </c>
      <c r="CW466" s="51"/>
      <c r="CX466" s="51"/>
      <c r="CY466" s="51"/>
      <c r="CZ466" s="51"/>
      <c r="DA466" s="51"/>
      <c r="DB466" s="51">
        <v>0</v>
      </c>
      <c r="DC466" s="51"/>
      <c r="DD466" s="51"/>
      <c r="DE466" s="51"/>
      <c r="DF466" s="52"/>
      <c r="DG466" s="52"/>
      <c r="DH466" s="52"/>
      <c r="DI466" s="52"/>
      <c r="DJ466" s="52"/>
      <c r="DK466" s="52"/>
      <c r="DL466" s="52"/>
      <c r="DM466" s="52"/>
      <c r="DN466" s="52"/>
      <c r="DO466" s="52"/>
      <c r="DP466" s="52"/>
      <c r="DQ466" s="52"/>
      <c r="DR466" s="52"/>
      <c r="DS466" s="58">
        <v>0</v>
      </c>
      <c r="DT466" s="58">
        <v>0</v>
      </c>
      <c r="DU466" s="58">
        <v>0</v>
      </c>
      <c r="DV466" s="58">
        <v>0</v>
      </c>
      <c r="DW466" s="58"/>
      <c r="DX466" s="2"/>
      <c r="DY466" s="2"/>
      <c r="DZ466" s="46">
        <f t="shared" si="102"/>
        <v>0</v>
      </c>
      <c r="EA466" s="46">
        <f t="shared" si="103"/>
        <v>0</v>
      </c>
      <c r="EB466" s="46">
        <f t="shared" si="104"/>
        <v>0</v>
      </c>
      <c r="EC466" s="46">
        <f t="shared" si="105"/>
        <v>0</v>
      </c>
      <c r="ED466" s="46">
        <f t="shared" si="106"/>
        <v>0</v>
      </c>
      <c r="EE466" s="46">
        <f t="shared" si="107"/>
        <v>0</v>
      </c>
      <c r="EF466" s="46">
        <f t="shared" si="108"/>
        <v>0</v>
      </c>
      <c r="EG466" s="46">
        <f t="shared" si="109"/>
        <v>0</v>
      </c>
      <c r="EH466" s="46">
        <f t="shared" si="110"/>
        <v>0</v>
      </c>
      <c r="EI466" s="46">
        <f t="shared" si="100"/>
        <v>0</v>
      </c>
    </row>
    <row r="467" spans="3:139">
      <c r="C467" s="56" t="s">
        <v>697</v>
      </c>
      <c r="D467" s="36" t="s">
        <v>691</v>
      </c>
      <c r="E467" s="36" t="s">
        <v>824</v>
      </c>
      <c r="F467" s="38">
        <f t="shared" si="111"/>
        <v>0</v>
      </c>
      <c r="G467" s="57" t="s">
        <v>694</v>
      </c>
      <c r="H467" s="47"/>
      <c r="I467" s="48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8"/>
      <c r="U467" s="48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8"/>
      <c r="AG467" s="48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50"/>
      <c r="BQ467" s="50"/>
      <c r="BR467" s="50"/>
      <c r="BS467" s="50"/>
      <c r="BT467" s="50"/>
      <c r="BU467" s="50"/>
      <c r="BV467" s="50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1"/>
      <c r="CO467" s="51"/>
      <c r="CP467" s="51"/>
      <c r="CQ467" s="51">
        <v>0</v>
      </c>
      <c r="CR467" s="51"/>
      <c r="CS467" s="51"/>
      <c r="CT467" s="51">
        <v>0</v>
      </c>
      <c r="CU467" s="51"/>
      <c r="CV467" s="51">
        <v>0</v>
      </c>
      <c r="CW467" s="51"/>
      <c r="CX467" s="51"/>
      <c r="CY467" s="51"/>
      <c r="CZ467" s="51"/>
      <c r="DA467" s="51"/>
      <c r="DB467" s="51">
        <v>0</v>
      </c>
      <c r="DC467" s="51"/>
      <c r="DD467" s="51"/>
      <c r="DE467" s="51"/>
      <c r="DF467" s="52"/>
      <c r="DG467" s="52"/>
      <c r="DH467" s="52"/>
      <c r="DI467" s="52"/>
      <c r="DJ467" s="52"/>
      <c r="DK467" s="52"/>
      <c r="DL467" s="52"/>
      <c r="DM467" s="52"/>
      <c r="DN467" s="52"/>
      <c r="DO467" s="52"/>
      <c r="DP467" s="52"/>
      <c r="DQ467" s="52"/>
      <c r="DR467" s="52"/>
      <c r="DS467" s="58">
        <v>0</v>
      </c>
      <c r="DT467" s="58">
        <v>0</v>
      </c>
      <c r="DU467" s="58">
        <v>0</v>
      </c>
      <c r="DV467" s="58">
        <v>0</v>
      </c>
      <c r="DW467" s="58"/>
      <c r="DX467" s="2"/>
      <c r="DY467" s="2"/>
      <c r="DZ467" s="46">
        <f t="shared" si="102"/>
        <v>0</v>
      </c>
      <c r="EA467" s="46">
        <f t="shared" si="103"/>
        <v>0</v>
      </c>
      <c r="EB467" s="46">
        <f t="shared" si="104"/>
        <v>0</v>
      </c>
      <c r="EC467" s="46">
        <f t="shared" si="105"/>
        <v>0</v>
      </c>
      <c r="ED467" s="46">
        <f t="shared" si="106"/>
        <v>0</v>
      </c>
      <c r="EE467" s="46">
        <f t="shared" si="107"/>
        <v>0</v>
      </c>
      <c r="EF467" s="46">
        <f t="shared" si="108"/>
        <v>0</v>
      </c>
      <c r="EG467" s="46">
        <f t="shared" si="109"/>
        <v>0</v>
      </c>
      <c r="EH467" s="46">
        <f t="shared" si="110"/>
        <v>0</v>
      </c>
      <c r="EI467" s="46">
        <f t="shared" ref="EI467:EI530" si="112">SUM(DL467:DO467)</f>
        <v>0</v>
      </c>
    </row>
    <row r="468" spans="3:139">
      <c r="C468" s="56" t="s">
        <v>698</v>
      </c>
      <c r="D468" s="36" t="s">
        <v>699</v>
      </c>
      <c r="E468" s="36" t="s">
        <v>700</v>
      </c>
      <c r="F468" s="38">
        <f t="shared" si="111"/>
        <v>1797</v>
      </c>
      <c r="G468" s="37" t="s">
        <v>701</v>
      </c>
      <c r="H468" s="47"/>
      <c r="I468" s="48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8"/>
      <c r="U468" s="48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8"/>
      <c r="AG468" s="48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50"/>
      <c r="BQ468" s="50"/>
      <c r="BR468" s="50"/>
      <c r="BS468" s="50"/>
      <c r="BT468" s="50"/>
      <c r="BU468" s="50"/>
      <c r="BV468" s="50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1"/>
      <c r="CO468" s="51">
        <v>41</v>
      </c>
      <c r="CP468" s="51">
        <v>15</v>
      </c>
      <c r="CQ468" s="51">
        <v>0</v>
      </c>
      <c r="CR468" s="51">
        <v>0</v>
      </c>
      <c r="CS468" s="51">
        <v>110</v>
      </c>
      <c r="CT468" s="51">
        <v>150</v>
      </c>
      <c r="CU468" s="51">
        <v>27</v>
      </c>
      <c r="CV468" s="51">
        <v>29</v>
      </c>
      <c r="CW468" s="51">
        <v>7</v>
      </c>
      <c r="CX468" s="51">
        <v>96</v>
      </c>
      <c r="CY468" s="51">
        <v>100</v>
      </c>
      <c r="CZ468" s="51">
        <v>0</v>
      </c>
      <c r="DA468" s="51">
        <v>200</v>
      </c>
      <c r="DB468" s="51">
        <v>156</v>
      </c>
      <c r="DC468" s="51">
        <v>0</v>
      </c>
      <c r="DD468" s="51">
        <v>188</v>
      </c>
      <c r="DE468" s="51">
        <v>0</v>
      </c>
      <c r="DF468" s="52">
        <v>0</v>
      </c>
      <c r="DG468" s="52">
        <v>0</v>
      </c>
      <c r="DH468" s="52">
        <v>0</v>
      </c>
      <c r="DI468" s="52">
        <v>119</v>
      </c>
      <c r="DJ468" s="52">
        <v>0</v>
      </c>
      <c r="DK468" s="52">
        <v>176</v>
      </c>
      <c r="DL468" s="52">
        <v>238</v>
      </c>
      <c r="DM468" s="52">
        <v>145</v>
      </c>
      <c r="DN468" s="52">
        <v>0</v>
      </c>
      <c r="DO468" s="52">
        <v>0</v>
      </c>
      <c r="DP468" s="52">
        <v>0</v>
      </c>
      <c r="DQ468" s="52">
        <v>0</v>
      </c>
      <c r="DR468" s="52">
        <v>0</v>
      </c>
      <c r="DS468" s="58">
        <v>0</v>
      </c>
      <c r="DT468" s="58">
        <v>0</v>
      </c>
      <c r="DU468" s="58">
        <v>0</v>
      </c>
      <c r="DV468" s="58">
        <v>0</v>
      </c>
      <c r="DW468" s="58"/>
      <c r="DX468" s="2"/>
      <c r="DY468" s="2"/>
      <c r="DZ468" s="46">
        <f t="shared" si="102"/>
        <v>0</v>
      </c>
      <c r="EA468" s="46">
        <f t="shared" si="103"/>
        <v>0</v>
      </c>
      <c r="EB468" s="46">
        <f t="shared" si="104"/>
        <v>0</v>
      </c>
      <c r="EC468" s="46">
        <f t="shared" si="105"/>
        <v>0</v>
      </c>
      <c r="ED468" s="46">
        <f t="shared" si="106"/>
        <v>0</v>
      </c>
      <c r="EE468" s="46">
        <f t="shared" si="107"/>
        <v>0</v>
      </c>
      <c r="EF468" s="46">
        <f t="shared" si="108"/>
        <v>0</v>
      </c>
      <c r="EG468" s="46">
        <f t="shared" si="109"/>
        <v>575</v>
      </c>
      <c r="EH468" s="46">
        <f t="shared" si="110"/>
        <v>663</v>
      </c>
      <c r="EI468" s="46">
        <f t="shared" si="112"/>
        <v>383</v>
      </c>
    </row>
    <row r="469" spans="3:139">
      <c r="C469" s="56" t="s">
        <v>702</v>
      </c>
      <c r="D469" s="36" t="s">
        <v>212</v>
      </c>
      <c r="E469" s="36"/>
      <c r="F469" s="38">
        <f t="shared" si="111"/>
        <v>96</v>
      </c>
      <c r="G469" s="57" t="s">
        <v>642</v>
      </c>
      <c r="H469" s="47"/>
      <c r="I469" s="48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8"/>
      <c r="U469" s="48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8"/>
      <c r="AG469" s="48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50"/>
      <c r="BQ469" s="50"/>
      <c r="BR469" s="50"/>
      <c r="BS469" s="50"/>
      <c r="BT469" s="50"/>
      <c r="BU469" s="50"/>
      <c r="BV469" s="50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>
        <v>96</v>
      </c>
      <c r="CM469" s="50">
        <v>0</v>
      </c>
      <c r="CN469" s="51">
        <v>0</v>
      </c>
      <c r="CO469" s="51">
        <v>0</v>
      </c>
      <c r="CP469" s="51">
        <v>0</v>
      </c>
      <c r="CQ469" s="51"/>
      <c r="CR469" s="51">
        <v>0</v>
      </c>
      <c r="CS469" s="51">
        <v>0</v>
      </c>
      <c r="CT469" s="51"/>
      <c r="CU469" s="51">
        <v>0</v>
      </c>
      <c r="CV469" s="51"/>
      <c r="CW469" s="51">
        <v>0</v>
      </c>
      <c r="CX469" s="51">
        <v>0</v>
      </c>
      <c r="CY469" s="51">
        <v>0</v>
      </c>
      <c r="CZ469" s="51">
        <v>0</v>
      </c>
      <c r="DA469" s="51">
        <v>0</v>
      </c>
      <c r="DB469" s="51"/>
      <c r="DC469" s="51">
        <v>0</v>
      </c>
      <c r="DD469" s="51">
        <v>0</v>
      </c>
      <c r="DE469" s="51">
        <v>0</v>
      </c>
      <c r="DF469" s="52">
        <v>0</v>
      </c>
      <c r="DG469" s="52">
        <v>0</v>
      </c>
      <c r="DH469" s="52">
        <v>0</v>
      </c>
      <c r="DI469" s="52">
        <v>0</v>
      </c>
      <c r="DJ469" s="52">
        <v>0</v>
      </c>
      <c r="DK469" s="52">
        <v>0</v>
      </c>
      <c r="DL469" s="52">
        <v>0</v>
      </c>
      <c r="DM469" s="52">
        <v>0</v>
      </c>
      <c r="DN469" s="52">
        <v>0</v>
      </c>
      <c r="DO469" s="52">
        <v>0</v>
      </c>
      <c r="DP469" s="52">
        <v>0</v>
      </c>
      <c r="DQ469" s="52">
        <v>0</v>
      </c>
      <c r="DR469" s="52">
        <v>0</v>
      </c>
      <c r="DS469" s="58">
        <v>0</v>
      </c>
      <c r="DT469" s="58">
        <v>0</v>
      </c>
      <c r="DU469" s="58">
        <v>0</v>
      </c>
      <c r="DV469" s="58">
        <v>0</v>
      </c>
      <c r="DW469" s="58"/>
      <c r="DX469" s="2"/>
      <c r="DY469" s="2"/>
      <c r="DZ469" s="46">
        <f t="shared" si="102"/>
        <v>0</v>
      </c>
      <c r="EA469" s="46">
        <f t="shared" si="103"/>
        <v>0</v>
      </c>
      <c r="EB469" s="46">
        <f t="shared" si="104"/>
        <v>0</v>
      </c>
      <c r="EC469" s="46">
        <f t="shared" si="105"/>
        <v>0</v>
      </c>
      <c r="ED469" s="46">
        <f t="shared" si="106"/>
        <v>0</v>
      </c>
      <c r="EE469" s="46">
        <f t="shared" si="107"/>
        <v>0</v>
      </c>
      <c r="EF469" s="46">
        <f t="shared" si="108"/>
        <v>96</v>
      </c>
      <c r="EG469" s="46">
        <f t="shared" si="109"/>
        <v>0</v>
      </c>
      <c r="EH469" s="46">
        <f t="shared" si="110"/>
        <v>0</v>
      </c>
      <c r="EI469" s="46">
        <f t="shared" si="112"/>
        <v>0</v>
      </c>
    </row>
    <row r="470" spans="3:139">
      <c r="C470" s="56" t="s">
        <v>703</v>
      </c>
      <c r="D470" s="36" t="s">
        <v>212</v>
      </c>
      <c r="E470" s="36"/>
      <c r="F470" s="38">
        <f t="shared" si="111"/>
        <v>84</v>
      </c>
      <c r="G470" s="57" t="s">
        <v>642</v>
      </c>
      <c r="H470" s="47"/>
      <c r="I470" s="48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8"/>
      <c r="U470" s="48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8"/>
      <c r="AG470" s="48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  <c r="CG470" s="50"/>
      <c r="CH470" s="50"/>
      <c r="CI470" s="50"/>
      <c r="CJ470" s="50"/>
      <c r="CK470" s="50"/>
      <c r="CL470" s="50">
        <v>84</v>
      </c>
      <c r="CM470" s="50">
        <v>0</v>
      </c>
      <c r="CN470" s="51">
        <v>0</v>
      </c>
      <c r="CO470" s="51">
        <v>0</v>
      </c>
      <c r="CP470" s="51">
        <v>0</v>
      </c>
      <c r="CQ470" s="51"/>
      <c r="CR470" s="51">
        <v>0</v>
      </c>
      <c r="CS470" s="51">
        <v>0</v>
      </c>
      <c r="CT470" s="51"/>
      <c r="CU470" s="51">
        <v>0</v>
      </c>
      <c r="CV470" s="51"/>
      <c r="CW470" s="51">
        <v>0</v>
      </c>
      <c r="CX470" s="51">
        <v>0</v>
      </c>
      <c r="CY470" s="51">
        <v>0</v>
      </c>
      <c r="CZ470" s="51">
        <v>0</v>
      </c>
      <c r="DA470" s="51">
        <v>0</v>
      </c>
      <c r="DB470" s="51"/>
      <c r="DC470" s="51">
        <v>0</v>
      </c>
      <c r="DD470" s="51">
        <v>0</v>
      </c>
      <c r="DE470" s="51">
        <v>0</v>
      </c>
      <c r="DF470" s="52">
        <v>0</v>
      </c>
      <c r="DG470" s="52">
        <v>0</v>
      </c>
      <c r="DH470" s="52">
        <v>0</v>
      </c>
      <c r="DI470" s="52">
        <v>0</v>
      </c>
      <c r="DJ470" s="52">
        <v>0</v>
      </c>
      <c r="DK470" s="52">
        <v>0</v>
      </c>
      <c r="DL470" s="52">
        <v>0</v>
      </c>
      <c r="DM470" s="52">
        <v>0</v>
      </c>
      <c r="DN470" s="52">
        <v>0</v>
      </c>
      <c r="DO470" s="52">
        <v>0</v>
      </c>
      <c r="DP470" s="52">
        <v>0</v>
      </c>
      <c r="DQ470" s="52">
        <v>0</v>
      </c>
      <c r="DR470" s="52">
        <v>0</v>
      </c>
      <c r="DS470" s="58">
        <v>0</v>
      </c>
      <c r="DT470" s="58">
        <v>0</v>
      </c>
      <c r="DU470" s="58">
        <v>0</v>
      </c>
      <c r="DV470" s="58">
        <v>0</v>
      </c>
      <c r="DW470" s="58"/>
      <c r="DX470" s="2"/>
      <c r="DY470" s="2"/>
      <c r="DZ470" s="46">
        <f t="shared" si="102"/>
        <v>0</v>
      </c>
      <c r="EA470" s="46">
        <f t="shared" si="103"/>
        <v>0</v>
      </c>
      <c r="EB470" s="46">
        <f t="shared" si="104"/>
        <v>0</v>
      </c>
      <c r="EC470" s="46">
        <f t="shared" si="105"/>
        <v>0</v>
      </c>
      <c r="ED470" s="46">
        <f t="shared" si="106"/>
        <v>0</v>
      </c>
      <c r="EE470" s="46">
        <f t="shared" si="107"/>
        <v>0</v>
      </c>
      <c r="EF470" s="46">
        <f t="shared" si="108"/>
        <v>84</v>
      </c>
      <c r="EG470" s="46">
        <f t="shared" si="109"/>
        <v>0</v>
      </c>
      <c r="EH470" s="46">
        <f t="shared" si="110"/>
        <v>0</v>
      </c>
      <c r="EI470" s="46">
        <f t="shared" si="112"/>
        <v>0</v>
      </c>
    </row>
    <row r="471" spans="3:139">
      <c r="C471" s="56" t="s">
        <v>704</v>
      </c>
      <c r="D471" s="36" t="s">
        <v>705</v>
      </c>
      <c r="E471" s="36" t="s">
        <v>706</v>
      </c>
      <c r="F471" s="38">
        <f t="shared" si="111"/>
        <v>51</v>
      </c>
      <c r="G471" s="57" t="s">
        <v>642</v>
      </c>
      <c r="H471" s="47"/>
      <c r="I471" s="48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8"/>
      <c r="U471" s="48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8"/>
      <c r="AG471" s="48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9"/>
      <c r="CO471" s="59"/>
      <c r="CP471" s="59"/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1"/>
      <c r="DD471" s="51"/>
      <c r="DE471" s="51"/>
      <c r="DF471" s="52"/>
      <c r="DG471" s="52"/>
      <c r="DH471" s="52"/>
      <c r="DI471" s="52"/>
      <c r="DJ471" s="52"/>
      <c r="DK471" s="52"/>
      <c r="DL471" s="52"/>
      <c r="DM471" s="52">
        <v>51</v>
      </c>
      <c r="DN471" s="52">
        <v>0</v>
      </c>
      <c r="DO471" s="52">
        <v>0</v>
      </c>
      <c r="DP471" s="52">
        <v>0</v>
      </c>
      <c r="DQ471" s="52">
        <v>0</v>
      </c>
      <c r="DR471" s="52">
        <v>0</v>
      </c>
      <c r="DS471" s="58">
        <v>0</v>
      </c>
      <c r="DT471" s="58">
        <v>0</v>
      </c>
      <c r="DU471" s="58">
        <v>0</v>
      </c>
      <c r="DV471" s="58">
        <v>0</v>
      </c>
      <c r="DW471" s="58"/>
      <c r="DX471" s="2"/>
      <c r="DY471" s="2"/>
      <c r="DZ471" s="46"/>
      <c r="EA471" s="46"/>
      <c r="EB471" s="46"/>
      <c r="EC471" s="46"/>
      <c r="ED471" s="46"/>
      <c r="EE471" s="46"/>
      <c r="EF471" s="46"/>
      <c r="EG471" s="46"/>
      <c r="EH471" s="46"/>
      <c r="EI471" s="46">
        <f t="shared" si="112"/>
        <v>51</v>
      </c>
    </row>
    <row r="472" spans="3:139">
      <c r="C472" s="56" t="s">
        <v>707</v>
      </c>
      <c r="D472" s="36" t="s">
        <v>708</v>
      </c>
      <c r="E472" s="36" t="s">
        <v>709</v>
      </c>
      <c r="F472" s="38">
        <f t="shared" si="111"/>
        <v>4176</v>
      </c>
      <c r="G472" s="57"/>
      <c r="H472" s="47"/>
      <c r="I472" s="48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8"/>
      <c r="U472" s="48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8"/>
      <c r="AG472" s="48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9"/>
      <c r="CO472" s="59"/>
      <c r="CP472" s="59"/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1">
        <v>44</v>
      </c>
      <c r="DD472" s="51">
        <v>4</v>
      </c>
      <c r="DE472" s="51">
        <v>375</v>
      </c>
      <c r="DF472" s="52">
        <v>161</v>
      </c>
      <c r="DG472" s="52">
        <v>30</v>
      </c>
      <c r="DH472" s="52">
        <v>27</v>
      </c>
      <c r="DI472" s="52">
        <v>427</v>
      </c>
      <c r="DJ472" s="52">
        <v>48</v>
      </c>
      <c r="DK472" s="52">
        <v>-5</v>
      </c>
      <c r="DL472" s="52">
        <v>22</v>
      </c>
      <c r="DM472" s="52">
        <v>3053</v>
      </c>
      <c r="DN472" s="52">
        <v>-10</v>
      </c>
      <c r="DO472" s="52">
        <v>0</v>
      </c>
      <c r="DP472" s="52">
        <v>0</v>
      </c>
      <c r="DQ472" s="52">
        <v>0</v>
      </c>
      <c r="DR472" s="52">
        <v>-3</v>
      </c>
      <c r="DS472" s="58">
        <v>0</v>
      </c>
      <c r="DT472" s="58">
        <v>0</v>
      </c>
      <c r="DU472" s="58">
        <v>0</v>
      </c>
      <c r="DV472" s="58">
        <v>0</v>
      </c>
      <c r="DW472" s="58"/>
      <c r="DX472" s="2"/>
      <c r="DY472" s="2"/>
      <c r="DZ472" s="46"/>
      <c r="EA472" s="46"/>
      <c r="EB472" s="46"/>
      <c r="EC472" s="46"/>
      <c r="ED472" s="46"/>
      <c r="EE472" s="46"/>
      <c r="EF472" s="46"/>
      <c r="EG472" s="46"/>
      <c r="EH472" s="46">
        <f t="shared" si="110"/>
        <v>1116</v>
      </c>
      <c r="EI472" s="46">
        <f t="shared" si="112"/>
        <v>3065</v>
      </c>
    </row>
    <row r="473" spans="3:139">
      <c r="C473" s="56" t="s">
        <v>710</v>
      </c>
      <c r="D473" s="36" t="s">
        <v>832</v>
      </c>
      <c r="E473" s="36" t="s">
        <v>709</v>
      </c>
      <c r="F473" s="38">
        <f t="shared" si="111"/>
        <v>45759</v>
      </c>
      <c r="G473" s="57"/>
      <c r="H473" s="47"/>
      <c r="I473" s="48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8"/>
      <c r="U473" s="48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8"/>
      <c r="AG473" s="48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9"/>
      <c r="CO473" s="59"/>
      <c r="CP473" s="59"/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1">
        <v>1221</v>
      </c>
      <c r="DD473" s="51">
        <v>261</v>
      </c>
      <c r="DE473" s="51">
        <v>1491</v>
      </c>
      <c r="DF473" s="52">
        <v>3300</v>
      </c>
      <c r="DG473" s="52">
        <v>2816</v>
      </c>
      <c r="DH473" s="52">
        <v>2567</v>
      </c>
      <c r="DI473" s="52">
        <v>5986</v>
      </c>
      <c r="DJ473" s="52">
        <v>3667</v>
      </c>
      <c r="DK473" s="52">
        <v>1673</v>
      </c>
      <c r="DL473" s="52">
        <v>8141</v>
      </c>
      <c r="DM473" s="52">
        <v>3260</v>
      </c>
      <c r="DN473" s="52">
        <v>3371</v>
      </c>
      <c r="DO473" s="52">
        <v>1805</v>
      </c>
      <c r="DP473" s="52">
        <v>2842</v>
      </c>
      <c r="DQ473" s="52">
        <v>3358</v>
      </c>
      <c r="DR473" s="52">
        <v>4353</v>
      </c>
      <c r="DS473" s="58">
        <v>3268</v>
      </c>
      <c r="DT473" s="58">
        <v>3268</v>
      </c>
      <c r="DU473" s="58">
        <v>4268</v>
      </c>
      <c r="DV473" s="58">
        <v>2268</v>
      </c>
      <c r="DW473" s="58"/>
      <c r="DX473" s="2"/>
      <c r="DY473" s="2"/>
      <c r="DZ473" s="46"/>
      <c r="EA473" s="46"/>
      <c r="EB473" s="46"/>
      <c r="EC473" s="46"/>
      <c r="ED473" s="46"/>
      <c r="EE473" s="46"/>
      <c r="EF473" s="46"/>
      <c r="EG473" s="46"/>
      <c r="EH473" s="46">
        <f t="shared" si="110"/>
        <v>21309</v>
      </c>
      <c r="EI473" s="46">
        <f t="shared" si="112"/>
        <v>16577</v>
      </c>
    </row>
    <row r="474" spans="3:139">
      <c r="C474" s="56" t="s">
        <v>711</v>
      </c>
      <c r="D474" s="36" t="s">
        <v>708</v>
      </c>
      <c r="E474" s="36" t="s">
        <v>709</v>
      </c>
      <c r="F474" s="38">
        <f t="shared" si="111"/>
        <v>6350</v>
      </c>
      <c r="G474" s="57"/>
      <c r="H474" s="47"/>
      <c r="I474" s="48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8"/>
      <c r="U474" s="48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8"/>
      <c r="AG474" s="48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1">
        <v>47</v>
      </c>
      <c r="DD474" s="51">
        <v>2</v>
      </c>
      <c r="DE474" s="51">
        <v>0</v>
      </c>
      <c r="DF474" s="52">
        <v>4632</v>
      </c>
      <c r="DG474" s="52">
        <v>35</v>
      </c>
      <c r="DH474" s="52">
        <v>120</v>
      </c>
      <c r="DI474" s="52">
        <v>236</v>
      </c>
      <c r="DJ474" s="52">
        <v>595</v>
      </c>
      <c r="DK474" s="52">
        <v>9</v>
      </c>
      <c r="DL474" s="52">
        <v>691</v>
      </c>
      <c r="DM474" s="52">
        <v>0</v>
      </c>
      <c r="DN474" s="52">
        <v>-17</v>
      </c>
      <c r="DO474" s="52">
        <v>0</v>
      </c>
      <c r="DP474" s="52">
        <v>0</v>
      </c>
      <c r="DQ474" s="52">
        <v>0</v>
      </c>
      <c r="DR474" s="52">
        <v>-1</v>
      </c>
      <c r="DS474" s="58">
        <v>0</v>
      </c>
      <c r="DT474" s="58">
        <v>0</v>
      </c>
      <c r="DU474" s="58">
        <v>0</v>
      </c>
      <c r="DV474" s="58">
        <v>0</v>
      </c>
      <c r="DW474" s="58"/>
      <c r="DX474" s="2"/>
      <c r="DY474" s="2"/>
      <c r="DZ474" s="46"/>
      <c r="EA474" s="46"/>
      <c r="EB474" s="46"/>
      <c r="EC474" s="46"/>
      <c r="ED474" s="46"/>
      <c r="EE474" s="46"/>
      <c r="EF474" s="46"/>
      <c r="EG474" s="46"/>
      <c r="EH474" s="46">
        <f t="shared" si="110"/>
        <v>5667</v>
      </c>
      <c r="EI474" s="46">
        <f t="shared" si="112"/>
        <v>674</v>
      </c>
    </row>
    <row r="475" spans="3:139">
      <c r="C475" s="56" t="s">
        <v>712</v>
      </c>
      <c r="D475" s="36" t="s">
        <v>708</v>
      </c>
      <c r="E475" s="36" t="s">
        <v>709</v>
      </c>
      <c r="F475" s="38">
        <f t="shared" si="111"/>
        <v>71146</v>
      </c>
      <c r="G475" s="57"/>
      <c r="H475" s="47"/>
      <c r="I475" s="48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8"/>
      <c r="U475" s="48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8"/>
      <c r="AG475" s="48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1">
        <v>2580</v>
      </c>
      <c r="DD475" s="51">
        <v>2016</v>
      </c>
      <c r="DE475" s="51">
        <v>1165</v>
      </c>
      <c r="DF475" s="52">
        <v>4969</v>
      </c>
      <c r="DG475" s="52">
        <v>3537</v>
      </c>
      <c r="DH475" s="52">
        <v>5361</v>
      </c>
      <c r="DI475" s="52">
        <v>4892</v>
      </c>
      <c r="DJ475" s="52">
        <v>7680</v>
      </c>
      <c r="DK475" s="52">
        <v>5145</v>
      </c>
      <c r="DL475" s="52">
        <v>6874</v>
      </c>
      <c r="DM475" s="52">
        <v>7886</v>
      </c>
      <c r="DN475" s="52">
        <v>4748</v>
      </c>
      <c r="DO475" s="52">
        <v>3865</v>
      </c>
      <c r="DP475" s="52">
        <v>5286</v>
      </c>
      <c r="DQ475" s="52">
        <v>5142</v>
      </c>
      <c r="DR475" s="52">
        <v>4745</v>
      </c>
      <c r="DS475" s="58">
        <v>9079</v>
      </c>
      <c r="DT475" s="58">
        <v>9079</v>
      </c>
      <c r="DU475" s="58">
        <v>9079</v>
      </c>
      <c r="DV475" s="58">
        <v>7079</v>
      </c>
      <c r="DW475" s="58"/>
      <c r="DX475" s="2"/>
      <c r="DY475" s="2"/>
      <c r="DZ475" s="46"/>
      <c r="EA475" s="46"/>
      <c r="EB475" s="46"/>
      <c r="EC475" s="46"/>
      <c r="ED475" s="46"/>
      <c r="EE475" s="46"/>
      <c r="EF475" s="46"/>
      <c r="EG475" s="46"/>
      <c r="EH475" s="46">
        <f t="shared" si="110"/>
        <v>32200</v>
      </c>
      <c r="EI475" s="46">
        <f t="shared" si="112"/>
        <v>23373</v>
      </c>
    </row>
    <row r="476" spans="3:139">
      <c r="C476" s="56" t="s">
        <v>713</v>
      </c>
      <c r="D476" s="36" t="s">
        <v>708</v>
      </c>
      <c r="E476" s="36" t="s">
        <v>709</v>
      </c>
      <c r="F476" s="38">
        <f t="shared" si="111"/>
        <v>13570</v>
      </c>
      <c r="G476" s="57"/>
      <c r="H476" s="47"/>
      <c r="I476" s="48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8"/>
      <c r="U476" s="48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8"/>
      <c r="AG476" s="48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  <c r="BF476" s="49"/>
      <c r="BG476" s="49"/>
      <c r="BH476" s="49"/>
      <c r="BI476" s="49"/>
      <c r="BJ476" s="49"/>
      <c r="BK476" s="49"/>
      <c r="BL476" s="49"/>
      <c r="BM476" s="49"/>
      <c r="BN476" s="49"/>
      <c r="BO476" s="49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1"/>
      <c r="DD476" s="51"/>
      <c r="DE476" s="51"/>
      <c r="DF476" s="52"/>
      <c r="DG476" s="52"/>
      <c r="DH476" s="52"/>
      <c r="DI476" s="52"/>
      <c r="DJ476" s="52"/>
      <c r="DK476" s="52"/>
      <c r="DL476" s="52">
        <v>50</v>
      </c>
      <c r="DM476" s="52">
        <v>692</v>
      </c>
      <c r="DN476" s="52">
        <v>3167</v>
      </c>
      <c r="DO476" s="52">
        <v>4217</v>
      </c>
      <c r="DP476" s="52">
        <v>2941</v>
      </c>
      <c r="DQ476" s="52">
        <v>2503</v>
      </c>
      <c r="DR476" s="52">
        <v>3219</v>
      </c>
      <c r="DS476" s="58">
        <v>4382</v>
      </c>
      <c r="DT476" s="58">
        <v>4382</v>
      </c>
      <c r="DU476" s="58">
        <v>4382</v>
      </c>
      <c r="DV476" s="58">
        <v>2382</v>
      </c>
      <c r="DW476" s="58"/>
      <c r="DX476" s="2"/>
      <c r="DY476" s="2"/>
      <c r="DZ476" s="46"/>
      <c r="EA476" s="46"/>
      <c r="EB476" s="46"/>
      <c r="EC476" s="46"/>
      <c r="ED476" s="46"/>
      <c r="EE476" s="46"/>
      <c r="EF476" s="46"/>
      <c r="EG476" s="46"/>
      <c r="EH476" s="46"/>
      <c r="EI476" s="46">
        <f t="shared" si="112"/>
        <v>8126</v>
      </c>
    </row>
    <row r="477" spans="3:139">
      <c r="C477" s="56" t="s">
        <v>714</v>
      </c>
      <c r="D477" s="36" t="s">
        <v>677</v>
      </c>
      <c r="E477" s="36" t="s">
        <v>678</v>
      </c>
      <c r="F477" s="38">
        <f t="shared" si="111"/>
        <v>2080</v>
      </c>
      <c r="G477" s="57"/>
      <c r="H477" s="47"/>
      <c r="I477" s="48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8"/>
      <c r="U477" s="48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8"/>
      <c r="AG477" s="48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  <c r="BF477" s="49"/>
      <c r="BG477" s="49"/>
      <c r="BH477" s="49"/>
      <c r="BI477" s="49"/>
      <c r="BJ477" s="49"/>
      <c r="BK477" s="49"/>
      <c r="BL477" s="49"/>
      <c r="BM477" s="49"/>
      <c r="BN477" s="49"/>
      <c r="BO477" s="49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9"/>
      <c r="CO477" s="59"/>
      <c r="CP477" s="59"/>
      <c r="CQ477" s="59"/>
      <c r="CR477" s="59"/>
      <c r="CS477" s="59"/>
      <c r="CT477" s="59">
        <v>36</v>
      </c>
      <c r="CU477" s="59">
        <v>0</v>
      </c>
      <c r="CV477" s="59">
        <v>0</v>
      </c>
      <c r="CW477" s="59">
        <v>0</v>
      </c>
      <c r="CX477" s="59">
        <v>0</v>
      </c>
      <c r="CY477" s="59">
        <v>0</v>
      </c>
      <c r="CZ477" s="59">
        <v>0</v>
      </c>
      <c r="DA477" s="59">
        <v>0</v>
      </c>
      <c r="DB477" s="59">
        <v>0</v>
      </c>
      <c r="DC477" s="51">
        <v>0</v>
      </c>
      <c r="DD477" s="51">
        <v>0</v>
      </c>
      <c r="DE477" s="51">
        <v>0</v>
      </c>
      <c r="DF477" s="52">
        <v>0</v>
      </c>
      <c r="DG477" s="52">
        <v>0</v>
      </c>
      <c r="DH477" s="52">
        <v>0</v>
      </c>
      <c r="DI477" s="52">
        <v>0</v>
      </c>
      <c r="DJ477" s="52">
        <v>0</v>
      </c>
      <c r="DK477" s="52">
        <v>0</v>
      </c>
      <c r="DL477" s="52">
        <v>0</v>
      </c>
      <c r="DM477" s="52">
        <v>1318</v>
      </c>
      <c r="DN477" s="52">
        <v>409</v>
      </c>
      <c r="DO477" s="52">
        <v>305</v>
      </c>
      <c r="DP477" s="52">
        <v>12</v>
      </c>
      <c r="DQ477" s="52">
        <v>0</v>
      </c>
      <c r="DR477" s="52">
        <v>0</v>
      </c>
      <c r="DS477" s="58">
        <v>14</v>
      </c>
      <c r="DT477" s="58">
        <v>14</v>
      </c>
      <c r="DU477" s="58">
        <v>14</v>
      </c>
      <c r="DV477" s="58">
        <v>14</v>
      </c>
      <c r="DW477" s="58"/>
      <c r="DX477" s="2"/>
      <c r="DY477" s="2"/>
      <c r="DZ477" s="46">
        <f t="shared" ref="DZ477:DZ487" si="113">SUM(H477:S477)</f>
        <v>0</v>
      </c>
      <c r="EA477" s="46">
        <f t="shared" ref="EA477:EA487" si="114">SUM(T477:AE477)</f>
        <v>0</v>
      </c>
      <c r="EB477" s="46">
        <f t="shared" ref="EB477:EB487" si="115">SUM(AF477:AQ477)</f>
        <v>0</v>
      </c>
      <c r="EC477" s="46">
        <f t="shared" ref="EC477:EC487" si="116">SUM(AR477:BC477)</f>
        <v>0</v>
      </c>
      <c r="ED477" s="46">
        <f t="shared" ref="ED477:ED487" si="117">SUM(BD477:BO477)</f>
        <v>0</v>
      </c>
      <c r="EE477" s="46">
        <f t="shared" ref="EE477:EE487" si="118">SUM(BP477:CA477)</f>
        <v>0</v>
      </c>
      <c r="EF477" s="46">
        <f t="shared" ref="EF477:EF487" si="119">SUM(CB477:CM477)</f>
        <v>0</v>
      </c>
      <c r="EG477" s="46">
        <f t="shared" ref="EG477:EG487" si="120">SUM(CN477:CY477)</f>
        <v>36</v>
      </c>
      <c r="EH477" s="46">
        <f t="shared" ref="EH477:EH487" si="121">SUM(CZ477:DJ477)</f>
        <v>0</v>
      </c>
      <c r="EI477" s="46">
        <f t="shared" si="112"/>
        <v>2032</v>
      </c>
    </row>
    <row r="478" spans="3:139">
      <c r="C478" s="56" t="s">
        <v>715</v>
      </c>
      <c r="D478" s="36" t="s">
        <v>677</v>
      </c>
      <c r="E478" s="36" t="s">
        <v>678</v>
      </c>
      <c r="F478" s="38">
        <f t="shared" si="111"/>
        <v>0</v>
      </c>
      <c r="G478" s="57"/>
      <c r="H478" s="47"/>
      <c r="I478" s="48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8"/>
      <c r="U478" s="48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8"/>
      <c r="AG478" s="48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  <c r="BF478" s="49"/>
      <c r="BG478" s="49"/>
      <c r="BH478" s="49"/>
      <c r="BI478" s="49"/>
      <c r="BJ478" s="49"/>
      <c r="BK478" s="49"/>
      <c r="BL478" s="49"/>
      <c r="BM478" s="49"/>
      <c r="BN478" s="49"/>
      <c r="BO478" s="49"/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1"/>
      <c r="DD478" s="51"/>
      <c r="DE478" s="51"/>
      <c r="DF478" s="52"/>
      <c r="DG478" s="52"/>
      <c r="DH478" s="52"/>
      <c r="DI478" s="52"/>
      <c r="DJ478" s="52"/>
      <c r="DK478" s="52"/>
      <c r="DL478" s="52"/>
      <c r="DM478" s="52"/>
      <c r="DN478" s="52"/>
      <c r="DO478" s="52"/>
      <c r="DP478" s="52"/>
      <c r="DQ478" s="52"/>
      <c r="DR478" s="52"/>
      <c r="DS478" s="58">
        <v>0</v>
      </c>
      <c r="DT478" s="58">
        <v>0</v>
      </c>
      <c r="DU478" s="58">
        <v>0</v>
      </c>
      <c r="DV478" s="58">
        <v>0</v>
      </c>
      <c r="DW478" s="58"/>
      <c r="DX478" s="2"/>
      <c r="DY478" s="2"/>
      <c r="DZ478" s="46"/>
      <c r="EA478" s="46"/>
      <c r="EB478" s="46"/>
      <c r="EC478" s="46"/>
      <c r="ED478" s="46"/>
      <c r="EE478" s="46"/>
      <c r="EF478" s="46"/>
      <c r="EG478" s="46"/>
      <c r="EH478" s="46"/>
      <c r="EI478" s="46">
        <f t="shared" si="112"/>
        <v>0</v>
      </c>
    </row>
    <row r="479" spans="3:139">
      <c r="C479" s="56" t="s">
        <v>716</v>
      </c>
      <c r="D479" s="36" t="s">
        <v>717</v>
      </c>
      <c r="E479" s="36" t="s">
        <v>718</v>
      </c>
      <c r="F479" s="38">
        <f t="shared" si="111"/>
        <v>2043</v>
      </c>
      <c r="G479" s="57"/>
      <c r="H479" s="47"/>
      <c r="I479" s="48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8"/>
      <c r="U479" s="48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8"/>
      <c r="AG479" s="48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  <c r="BF479" s="49"/>
      <c r="BG479" s="49"/>
      <c r="BH479" s="49"/>
      <c r="BI479" s="49"/>
      <c r="BJ479" s="49"/>
      <c r="BK479" s="49"/>
      <c r="BL479" s="49"/>
      <c r="BM479" s="49"/>
      <c r="BN479" s="49"/>
      <c r="BO479" s="49"/>
      <c r="BP479" s="50"/>
      <c r="BQ479" s="50"/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9"/>
      <c r="CO479" s="59"/>
      <c r="CP479" s="59"/>
      <c r="CQ479" s="59"/>
      <c r="CR479" s="59"/>
      <c r="CS479" s="59"/>
      <c r="CT479" s="59">
        <v>87</v>
      </c>
      <c r="CU479" s="59">
        <v>7</v>
      </c>
      <c r="CV479" s="59">
        <v>0</v>
      </c>
      <c r="CW479" s="59">
        <v>0</v>
      </c>
      <c r="CX479" s="59">
        <v>0</v>
      </c>
      <c r="CY479" s="59">
        <v>0</v>
      </c>
      <c r="CZ479" s="59">
        <v>0</v>
      </c>
      <c r="DA479" s="59">
        <v>0</v>
      </c>
      <c r="DB479" s="59">
        <v>0</v>
      </c>
      <c r="DC479" s="51">
        <v>0</v>
      </c>
      <c r="DD479" s="51">
        <v>0</v>
      </c>
      <c r="DE479" s="51">
        <v>0</v>
      </c>
      <c r="DF479" s="52">
        <v>0</v>
      </c>
      <c r="DG479" s="52">
        <v>0</v>
      </c>
      <c r="DH479" s="52">
        <v>0</v>
      </c>
      <c r="DI479" s="52">
        <v>0</v>
      </c>
      <c r="DJ479" s="52">
        <v>0</v>
      </c>
      <c r="DK479" s="52">
        <v>14</v>
      </c>
      <c r="DL479" s="52">
        <v>0</v>
      </c>
      <c r="DM479" s="52">
        <v>1381</v>
      </c>
      <c r="DN479" s="52">
        <v>391</v>
      </c>
      <c r="DO479" s="52">
        <v>143</v>
      </c>
      <c r="DP479" s="52">
        <v>20</v>
      </c>
      <c r="DQ479" s="52">
        <v>0</v>
      </c>
      <c r="DR479" s="52">
        <v>0</v>
      </c>
      <c r="DS479" s="58">
        <v>23</v>
      </c>
      <c r="DT479" s="58">
        <v>23</v>
      </c>
      <c r="DU479" s="58">
        <v>23</v>
      </c>
      <c r="DV479" s="58">
        <v>23</v>
      </c>
      <c r="DW479" s="58"/>
      <c r="DX479" s="2"/>
      <c r="DY479" s="2"/>
      <c r="DZ479" s="46">
        <f t="shared" si="113"/>
        <v>0</v>
      </c>
      <c r="EA479" s="46">
        <f t="shared" si="114"/>
        <v>0</v>
      </c>
      <c r="EB479" s="46">
        <f t="shared" si="115"/>
        <v>0</v>
      </c>
      <c r="EC479" s="46">
        <f t="shared" si="116"/>
        <v>0</v>
      </c>
      <c r="ED479" s="46">
        <f t="shared" si="117"/>
        <v>0</v>
      </c>
      <c r="EE479" s="46">
        <f t="shared" si="118"/>
        <v>0</v>
      </c>
      <c r="EF479" s="46">
        <f t="shared" si="119"/>
        <v>0</v>
      </c>
      <c r="EG479" s="46">
        <f t="shared" si="120"/>
        <v>94</v>
      </c>
      <c r="EH479" s="46">
        <f t="shared" si="121"/>
        <v>0</v>
      </c>
      <c r="EI479" s="46">
        <f t="shared" si="112"/>
        <v>1915</v>
      </c>
    </row>
    <row r="480" spans="3:139">
      <c r="C480" s="56" t="s">
        <v>719</v>
      </c>
      <c r="D480" s="36" t="s">
        <v>717</v>
      </c>
      <c r="E480" s="36" t="s">
        <v>718</v>
      </c>
      <c r="F480" s="38">
        <f t="shared" si="111"/>
        <v>0</v>
      </c>
      <c r="G480" s="57"/>
      <c r="H480" s="47"/>
      <c r="I480" s="48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8"/>
      <c r="U480" s="48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8"/>
      <c r="AG480" s="48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  <c r="BF480" s="49"/>
      <c r="BG480" s="49"/>
      <c r="BH480" s="49"/>
      <c r="BI480" s="49"/>
      <c r="BJ480" s="49"/>
      <c r="BK480" s="49"/>
      <c r="BL480" s="49"/>
      <c r="BM480" s="49"/>
      <c r="BN480" s="49"/>
      <c r="BO480" s="49"/>
      <c r="BP480" s="50"/>
      <c r="BQ480" s="50"/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/>
      <c r="CY480" s="59"/>
      <c r="CZ480" s="59"/>
      <c r="DA480" s="59"/>
      <c r="DB480" s="59"/>
      <c r="DC480" s="51"/>
      <c r="DD480" s="51"/>
      <c r="DE480" s="51"/>
      <c r="DF480" s="52"/>
      <c r="DG480" s="52"/>
      <c r="DH480" s="52"/>
      <c r="DI480" s="52"/>
      <c r="DJ480" s="52"/>
      <c r="DK480" s="52"/>
      <c r="DL480" s="52"/>
      <c r="DM480" s="52"/>
      <c r="DN480" s="52">
        <v>0</v>
      </c>
      <c r="DO480" s="52">
        <v>0</v>
      </c>
      <c r="DP480" s="52">
        <v>0</v>
      </c>
      <c r="DQ480" s="52">
        <v>0</v>
      </c>
      <c r="DR480" s="52">
        <v>0</v>
      </c>
      <c r="DS480" s="58">
        <v>0</v>
      </c>
      <c r="DT480" s="58">
        <v>0</v>
      </c>
      <c r="DU480" s="58">
        <v>0</v>
      </c>
      <c r="DV480" s="58">
        <v>0</v>
      </c>
      <c r="DW480" s="58"/>
      <c r="DX480" s="2"/>
      <c r="DY480" s="2"/>
      <c r="DZ480" s="46"/>
      <c r="EA480" s="46"/>
      <c r="EB480" s="46"/>
      <c r="EC480" s="46"/>
      <c r="ED480" s="46"/>
      <c r="EE480" s="46"/>
      <c r="EF480" s="46"/>
      <c r="EG480" s="46"/>
      <c r="EH480" s="46"/>
      <c r="EI480" s="46">
        <f t="shared" si="112"/>
        <v>0</v>
      </c>
    </row>
    <row r="481" spans="3:139">
      <c r="C481" s="56" t="s">
        <v>720</v>
      </c>
      <c r="D481" s="36" t="s">
        <v>212</v>
      </c>
      <c r="E481" s="36"/>
      <c r="F481" s="38">
        <f t="shared" si="111"/>
        <v>0</v>
      </c>
      <c r="G481" s="57"/>
      <c r="H481" s="47"/>
      <c r="I481" s="48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8"/>
      <c r="U481" s="48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8"/>
      <c r="AG481" s="48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  <c r="BF481" s="49"/>
      <c r="BG481" s="49"/>
      <c r="BH481" s="49"/>
      <c r="BI481" s="49"/>
      <c r="BJ481" s="49"/>
      <c r="BK481" s="49"/>
      <c r="BL481" s="49"/>
      <c r="BM481" s="49"/>
      <c r="BN481" s="49"/>
      <c r="BO481" s="49"/>
      <c r="BP481" s="50"/>
      <c r="BQ481" s="50"/>
      <c r="BR481" s="50"/>
      <c r="BS481" s="50"/>
      <c r="BT481" s="50"/>
      <c r="BU481" s="50"/>
      <c r="BV481" s="50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>
        <v>0</v>
      </c>
      <c r="CY481" s="59">
        <v>0</v>
      </c>
      <c r="CZ481" s="59">
        <v>0</v>
      </c>
      <c r="DA481" s="59">
        <v>0</v>
      </c>
      <c r="DB481" s="59"/>
      <c r="DC481" s="51">
        <v>0</v>
      </c>
      <c r="DD481" s="51">
        <v>0</v>
      </c>
      <c r="DE481" s="51">
        <v>0</v>
      </c>
      <c r="DF481" s="52">
        <v>0</v>
      </c>
      <c r="DG481" s="52">
        <v>0</v>
      </c>
      <c r="DH481" s="52">
        <v>0</v>
      </c>
      <c r="DI481" s="52">
        <v>0</v>
      </c>
      <c r="DJ481" s="52">
        <v>0</v>
      </c>
      <c r="DK481" s="52">
        <v>0</v>
      </c>
      <c r="DL481" s="52">
        <v>0</v>
      </c>
      <c r="DM481" s="52">
        <v>0</v>
      </c>
      <c r="DN481" s="52">
        <v>0</v>
      </c>
      <c r="DO481" s="52">
        <v>0</v>
      </c>
      <c r="DP481" s="52">
        <v>0</v>
      </c>
      <c r="DQ481" s="52">
        <v>0</v>
      </c>
      <c r="DR481" s="52">
        <v>0</v>
      </c>
      <c r="DS481" s="58">
        <v>0</v>
      </c>
      <c r="DT481" s="58">
        <v>0</v>
      </c>
      <c r="DU481" s="58">
        <v>0</v>
      </c>
      <c r="DV481" s="58">
        <v>0</v>
      </c>
      <c r="DW481" s="58"/>
      <c r="DX481" s="2"/>
      <c r="DY481" s="2"/>
      <c r="DZ481" s="46">
        <f t="shared" si="113"/>
        <v>0</v>
      </c>
      <c r="EA481" s="46">
        <f t="shared" si="114"/>
        <v>0</v>
      </c>
      <c r="EB481" s="46">
        <f t="shared" si="115"/>
        <v>0</v>
      </c>
      <c r="EC481" s="46">
        <f t="shared" si="116"/>
        <v>0</v>
      </c>
      <c r="ED481" s="46">
        <f t="shared" si="117"/>
        <v>0</v>
      </c>
      <c r="EE481" s="46">
        <f t="shared" si="118"/>
        <v>0</v>
      </c>
      <c r="EF481" s="46">
        <f t="shared" si="119"/>
        <v>0</v>
      </c>
      <c r="EG481" s="46">
        <f t="shared" si="120"/>
        <v>0</v>
      </c>
      <c r="EH481" s="46">
        <f t="shared" si="121"/>
        <v>0</v>
      </c>
      <c r="EI481" s="46">
        <f t="shared" si="112"/>
        <v>0</v>
      </c>
    </row>
    <row r="482" spans="3:139">
      <c r="C482" s="56" t="s">
        <v>721</v>
      </c>
      <c r="D482" s="36" t="s">
        <v>212</v>
      </c>
      <c r="E482" s="36"/>
      <c r="F482" s="38">
        <f t="shared" si="111"/>
        <v>0</v>
      </c>
      <c r="G482" s="57"/>
      <c r="H482" s="47"/>
      <c r="I482" s="48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8"/>
      <c r="U482" s="48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8"/>
      <c r="AG482" s="48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  <c r="BF482" s="49"/>
      <c r="BG482" s="49"/>
      <c r="BH482" s="49"/>
      <c r="BI482" s="49"/>
      <c r="BJ482" s="49"/>
      <c r="BK482" s="49"/>
      <c r="BL482" s="49"/>
      <c r="BM482" s="49"/>
      <c r="BN482" s="49"/>
      <c r="BO482" s="49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>
        <v>0</v>
      </c>
      <c r="CY482" s="59">
        <v>0</v>
      </c>
      <c r="CZ482" s="59">
        <v>0</v>
      </c>
      <c r="DA482" s="59">
        <v>0</v>
      </c>
      <c r="DB482" s="59"/>
      <c r="DC482" s="51">
        <v>0</v>
      </c>
      <c r="DD482" s="51">
        <v>0</v>
      </c>
      <c r="DE482" s="51">
        <v>0</v>
      </c>
      <c r="DF482" s="52">
        <v>0</v>
      </c>
      <c r="DG482" s="52">
        <v>0</v>
      </c>
      <c r="DH482" s="52">
        <v>0</v>
      </c>
      <c r="DI482" s="52">
        <v>0</v>
      </c>
      <c r="DJ482" s="52">
        <v>0</v>
      </c>
      <c r="DK482" s="52">
        <v>0</v>
      </c>
      <c r="DL482" s="52">
        <v>0</v>
      </c>
      <c r="DM482" s="52">
        <v>0</v>
      </c>
      <c r="DN482" s="52">
        <v>0</v>
      </c>
      <c r="DO482" s="52">
        <v>0</v>
      </c>
      <c r="DP482" s="52">
        <v>0</v>
      </c>
      <c r="DQ482" s="52">
        <v>0</v>
      </c>
      <c r="DR482" s="52">
        <v>0</v>
      </c>
      <c r="DS482" s="58">
        <v>0</v>
      </c>
      <c r="DT482" s="58">
        <v>0</v>
      </c>
      <c r="DU482" s="58">
        <v>0</v>
      </c>
      <c r="DV482" s="58">
        <v>0</v>
      </c>
      <c r="DW482" s="58"/>
      <c r="DX482" s="2"/>
      <c r="DY482" s="2"/>
      <c r="DZ482" s="46">
        <f t="shared" si="113"/>
        <v>0</v>
      </c>
      <c r="EA482" s="46">
        <f t="shared" si="114"/>
        <v>0</v>
      </c>
      <c r="EB482" s="46">
        <f t="shared" si="115"/>
        <v>0</v>
      </c>
      <c r="EC482" s="46">
        <f t="shared" si="116"/>
        <v>0</v>
      </c>
      <c r="ED482" s="46">
        <f t="shared" si="117"/>
        <v>0</v>
      </c>
      <c r="EE482" s="46">
        <f t="shared" si="118"/>
        <v>0</v>
      </c>
      <c r="EF482" s="46">
        <f t="shared" si="119"/>
        <v>0</v>
      </c>
      <c r="EG482" s="46">
        <f t="shared" si="120"/>
        <v>0</v>
      </c>
      <c r="EH482" s="46">
        <f t="shared" si="121"/>
        <v>0</v>
      </c>
      <c r="EI482" s="46">
        <f t="shared" si="112"/>
        <v>0</v>
      </c>
    </row>
    <row r="483" spans="3:139">
      <c r="C483" s="36" t="s">
        <v>722</v>
      </c>
      <c r="D483" s="36" t="s">
        <v>723</v>
      </c>
      <c r="E483" s="36" t="s">
        <v>723</v>
      </c>
      <c r="F483" s="38">
        <f t="shared" si="111"/>
        <v>766842</v>
      </c>
      <c r="G483" s="12" t="s">
        <v>724</v>
      </c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2"/>
      <c r="AZ483" s="62"/>
      <c r="BA483" s="62"/>
      <c r="BB483" s="62"/>
      <c r="BC483" s="62"/>
      <c r="BD483" s="63"/>
      <c r="BE483" s="63"/>
      <c r="BF483" s="63"/>
      <c r="BG483" s="63"/>
      <c r="BH483" s="63">
        <v>79480</v>
      </c>
      <c r="BI483" s="63">
        <v>79200</v>
      </c>
      <c r="BJ483" s="63">
        <v>57935</v>
      </c>
      <c r="BK483" s="63">
        <v>57111</v>
      </c>
      <c r="BL483" s="63">
        <v>59760</v>
      </c>
      <c r="BM483" s="63">
        <v>49320</v>
      </c>
      <c r="BN483" s="63">
        <v>49600</v>
      </c>
      <c r="BO483" s="63">
        <v>33480</v>
      </c>
      <c r="BP483" s="63">
        <v>51480</v>
      </c>
      <c r="BQ483" s="63">
        <v>55080</v>
      </c>
      <c r="BR483" s="63">
        <v>60480</v>
      </c>
      <c r="BS483" s="63">
        <v>46080</v>
      </c>
      <c r="BT483" s="63">
        <v>47160</v>
      </c>
      <c r="BU483" s="63">
        <v>40320</v>
      </c>
      <c r="BV483" s="63">
        <v>356</v>
      </c>
      <c r="BW483" s="63">
        <v>0</v>
      </c>
      <c r="BX483" s="63"/>
      <c r="BY483" s="63"/>
      <c r="BZ483" s="63"/>
      <c r="CA483" s="63">
        <v>0</v>
      </c>
      <c r="CB483" s="63">
        <v>0</v>
      </c>
      <c r="CC483" s="63">
        <v>0</v>
      </c>
      <c r="CD483" s="63">
        <v>0</v>
      </c>
      <c r="CE483" s="63">
        <v>0</v>
      </c>
      <c r="CF483" s="63">
        <v>0</v>
      </c>
      <c r="CG483" s="63"/>
      <c r="CH483" s="63">
        <v>0</v>
      </c>
      <c r="CI483" s="63">
        <v>0</v>
      </c>
      <c r="CJ483" s="63">
        <v>0</v>
      </c>
      <c r="CK483" s="63">
        <v>0</v>
      </c>
      <c r="CL483" s="63">
        <v>0</v>
      </c>
      <c r="CM483" s="63">
        <v>0</v>
      </c>
      <c r="CN483" s="63">
        <v>0</v>
      </c>
      <c r="CO483" s="63">
        <v>0</v>
      </c>
      <c r="CP483" s="63">
        <v>0</v>
      </c>
      <c r="CQ483" s="63">
        <v>0</v>
      </c>
      <c r="CR483" s="63">
        <v>0</v>
      </c>
      <c r="CS483" s="63">
        <v>0</v>
      </c>
      <c r="CT483" s="63">
        <v>0</v>
      </c>
      <c r="CU483" s="63">
        <v>0</v>
      </c>
      <c r="CV483" s="63">
        <v>0</v>
      </c>
      <c r="CW483" s="63">
        <v>0</v>
      </c>
      <c r="CX483" s="63">
        <v>0</v>
      </c>
      <c r="CY483" s="63">
        <v>0</v>
      </c>
      <c r="CZ483" s="63">
        <v>0</v>
      </c>
      <c r="DA483" s="63">
        <v>0</v>
      </c>
      <c r="DB483" s="63">
        <v>0</v>
      </c>
      <c r="DC483" s="51">
        <v>0</v>
      </c>
      <c r="DD483" s="51">
        <v>0</v>
      </c>
      <c r="DE483" s="51">
        <v>0</v>
      </c>
      <c r="DF483" s="52">
        <v>0</v>
      </c>
      <c r="DG483" s="52">
        <v>0</v>
      </c>
      <c r="DH483" s="52">
        <v>0</v>
      </c>
      <c r="DI483" s="52">
        <v>0</v>
      </c>
      <c r="DJ483" s="52">
        <v>0</v>
      </c>
      <c r="DK483" s="52">
        <v>0</v>
      </c>
      <c r="DL483" s="52">
        <v>0</v>
      </c>
      <c r="DM483" s="52">
        <v>0</v>
      </c>
      <c r="DN483" s="52">
        <v>0</v>
      </c>
      <c r="DO483" s="52">
        <v>0</v>
      </c>
      <c r="DP483" s="52">
        <v>0</v>
      </c>
      <c r="DQ483" s="52">
        <v>0</v>
      </c>
      <c r="DR483" s="52">
        <v>0</v>
      </c>
      <c r="DS483" s="64">
        <v>0</v>
      </c>
      <c r="DT483" s="64">
        <v>0</v>
      </c>
      <c r="DU483" s="64">
        <v>0</v>
      </c>
      <c r="DV483" s="64">
        <v>0</v>
      </c>
      <c r="DW483" s="64">
        <v>0</v>
      </c>
      <c r="DX483" s="2"/>
      <c r="DY483" s="2"/>
      <c r="DZ483" s="46">
        <f t="shared" si="113"/>
        <v>0</v>
      </c>
      <c r="EA483" s="46">
        <f t="shared" si="114"/>
        <v>0</v>
      </c>
      <c r="EB483" s="46">
        <f t="shared" si="115"/>
        <v>0</v>
      </c>
      <c r="EC483" s="46">
        <f t="shared" si="116"/>
        <v>0</v>
      </c>
      <c r="ED483" s="46">
        <f t="shared" si="117"/>
        <v>465886</v>
      </c>
      <c r="EE483" s="46">
        <f t="shared" si="118"/>
        <v>300956</v>
      </c>
      <c r="EF483" s="46">
        <f t="shared" si="119"/>
        <v>0</v>
      </c>
      <c r="EG483" s="46">
        <f t="shared" si="120"/>
        <v>0</v>
      </c>
      <c r="EH483" s="46">
        <f t="shared" si="121"/>
        <v>0</v>
      </c>
      <c r="EI483" s="46">
        <f t="shared" si="112"/>
        <v>0</v>
      </c>
    </row>
    <row r="484" spans="3:139">
      <c r="C484" s="36" t="s">
        <v>725</v>
      </c>
      <c r="D484" s="36" t="s">
        <v>723</v>
      </c>
      <c r="E484" s="36" t="s">
        <v>723</v>
      </c>
      <c r="F484" s="38">
        <f t="shared" si="111"/>
        <v>438155</v>
      </c>
      <c r="G484" s="12" t="s">
        <v>724</v>
      </c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2"/>
      <c r="AZ484" s="62"/>
      <c r="BA484" s="62"/>
      <c r="BB484" s="62"/>
      <c r="BC484" s="62"/>
      <c r="BD484" s="63"/>
      <c r="BE484" s="63"/>
      <c r="BF484" s="63"/>
      <c r="BG484" s="63"/>
      <c r="BH484" s="63"/>
      <c r="BI484" s="63">
        <v>12870</v>
      </c>
      <c r="BJ484" s="63">
        <v>10760</v>
      </c>
      <c r="BK484" s="63">
        <v>27469</v>
      </c>
      <c r="BL484" s="63">
        <v>28880</v>
      </c>
      <c r="BM484" s="63">
        <v>33840</v>
      </c>
      <c r="BN484" s="63">
        <v>44640</v>
      </c>
      <c r="BO484" s="63">
        <v>28880</v>
      </c>
      <c r="BP484" s="63">
        <v>41400</v>
      </c>
      <c r="BQ484" s="63">
        <v>39960</v>
      </c>
      <c r="BR484" s="63">
        <v>42120</v>
      </c>
      <c r="BS484" s="63">
        <v>43560</v>
      </c>
      <c r="BT484" s="63">
        <v>35640</v>
      </c>
      <c r="BU484" s="63">
        <v>19632</v>
      </c>
      <c r="BV484" s="63"/>
      <c r="BW484" s="63">
        <v>0</v>
      </c>
      <c r="BX484" s="63">
        <v>18988</v>
      </c>
      <c r="BY484" s="63"/>
      <c r="BZ484" s="63">
        <v>9360</v>
      </c>
      <c r="CA484" s="63">
        <v>156</v>
      </c>
      <c r="CB484" s="63">
        <v>0</v>
      </c>
      <c r="CC484" s="63">
        <v>0</v>
      </c>
      <c r="CD484" s="63">
        <v>0</v>
      </c>
      <c r="CE484" s="63">
        <v>0</v>
      </c>
      <c r="CF484" s="63">
        <v>0</v>
      </c>
      <c r="CG484" s="63"/>
      <c r="CH484" s="63">
        <v>0</v>
      </c>
      <c r="CI484" s="63">
        <v>0</v>
      </c>
      <c r="CJ484" s="63">
        <v>0</v>
      </c>
      <c r="CK484" s="63">
        <v>0</v>
      </c>
      <c r="CL484" s="63">
        <v>0</v>
      </c>
      <c r="CM484" s="63">
        <v>0</v>
      </c>
      <c r="CN484" s="63">
        <v>0</v>
      </c>
      <c r="CO484" s="63">
        <v>0</v>
      </c>
      <c r="CP484" s="63">
        <v>0</v>
      </c>
      <c r="CQ484" s="63">
        <v>0</v>
      </c>
      <c r="CR484" s="63">
        <v>0</v>
      </c>
      <c r="CS484" s="63">
        <v>0</v>
      </c>
      <c r="CT484" s="63">
        <v>0</v>
      </c>
      <c r="CU484" s="63">
        <v>0</v>
      </c>
      <c r="CV484" s="63">
        <v>0</v>
      </c>
      <c r="CW484" s="63">
        <v>0</v>
      </c>
      <c r="CX484" s="63">
        <v>0</v>
      </c>
      <c r="CY484" s="63">
        <v>0</v>
      </c>
      <c r="CZ484" s="63">
        <v>0</v>
      </c>
      <c r="DA484" s="63">
        <v>0</v>
      </c>
      <c r="DB484" s="63">
        <v>0</v>
      </c>
      <c r="DC484" s="51">
        <v>0</v>
      </c>
      <c r="DD484" s="51">
        <v>0</v>
      </c>
      <c r="DE484" s="51">
        <v>0</v>
      </c>
      <c r="DF484" s="52">
        <v>0</v>
      </c>
      <c r="DG484" s="52">
        <v>0</v>
      </c>
      <c r="DH484" s="52">
        <v>0</v>
      </c>
      <c r="DI484" s="52">
        <v>0</v>
      </c>
      <c r="DJ484" s="52">
        <v>0</v>
      </c>
      <c r="DK484" s="52">
        <v>0</v>
      </c>
      <c r="DL484" s="52">
        <v>0</v>
      </c>
      <c r="DM484" s="52">
        <v>0</v>
      </c>
      <c r="DN484" s="52">
        <v>0</v>
      </c>
      <c r="DO484" s="52">
        <v>0</v>
      </c>
      <c r="DP484" s="52">
        <v>0</v>
      </c>
      <c r="DQ484" s="52">
        <v>0</v>
      </c>
      <c r="DR484" s="52">
        <v>0</v>
      </c>
      <c r="DS484" s="64">
        <v>0</v>
      </c>
      <c r="DT484" s="64">
        <v>0</v>
      </c>
      <c r="DU484" s="64">
        <v>0</v>
      </c>
      <c r="DV484" s="64">
        <v>0</v>
      </c>
      <c r="DW484" s="64">
        <v>0</v>
      </c>
      <c r="DX484" s="2"/>
      <c r="DY484" s="2"/>
      <c r="DZ484" s="46">
        <f t="shared" si="113"/>
        <v>0</v>
      </c>
      <c r="EA484" s="46">
        <f t="shared" si="114"/>
        <v>0</v>
      </c>
      <c r="EB484" s="46">
        <f t="shared" si="115"/>
        <v>0</v>
      </c>
      <c r="EC484" s="46">
        <f t="shared" si="116"/>
        <v>0</v>
      </c>
      <c r="ED484" s="46">
        <f t="shared" si="117"/>
        <v>187339</v>
      </c>
      <c r="EE484" s="46">
        <f t="shared" si="118"/>
        <v>250816</v>
      </c>
      <c r="EF484" s="46">
        <f t="shared" si="119"/>
        <v>0</v>
      </c>
      <c r="EG484" s="46">
        <f t="shared" si="120"/>
        <v>0</v>
      </c>
      <c r="EH484" s="46">
        <f t="shared" si="121"/>
        <v>0</v>
      </c>
      <c r="EI484" s="46">
        <f t="shared" si="112"/>
        <v>0</v>
      </c>
    </row>
    <row r="485" spans="3:139">
      <c r="C485" s="36" t="s">
        <v>726</v>
      </c>
      <c r="D485" s="36" t="s">
        <v>723</v>
      </c>
      <c r="E485" s="36" t="s">
        <v>723</v>
      </c>
      <c r="F485" s="38">
        <f t="shared" si="111"/>
        <v>267787</v>
      </c>
      <c r="G485" s="12" t="s">
        <v>724</v>
      </c>
      <c r="H485" s="61"/>
      <c r="I485" s="60"/>
      <c r="J485" s="65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5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5"/>
      <c r="AI485" s="60"/>
      <c r="AJ485" s="60"/>
      <c r="AK485" s="60"/>
      <c r="AL485" s="60"/>
      <c r="AM485" s="60"/>
      <c r="AN485" s="60"/>
      <c r="AO485" s="60"/>
      <c r="AP485" s="60"/>
      <c r="AQ485" s="60"/>
      <c r="AR485" s="65"/>
      <c r="AS485" s="65"/>
      <c r="AT485" s="65"/>
      <c r="AU485" s="65"/>
      <c r="AV485" s="65"/>
      <c r="AW485" s="65"/>
      <c r="AX485" s="65"/>
      <c r="AY485" s="66"/>
      <c r="AZ485" s="67"/>
      <c r="BA485" s="62"/>
      <c r="BB485" s="62"/>
      <c r="BC485" s="62"/>
      <c r="BD485" s="63"/>
      <c r="BE485" s="63"/>
      <c r="BF485" s="63"/>
      <c r="BG485" s="63"/>
      <c r="BH485" s="63">
        <v>10939</v>
      </c>
      <c r="BI485" s="63">
        <v>12400</v>
      </c>
      <c r="BJ485" s="63">
        <v>28755</v>
      </c>
      <c r="BK485" s="63">
        <v>16009</v>
      </c>
      <c r="BL485" s="63">
        <v>18000</v>
      </c>
      <c r="BM485" s="63">
        <v>20880</v>
      </c>
      <c r="BN485" s="63">
        <v>11520</v>
      </c>
      <c r="BO485" s="63">
        <v>9720</v>
      </c>
      <c r="BP485" s="63">
        <v>16920</v>
      </c>
      <c r="BQ485" s="63">
        <v>19800</v>
      </c>
      <c r="BR485" s="63">
        <v>21600</v>
      </c>
      <c r="BS485" s="63">
        <v>25560</v>
      </c>
      <c r="BT485" s="63">
        <v>18000</v>
      </c>
      <c r="BU485" s="63">
        <v>10271</v>
      </c>
      <c r="BV485" s="63"/>
      <c r="BW485" s="63">
        <v>0</v>
      </c>
      <c r="BX485" s="63">
        <v>10080</v>
      </c>
      <c r="BY485" s="63"/>
      <c r="BZ485" s="63">
        <v>2160</v>
      </c>
      <c r="CA485" s="63">
        <v>15173</v>
      </c>
      <c r="CB485" s="63">
        <v>0</v>
      </c>
      <c r="CC485" s="63">
        <v>0</v>
      </c>
      <c r="CD485" s="63">
        <v>0</v>
      </c>
      <c r="CE485" s="63">
        <v>0</v>
      </c>
      <c r="CF485" s="63">
        <v>0</v>
      </c>
      <c r="CG485" s="63"/>
      <c r="CH485" s="63">
        <v>0</v>
      </c>
      <c r="CI485" s="63">
        <v>0</v>
      </c>
      <c r="CJ485" s="63">
        <v>0</v>
      </c>
      <c r="CK485" s="63">
        <v>0</v>
      </c>
      <c r="CL485" s="63">
        <v>0</v>
      </c>
      <c r="CM485" s="63">
        <v>0</v>
      </c>
      <c r="CN485" s="63">
        <v>0</v>
      </c>
      <c r="CO485" s="63">
        <v>0</v>
      </c>
      <c r="CP485" s="63">
        <v>0</v>
      </c>
      <c r="CQ485" s="63">
        <v>0</v>
      </c>
      <c r="CR485" s="63">
        <v>0</v>
      </c>
      <c r="CS485" s="63">
        <v>0</v>
      </c>
      <c r="CT485" s="63">
        <v>0</v>
      </c>
      <c r="CU485" s="63">
        <v>0</v>
      </c>
      <c r="CV485" s="63">
        <v>0</v>
      </c>
      <c r="CW485" s="63">
        <v>0</v>
      </c>
      <c r="CX485" s="63">
        <v>0</v>
      </c>
      <c r="CY485" s="63">
        <v>0</v>
      </c>
      <c r="CZ485" s="63">
        <v>0</v>
      </c>
      <c r="DA485" s="63">
        <v>0</v>
      </c>
      <c r="DB485" s="63">
        <v>0</v>
      </c>
      <c r="DC485" s="51">
        <v>0</v>
      </c>
      <c r="DD485" s="51">
        <v>0</v>
      </c>
      <c r="DE485" s="51">
        <v>0</v>
      </c>
      <c r="DF485" s="52">
        <v>0</v>
      </c>
      <c r="DG485" s="52">
        <v>0</v>
      </c>
      <c r="DH485" s="52">
        <v>0</v>
      </c>
      <c r="DI485" s="52">
        <v>0</v>
      </c>
      <c r="DJ485" s="52">
        <v>0</v>
      </c>
      <c r="DK485" s="52">
        <v>0</v>
      </c>
      <c r="DL485" s="52">
        <v>0</v>
      </c>
      <c r="DM485" s="52">
        <v>0</v>
      </c>
      <c r="DN485" s="52">
        <v>0</v>
      </c>
      <c r="DO485" s="52">
        <v>0</v>
      </c>
      <c r="DP485" s="52">
        <v>0</v>
      </c>
      <c r="DQ485" s="52">
        <v>0</v>
      </c>
      <c r="DR485" s="52">
        <v>0</v>
      </c>
      <c r="DS485" s="64">
        <v>0</v>
      </c>
      <c r="DT485" s="64">
        <v>0</v>
      </c>
      <c r="DU485" s="64">
        <v>0</v>
      </c>
      <c r="DV485" s="64">
        <v>0</v>
      </c>
      <c r="DW485" s="64">
        <v>0</v>
      </c>
      <c r="DX485" s="2"/>
      <c r="DY485" s="2"/>
      <c r="DZ485" s="46">
        <f t="shared" si="113"/>
        <v>0</v>
      </c>
      <c r="EA485" s="46">
        <f t="shared" si="114"/>
        <v>0</v>
      </c>
      <c r="EB485" s="46">
        <f t="shared" si="115"/>
        <v>0</v>
      </c>
      <c r="EC485" s="46">
        <f t="shared" si="116"/>
        <v>0</v>
      </c>
      <c r="ED485" s="46">
        <f t="shared" si="117"/>
        <v>128223</v>
      </c>
      <c r="EE485" s="46">
        <f t="shared" si="118"/>
        <v>139564</v>
      </c>
      <c r="EF485" s="46">
        <f t="shared" si="119"/>
        <v>0</v>
      </c>
      <c r="EG485" s="46">
        <f t="shared" si="120"/>
        <v>0</v>
      </c>
      <c r="EH485" s="46">
        <f t="shared" si="121"/>
        <v>0</v>
      </c>
      <c r="EI485" s="46">
        <f t="shared" si="112"/>
        <v>0</v>
      </c>
    </row>
    <row r="486" spans="3:139">
      <c r="C486" s="68" t="s">
        <v>727</v>
      </c>
      <c r="D486" s="36" t="s">
        <v>728</v>
      </c>
      <c r="E486" s="36" t="s">
        <v>729</v>
      </c>
      <c r="F486" s="38">
        <f t="shared" si="111"/>
        <v>100</v>
      </c>
      <c r="G486" s="37" t="s">
        <v>730</v>
      </c>
      <c r="H486" s="69"/>
      <c r="I486" s="68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68"/>
      <c r="U486" s="68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68"/>
      <c r="AG486" s="68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  <c r="BL486" s="70"/>
      <c r="BM486" s="70"/>
      <c r="BN486" s="70"/>
      <c r="BO486" s="70"/>
      <c r="BP486" s="70"/>
      <c r="BQ486" s="70"/>
      <c r="BR486" s="70"/>
      <c r="BS486" s="70"/>
      <c r="BT486" s="70"/>
      <c r="BU486" s="70"/>
      <c r="BV486" s="70"/>
      <c r="BW486" s="70"/>
      <c r="BX486" s="70"/>
      <c r="BY486" s="70"/>
      <c r="BZ486" s="70"/>
      <c r="CA486" s="70"/>
      <c r="CB486" s="70"/>
      <c r="CC486" s="70"/>
      <c r="CD486" s="70"/>
      <c r="CE486" s="70"/>
      <c r="CF486" s="70"/>
      <c r="CG486" s="70"/>
      <c r="CH486" s="70"/>
      <c r="CI486" s="70"/>
      <c r="CJ486" s="70"/>
      <c r="CK486" s="70"/>
      <c r="CL486" s="70">
        <v>100</v>
      </c>
      <c r="CM486" s="70">
        <v>0</v>
      </c>
      <c r="CN486" s="70">
        <v>0</v>
      </c>
      <c r="CO486" s="70">
        <v>0</v>
      </c>
      <c r="CP486" s="70">
        <v>0</v>
      </c>
      <c r="CQ486" s="70">
        <v>0</v>
      </c>
      <c r="CR486" s="70">
        <v>0</v>
      </c>
      <c r="CS486" s="70">
        <v>0</v>
      </c>
      <c r="CT486" s="70">
        <v>0</v>
      </c>
      <c r="CU486" s="70">
        <v>0</v>
      </c>
      <c r="CV486" s="70"/>
      <c r="CW486" s="70">
        <v>0</v>
      </c>
      <c r="CX486" s="70">
        <v>0</v>
      </c>
      <c r="CY486" s="70">
        <v>0</v>
      </c>
      <c r="CZ486" s="70">
        <v>0</v>
      </c>
      <c r="DA486" s="70">
        <v>0</v>
      </c>
      <c r="DB486" s="70">
        <v>0</v>
      </c>
      <c r="DC486" s="51">
        <v>0</v>
      </c>
      <c r="DD486" s="51">
        <v>0</v>
      </c>
      <c r="DE486" s="51">
        <v>0</v>
      </c>
      <c r="DF486" s="52">
        <v>0</v>
      </c>
      <c r="DG486" s="52">
        <v>0</v>
      </c>
      <c r="DH486" s="52">
        <v>0</v>
      </c>
      <c r="DI486" s="52">
        <v>0</v>
      </c>
      <c r="DJ486" s="52">
        <v>0</v>
      </c>
      <c r="DK486" s="52">
        <v>0</v>
      </c>
      <c r="DL486" s="52">
        <v>0</v>
      </c>
      <c r="DM486" s="52">
        <v>0</v>
      </c>
      <c r="DN486" s="52">
        <v>0</v>
      </c>
      <c r="DO486" s="52">
        <v>0</v>
      </c>
      <c r="DP486" s="52">
        <v>0</v>
      </c>
      <c r="DQ486" s="52">
        <v>0</v>
      </c>
      <c r="DR486" s="52">
        <v>0</v>
      </c>
      <c r="DS486" s="53">
        <v>0</v>
      </c>
      <c r="DT486" s="53">
        <v>0</v>
      </c>
      <c r="DU486" s="53">
        <v>0</v>
      </c>
      <c r="DV486" s="53">
        <v>0</v>
      </c>
      <c r="DW486" s="53">
        <v>0</v>
      </c>
      <c r="DX486" s="2"/>
      <c r="DY486" s="2"/>
      <c r="DZ486" s="46">
        <f t="shared" si="113"/>
        <v>0</v>
      </c>
      <c r="EA486" s="46">
        <f t="shared" si="114"/>
        <v>0</v>
      </c>
      <c r="EB486" s="46">
        <f t="shared" si="115"/>
        <v>0</v>
      </c>
      <c r="EC486" s="46">
        <f t="shared" si="116"/>
        <v>0</v>
      </c>
      <c r="ED486" s="46">
        <f t="shared" si="117"/>
        <v>0</v>
      </c>
      <c r="EE486" s="46">
        <f t="shared" si="118"/>
        <v>0</v>
      </c>
      <c r="EF486" s="46">
        <f t="shared" si="119"/>
        <v>100</v>
      </c>
      <c r="EG486" s="46">
        <f t="shared" si="120"/>
        <v>0</v>
      </c>
      <c r="EH486" s="46">
        <f t="shared" si="121"/>
        <v>0</v>
      </c>
      <c r="EI486" s="46">
        <f t="shared" si="112"/>
        <v>0</v>
      </c>
    </row>
    <row r="487" spans="3:139">
      <c r="C487" s="68" t="s">
        <v>731</v>
      </c>
      <c r="D487" s="36" t="s">
        <v>833</v>
      </c>
      <c r="E487" s="36" t="s">
        <v>729</v>
      </c>
      <c r="F487" s="38">
        <f t="shared" si="111"/>
        <v>47388</v>
      </c>
      <c r="G487" s="37" t="s">
        <v>730</v>
      </c>
      <c r="H487" s="69"/>
      <c r="I487" s="68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68"/>
      <c r="U487" s="68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68"/>
      <c r="AG487" s="68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70"/>
      <c r="AZ487" s="70"/>
      <c r="BA487" s="70"/>
      <c r="BB487" s="70"/>
      <c r="BC487" s="70"/>
      <c r="BD487" s="70"/>
      <c r="BE487" s="70"/>
      <c r="BF487" s="70"/>
      <c r="BG487" s="70"/>
      <c r="BH487" s="70"/>
      <c r="BI487" s="70"/>
      <c r="BJ487" s="70"/>
      <c r="BK487" s="70"/>
      <c r="BL487" s="70"/>
      <c r="BM487" s="70"/>
      <c r="BN487" s="70"/>
      <c r="BO487" s="70"/>
      <c r="BP487" s="70"/>
      <c r="BQ487" s="70"/>
      <c r="BR487" s="70"/>
      <c r="BS487" s="70"/>
      <c r="BT487" s="70"/>
      <c r="BU487" s="70"/>
      <c r="BV487" s="70"/>
      <c r="BW487" s="70"/>
      <c r="BX487" s="70"/>
      <c r="BY487" s="70"/>
      <c r="BZ487" s="70"/>
      <c r="CA487" s="70"/>
      <c r="CB487" s="70"/>
      <c r="CC487" s="70"/>
      <c r="CD487" s="70"/>
      <c r="CE487" s="70"/>
      <c r="CF487" s="70"/>
      <c r="CG487" s="70"/>
      <c r="CH487" s="70"/>
      <c r="CI487" s="70"/>
      <c r="CJ487" s="70"/>
      <c r="CK487" s="70"/>
      <c r="CL487" s="70"/>
      <c r="CM487" s="70"/>
      <c r="CN487" s="70"/>
      <c r="CO487" s="70">
        <v>100</v>
      </c>
      <c r="CP487" s="70">
        <v>680</v>
      </c>
      <c r="CQ487" s="70">
        <v>420</v>
      </c>
      <c r="CR487" s="70">
        <v>0</v>
      </c>
      <c r="CS487" s="70">
        <v>400</v>
      </c>
      <c r="CT487" s="70">
        <v>0</v>
      </c>
      <c r="CU487" s="70">
        <v>2217</v>
      </c>
      <c r="CV487" s="70">
        <v>600</v>
      </c>
      <c r="CW487" s="70">
        <v>2739</v>
      </c>
      <c r="CX487" s="70">
        <v>3170</v>
      </c>
      <c r="CY487" s="70">
        <v>1754</v>
      </c>
      <c r="CZ487" s="70">
        <v>3972</v>
      </c>
      <c r="DA487" s="70">
        <v>3920</v>
      </c>
      <c r="DB487" s="70">
        <v>3147</v>
      </c>
      <c r="DC487" s="51">
        <v>3457</v>
      </c>
      <c r="DD487" s="51">
        <v>854</v>
      </c>
      <c r="DE487" s="51">
        <v>1685</v>
      </c>
      <c r="DF487" s="52">
        <v>4340</v>
      </c>
      <c r="DG487" s="52">
        <v>2845</v>
      </c>
      <c r="DH487" s="52">
        <v>1289</v>
      </c>
      <c r="DI487" s="52">
        <v>937</v>
      </c>
      <c r="DJ487" s="52">
        <v>663</v>
      </c>
      <c r="DK487" s="52">
        <v>120</v>
      </c>
      <c r="DL487" s="52">
        <v>1872</v>
      </c>
      <c r="DM487" s="52">
        <v>2879</v>
      </c>
      <c r="DN487" s="52">
        <v>1675</v>
      </c>
      <c r="DO487" s="52">
        <v>383</v>
      </c>
      <c r="DP487" s="52">
        <v>570</v>
      </c>
      <c r="DQ487" s="52">
        <v>700</v>
      </c>
      <c r="DR487" s="52">
        <v>0</v>
      </c>
      <c r="DS487" s="53">
        <v>616</v>
      </c>
      <c r="DT487" s="53">
        <v>616</v>
      </c>
      <c r="DU487" s="53">
        <v>370</v>
      </c>
      <c r="DV487" s="53">
        <v>283</v>
      </c>
      <c r="DW487" s="53">
        <v>179</v>
      </c>
      <c r="DX487" s="2"/>
      <c r="DY487" s="2"/>
      <c r="DZ487" s="46">
        <f t="shared" si="113"/>
        <v>0</v>
      </c>
      <c r="EA487" s="46">
        <f t="shared" si="114"/>
        <v>0</v>
      </c>
      <c r="EB487" s="46">
        <f t="shared" si="115"/>
        <v>0</v>
      </c>
      <c r="EC487" s="46">
        <f t="shared" si="116"/>
        <v>0</v>
      </c>
      <c r="ED487" s="46">
        <f t="shared" si="117"/>
        <v>0</v>
      </c>
      <c r="EE487" s="46">
        <f t="shared" si="118"/>
        <v>0</v>
      </c>
      <c r="EF487" s="46">
        <f t="shared" si="119"/>
        <v>0</v>
      </c>
      <c r="EG487" s="46">
        <f t="shared" si="120"/>
        <v>12080</v>
      </c>
      <c r="EH487" s="46">
        <f t="shared" si="121"/>
        <v>27109</v>
      </c>
      <c r="EI487" s="46">
        <f t="shared" si="112"/>
        <v>6809</v>
      </c>
    </row>
    <row r="488" spans="3:139">
      <c r="C488" s="68" t="s">
        <v>732</v>
      </c>
      <c r="D488" s="36" t="s">
        <v>728</v>
      </c>
      <c r="E488" s="36" t="s">
        <v>729</v>
      </c>
      <c r="F488" s="38">
        <f t="shared" si="111"/>
        <v>10998</v>
      </c>
      <c r="G488" s="37" t="s">
        <v>730</v>
      </c>
      <c r="H488" s="69"/>
      <c r="I488" s="68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68"/>
      <c r="U488" s="68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68"/>
      <c r="AG488" s="68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T488" s="70"/>
      <c r="CU488" s="70"/>
      <c r="CV488" s="70"/>
      <c r="CW488" s="70"/>
      <c r="CX488" s="70"/>
      <c r="CY488" s="70"/>
      <c r="CZ488" s="70"/>
      <c r="DA488" s="70"/>
      <c r="DB488" s="70"/>
      <c r="DC488" s="51"/>
      <c r="DD488" s="51"/>
      <c r="DE488" s="51"/>
      <c r="DF488" s="52"/>
      <c r="DG488" s="52"/>
      <c r="DH488" s="52"/>
      <c r="DI488" s="52"/>
      <c r="DJ488" s="52"/>
      <c r="DK488" s="52"/>
      <c r="DL488" s="52">
        <v>726</v>
      </c>
      <c r="DM488" s="52">
        <v>891</v>
      </c>
      <c r="DN488" s="52">
        <v>994</v>
      </c>
      <c r="DO488" s="52">
        <v>2385</v>
      </c>
      <c r="DP488" s="52">
        <v>3055</v>
      </c>
      <c r="DQ488" s="52">
        <v>2947</v>
      </c>
      <c r="DR488" s="52">
        <v>3010</v>
      </c>
      <c r="DS488" s="53">
        <v>3299</v>
      </c>
      <c r="DT488" s="53">
        <v>3299</v>
      </c>
      <c r="DU488" s="53">
        <v>1979</v>
      </c>
      <c r="DV488" s="53">
        <v>1518</v>
      </c>
      <c r="DW488" s="53">
        <v>957</v>
      </c>
      <c r="DX488" s="2"/>
      <c r="DY488" s="2"/>
      <c r="DZ488" s="46"/>
      <c r="EA488" s="46"/>
      <c r="EB488" s="46"/>
      <c r="EC488" s="46"/>
      <c r="ED488" s="46"/>
      <c r="EE488" s="46"/>
      <c r="EF488" s="46"/>
      <c r="EG488" s="46"/>
      <c r="EH488" s="46"/>
      <c r="EI488" s="46">
        <f t="shared" si="112"/>
        <v>4996</v>
      </c>
    </row>
    <row r="489" spans="3:139">
      <c r="C489" s="68" t="s">
        <v>733</v>
      </c>
      <c r="D489" s="36" t="s">
        <v>834</v>
      </c>
      <c r="E489" s="36" t="s">
        <v>735</v>
      </c>
      <c r="F489" s="38">
        <f t="shared" si="111"/>
        <v>199078</v>
      </c>
      <c r="G489" s="37" t="s">
        <v>514</v>
      </c>
      <c r="H489" s="69"/>
      <c r="I489" s="68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68"/>
      <c r="U489" s="68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68"/>
      <c r="AG489" s="68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>
        <v>220</v>
      </c>
      <c r="BI489" s="70">
        <v>2040</v>
      </c>
      <c r="BJ489" s="70">
        <v>6510</v>
      </c>
      <c r="BK489" s="70">
        <v>14060</v>
      </c>
      <c r="BL489" s="70">
        <v>18560</v>
      </c>
      <c r="BM489" s="70">
        <v>24700</v>
      </c>
      <c r="BN489" s="70">
        <v>15240</v>
      </c>
      <c r="BO489" s="70">
        <v>16600</v>
      </c>
      <c r="BP489" s="70">
        <v>21160</v>
      </c>
      <c r="BQ489" s="70">
        <v>12880</v>
      </c>
      <c r="BR489" s="70">
        <v>8545</v>
      </c>
      <c r="BS489" s="70">
        <v>17180</v>
      </c>
      <c r="BT489" s="70">
        <v>6800</v>
      </c>
      <c r="BU489" s="70">
        <v>17360</v>
      </c>
      <c r="BV489" s="70">
        <v>8920</v>
      </c>
      <c r="BW489" s="70">
        <v>600</v>
      </c>
      <c r="BX489" s="70">
        <v>240</v>
      </c>
      <c r="BY489" s="70">
        <v>240</v>
      </c>
      <c r="BZ489" s="70">
        <v>200</v>
      </c>
      <c r="CA489" s="70">
        <v>4920</v>
      </c>
      <c r="CB489" s="70">
        <v>0</v>
      </c>
      <c r="CC489" s="70">
        <v>2080</v>
      </c>
      <c r="CD489" s="70">
        <v>0</v>
      </c>
      <c r="CE489" s="70">
        <v>0</v>
      </c>
      <c r="CF489" s="70">
        <v>0</v>
      </c>
      <c r="CG489" s="70"/>
      <c r="CH489" s="70">
        <v>4</v>
      </c>
      <c r="CI489" s="70">
        <v>0</v>
      </c>
      <c r="CJ489" s="70">
        <v>0</v>
      </c>
      <c r="CK489" s="70">
        <v>0</v>
      </c>
      <c r="CL489" s="70">
        <v>0</v>
      </c>
      <c r="CM489" s="70">
        <v>0</v>
      </c>
      <c r="CN489" s="70">
        <v>0</v>
      </c>
      <c r="CO489" s="70">
        <v>0</v>
      </c>
      <c r="CP489" s="70">
        <v>19</v>
      </c>
      <c r="CQ489" s="70">
        <v>0</v>
      </c>
      <c r="CR489" s="70">
        <v>0</v>
      </c>
      <c r="CS489" s="70">
        <v>0</v>
      </c>
      <c r="CT489" s="70">
        <v>0</v>
      </c>
      <c r="CU489" s="70">
        <v>0</v>
      </c>
      <c r="CV489" s="70"/>
      <c r="CW489" s="70">
        <v>0</v>
      </c>
      <c r="CX489" s="70">
        <v>0</v>
      </c>
      <c r="CY489" s="70">
        <v>0</v>
      </c>
      <c r="CZ489" s="70">
        <v>0</v>
      </c>
      <c r="DA489" s="70">
        <v>0</v>
      </c>
      <c r="DB489" s="70">
        <v>0</v>
      </c>
      <c r="DC489" s="51">
        <v>0</v>
      </c>
      <c r="DD489" s="51">
        <v>0</v>
      </c>
      <c r="DE489" s="51">
        <v>0</v>
      </c>
      <c r="DF489" s="52">
        <v>0</v>
      </c>
      <c r="DG489" s="52">
        <v>0</v>
      </c>
      <c r="DH489" s="52">
        <v>0</v>
      </c>
      <c r="DI489" s="52">
        <v>0</v>
      </c>
      <c r="DJ489" s="52">
        <v>0</v>
      </c>
      <c r="DK489" s="52">
        <v>0</v>
      </c>
      <c r="DL489" s="52">
        <v>0</v>
      </c>
      <c r="DM489" s="52">
        <v>0</v>
      </c>
      <c r="DN489" s="52">
        <v>0</v>
      </c>
      <c r="DO489" s="52">
        <v>0</v>
      </c>
      <c r="DP489" s="52">
        <v>0</v>
      </c>
      <c r="DQ489" s="52">
        <v>0</v>
      </c>
      <c r="DR489" s="52">
        <v>0</v>
      </c>
      <c r="DS489" s="53">
        <v>0</v>
      </c>
      <c r="DT489" s="53">
        <v>0</v>
      </c>
      <c r="DU489" s="53">
        <v>0</v>
      </c>
      <c r="DV489" s="53">
        <v>0</v>
      </c>
      <c r="DW489" s="53">
        <v>0</v>
      </c>
      <c r="DX489" s="2"/>
      <c r="DY489" s="2"/>
      <c r="DZ489" s="46">
        <f t="shared" ref="DZ489:DZ495" si="122">SUM(H489:S489)</f>
        <v>0</v>
      </c>
      <c r="EA489" s="46">
        <f t="shared" ref="EA489:EA495" si="123">SUM(T489:AE489)</f>
        <v>0</v>
      </c>
      <c r="EB489" s="46">
        <f t="shared" ref="EB489:EB495" si="124">SUM(AF489:AQ489)</f>
        <v>0</v>
      </c>
      <c r="EC489" s="46">
        <f t="shared" ref="EC489:EC495" si="125">SUM(AR489:BC489)</f>
        <v>0</v>
      </c>
      <c r="ED489" s="46">
        <f t="shared" ref="ED489:ED495" si="126">SUM(BD489:BO489)</f>
        <v>97930</v>
      </c>
      <c r="EE489" s="46">
        <f t="shared" ref="EE489:EE495" si="127">SUM(BP489:CA489)</f>
        <v>99045</v>
      </c>
      <c r="EF489" s="46">
        <f t="shared" ref="EF489:EF495" si="128">SUM(CB489:CM489)</f>
        <v>2084</v>
      </c>
      <c r="EG489" s="46">
        <f t="shared" ref="EG489:EG495" si="129">SUM(CN489:CY489)</f>
        <v>19</v>
      </c>
      <c r="EH489" s="46">
        <f t="shared" ref="EH489:EH550" si="130">SUM(CZ489:DJ489)</f>
        <v>0</v>
      </c>
      <c r="EI489" s="46">
        <f t="shared" si="112"/>
        <v>0</v>
      </c>
    </row>
    <row r="490" spans="3:139">
      <c r="C490" s="68" t="s">
        <v>736</v>
      </c>
      <c r="D490" s="36" t="s">
        <v>734</v>
      </c>
      <c r="E490" s="36" t="s">
        <v>735</v>
      </c>
      <c r="F490" s="38">
        <f t="shared" si="111"/>
        <v>205602</v>
      </c>
      <c r="G490" s="37" t="s">
        <v>514</v>
      </c>
      <c r="H490" s="69"/>
      <c r="I490" s="68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68"/>
      <c r="U490" s="68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68"/>
      <c r="AG490" s="68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>
        <v>0</v>
      </c>
      <c r="BJ490" s="70">
        <v>7470</v>
      </c>
      <c r="BK490" s="70">
        <v>7260</v>
      </c>
      <c r="BL490" s="70">
        <v>11980</v>
      </c>
      <c r="BM490" s="70">
        <v>9680</v>
      </c>
      <c r="BN490" s="70">
        <v>16000</v>
      </c>
      <c r="BO490" s="70">
        <v>10800</v>
      </c>
      <c r="BP490" s="70">
        <v>16920</v>
      </c>
      <c r="BQ490" s="70">
        <v>20640</v>
      </c>
      <c r="BR490" s="70">
        <v>26320</v>
      </c>
      <c r="BS490" s="70">
        <v>16040</v>
      </c>
      <c r="BT490" s="70">
        <v>28280</v>
      </c>
      <c r="BU490" s="70">
        <v>5720</v>
      </c>
      <c r="BV490" s="70">
        <v>6960</v>
      </c>
      <c r="BW490" s="70">
        <v>5840</v>
      </c>
      <c r="BX490" s="70">
        <v>1040</v>
      </c>
      <c r="BY490" s="70">
        <v>1400</v>
      </c>
      <c r="BZ490" s="70">
        <v>4400</v>
      </c>
      <c r="CA490" s="70">
        <v>7240</v>
      </c>
      <c r="CB490" s="70">
        <v>600</v>
      </c>
      <c r="CC490" s="70">
        <v>250</v>
      </c>
      <c r="CD490" s="70">
        <v>414</v>
      </c>
      <c r="CE490" s="70">
        <v>15</v>
      </c>
      <c r="CF490" s="70">
        <v>0</v>
      </c>
      <c r="CG490" s="70"/>
      <c r="CH490" s="70">
        <v>0</v>
      </c>
      <c r="CI490" s="70">
        <v>0</v>
      </c>
      <c r="CJ490" s="70">
        <v>0</v>
      </c>
      <c r="CK490" s="70">
        <v>0</v>
      </c>
      <c r="CL490" s="70">
        <v>120</v>
      </c>
      <c r="CM490" s="70">
        <v>0</v>
      </c>
      <c r="CN490" s="70">
        <v>0</v>
      </c>
      <c r="CO490" s="70">
        <v>0</v>
      </c>
      <c r="CP490" s="70">
        <v>0</v>
      </c>
      <c r="CQ490" s="70">
        <v>0</v>
      </c>
      <c r="CR490" s="70">
        <v>70</v>
      </c>
      <c r="CS490" s="70">
        <v>0</v>
      </c>
      <c r="CT490" s="70">
        <v>0</v>
      </c>
      <c r="CU490" s="70">
        <v>0</v>
      </c>
      <c r="CV490" s="70"/>
      <c r="CW490" s="70">
        <v>0</v>
      </c>
      <c r="CX490" s="70">
        <v>0</v>
      </c>
      <c r="CY490" s="70">
        <v>0</v>
      </c>
      <c r="CZ490" s="70">
        <v>0</v>
      </c>
      <c r="DA490" s="70">
        <v>0</v>
      </c>
      <c r="DB490" s="70">
        <v>0</v>
      </c>
      <c r="DC490" s="51">
        <v>0</v>
      </c>
      <c r="DD490" s="51">
        <v>0</v>
      </c>
      <c r="DE490" s="51">
        <v>0</v>
      </c>
      <c r="DF490" s="52">
        <v>0</v>
      </c>
      <c r="DG490" s="52">
        <v>0</v>
      </c>
      <c r="DH490" s="52">
        <v>0</v>
      </c>
      <c r="DI490" s="52">
        <v>0</v>
      </c>
      <c r="DJ490" s="52">
        <v>0</v>
      </c>
      <c r="DK490" s="52">
        <v>0</v>
      </c>
      <c r="DL490" s="52">
        <v>45</v>
      </c>
      <c r="DM490" s="52">
        <v>0</v>
      </c>
      <c r="DN490" s="52">
        <v>0</v>
      </c>
      <c r="DO490" s="52">
        <v>0</v>
      </c>
      <c r="DP490" s="52">
        <v>0</v>
      </c>
      <c r="DQ490" s="52">
        <v>98</v>
      </c>
      <c r="DR490" s="52">
        <v>0</v>
      </c>
      <c r="DS490" s="53">
        <v>0</v>
      </c>
      <c r="DT490" s="53">
        <v>0</v>
      </c>
      <c r="DU490" s="53">
        <v>0</v>
      </c>
      <c r="DV490" s="53">
        <v>0</v>
      </c>
      <c r="DW490" s="53">
        <v>0</v>
      </c>
      <c r="DX490" s="2"/>
      <c r="DY490" s="2"/>
      <c r="DZ490" s="46">
        <f t="shared" si="122"/>
        <v>0</v>
      </c>
      <c r="EA490" s="46">
        <f t="shared" si="123"/>
        <v>0</v>
      </c>
      <c r="EB490" s="46">
        <f t="shared" si="124"/>
        <v>0</v>
      </c>
      <c r="EC490" s="46">
        <f t="shared" si="125"/>
        <v>0</v>
      </c>
      <c r="ED490" s="46">
        <f t="shared" si="126"/>
        <v>63190</v>
      </c>
      <c r="EE490" s="46">
        <f t="shared" si="127"/>
        <v>140800</v>
      </c>
      <c r="EF490" s="46">
        <f t="shared" si="128"/>
        <v>1399</v>
      </c>
      <c r="EG490" s="46">
        <f t="shared" si="129"/>
        <v>70</v>
      </c>
      <c r="EH490" s="46">
        <f t="shared" si="130"/>
        <v>0</v>
      </c>
      <c r="EI490" s="46">
        <f t="shared" si="112"/>
        <v>45</v>
      </c>
    </row>
    <row r="491" spans="3:139">
      <c r="C491" s="68" t="s">
        <v>737</v>
      </c>
      <c r="D491" s="36" t="s">
        <v>734</v>
      </c>
      <c r="E491" s="36" t="s">
        <v>735</v>
      </c>
      <c r="F491" s="38">
        <f t="shared" si="111"/>
        <v>9740</v>
      </c>
      <c r="G491" s="37" t="s">
        <v>514</v>
      </c>
      <c r="H491" s="69"/>
      <c r="I491" s="68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68"/>
      <c r="U491" s="68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68"/>
      <c r="AG491" s="68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>
        <v>0</v>
      </c>
      <c r="BL491" s="70">
        <v>1300</v>
      </c>
      <c r="BM491" s="70">
        <v>1000</v>
      </c>
      <c r="BN491" s="70">
        <v>2040</v>
      </c>
      <c r="BO491" s="70">
        <v>880</v>
      </c>
      <c r="BP491" s="70">
        <v>0</v>
      </c>
      <c r="BQ491" s="70">
        <v>680</v>
      </c>
      <c r="BR491" s="70">
        <v>400</v>
      </c>
      <c r="BS491" s="70">
        <v>960</v>
      </c>
      <c r="BT491" s="70">
        <v>480</v>
      </c>
      <c r="BU491" s="70">
        <v>1200</v>
      </c>
      <c r="BV491" s="70">
        <v>600</v>
      </c>
      <c r="BW491" s="70">
        <v>200</v>
      </c>
      <c r="BX491" s="70"/>
      <c r="BY491" s="70"/>
      <c r="BZ491" s="70"/>
      <c r="CA491" s="70">
        <v>0</v>
      </c>
      <c r="CB491" s="70">
        <v>0</v>
      </c>
      <c r="CC491" s="70">
        <v>0</v>
      </c>
      <c r="CD491" s="70">
        <v>0</v>
      </c>
      <c r="CE491" s="70">
        <v>0</v>
      </c>
      <c r="CF491" s="70">
        <v>0</v>
      </c>
      <c r="CG491" s="70"/>
      <c r="CH491" s="70">
        <v>0</v>
      </c>
      <c r="CI491" s="70">
        <v>0</v>
      </c>
      <c r="CJ491" s="70">
        <v>0</v>
      </c>
      <c r="CK491" s="70">
        <v>0</v>
      </c>
      <c r="CL491" s="70">
        <v>0</v>
      </c>
      <c r="CM491" s="70">
        <v>0</v>
      </c>
      <c r="CN491" s="70">
        <v>0</v>
      </c>
      <c r="CO491" s="70">
        <v>0</v>
      </c>
      <c r="CP491" s="70">
        <v>0</v>
      </c>
      <c r="CQ491" s="70">
        <v>0</v>
      </c>
      <c r="CR491" s="70">
        <v>0</v>
      </c>
      <c r="CS491" s="70">
        <v>0</v>
      </c>
      <c r="CT491" s="70">
        <v>0</v>
      </c>
      <c r="CU491" s="70">
        <v>0</v>
      </c>
      <c r="CV491" s="70"/>
      <c r="CW491" s="70">
        <v>0</v>
      </c>
      <c r="CX491" s="70">
        <v>0</v>
      </c>
      <c r="CY491" s="70">
        <v>0</v>
      </c>
      <c r="CZ491" s="70">
        <v>0</v>
      </c>
      <c r="DA491" s="70">
        <v>0</v>
      </c>
      <c r="DB491" s="70">
        <v>0</v>
      </c>
      <c r="DC491" s="51">
        <v>0</v>
      </c>
      <c r="DD491" s="51">
        <v>0</v>
      </c>
      <c r="DE491" s="51">
        <v>0</v>
      </c>
      <c r="DF491" s="52">
        <v>0</v>
      </c>
      <c r="DG491" s="52">
        <v>0</v>
      </c>
      <c r="DH491" s="52">
        <v>0</v>
      </c>
      <c r="DI491" s="52">
        <v>0</v>
      </c>
      <c r="DJ491" s="52">
        <v>0</v>
      </c>
      <c r="DK491" s="52">
        <v>0</v>
      </c>
      <c r="DL491" s="52">
        <v>0</v>
      </c>
      <c r="DM491" s="52">
        <v>0</v>
      </c>
      <c r="DN491" s="52">
        <v>0</v>
      </c>
      <c r="DO491" s="52">
        <v>0</v>
      </c>
      <c r="DP491" s="52">
        <v>0</v>
      </c>
      <c r="DQ491" s="52">
        <v>0</v>
      </c>
      <c r="DR491" s="52">
        <v>0</v>
      </c>
      <c r="DS491" s="53">
        <v>0</v>
      </c>
      <c r="DT491" s="53">
        <v>0</v>
      </c>
      <c r="DU491" s="53">
        <v>0</v>
      </c>
      <c r="DV491" s="53">
        <v>0</v>
      </c>
      <c r="DW491" s="53">
        <v>0</v>
      </c>
      <c r="DX491" s="2"/>
      <c r="DY491" s="2"/>
      <c r="DZ491" s="46">
        <f t="shared" si="122"/>
        <v>0</v>
      </c>
      <c r="EA491" s="46">
        <f t="shared" si="123"/>
        <v>0</v>
      </c>
      <c r="EB491" s="46">
        <f t="shared" si="124"/>
        <v>0</v>
      </c>
      <c r="EC491" s="46">
        <f t="shared" si="125"/>
        <v>0</v>
      </c>
      <c r="ED491" s="46">
        <f t="shared" si="126"/>
        <v>5220</v>
      </c>
      <c r="EE491" s="46">
        <f t="shared" si="127"/>
        <v>4520</v>
      </c>
      <c r="EF491" s="46">
        <f t="shared" si="128"/>
        <v>0</v>
      </c>
      <c r="EG491" s="46">
        <f t="shared" si="129"/>
        <v>0</v>
      </c>
      <c r="EH491" s="46">
        <f t="shared" si="130"/>
        <v>0</v>
      </c>
      <c r="EI491" s="46">
        <f t="shared" si="112"/>
        <v>0</v>
      </c>
    </row>
    <row r="492" spans="3:139">
      <c r="C492" s="36" t="s">
        <v>738</v>
      </c>
      <c r="D492" s="36" t="s">
        <v>739</v>
      </c>
      <c r="E492" s="36" t="s">
        <v>740</v>
      </c>
      <c r="F492" s="38">
        <f t="shared" si="111"/>
        <v>44</v>
      </c>
      <c r="G492" s="14" t="s">
        <v>741</v>
      </c>
      <c r="H492" s="61"/>
      <c r="I492" s="60"/>
      <c r="J492" s="65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5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5"/>
      <c r="AI492" s="60"/>
      <c r="AJ492" s="60"/>
      <c r="AK492" s="60"/>
      <c r="AL492" s="60"/>
      <c r="AM492" s="60"/>
      <c r="AN492" s="60"/>
      <c r="AO492" s="60"/>
      <c r="AP492" s="60"/>
      <c r="AQ492" s="60"/>
      <c r="AR492" s="65"/>
      <c r="AS492" s="65"/>
      <c r="AT492" s="65"/>
      <c r="AU492" s="65"/>
      <c r="AV492" s="65"/>
      <c r="AW492" s="65"/>
      <c r="AX492" s="65"/>
      <c r="AY492" s="71"/>
      <c r="AZ492" s="72"/>
      <c r="BA492" s="73"/>
      <c r="BB492" s="73"/>
      <c r="BC492" s="73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>
        <v>44</v>
      </c>
      <c r="CB492" s="74">
        <v>0</v>
      </c>
      <c r="CC492" s="74">
        <v>0</v>
      </c>
      <c r="CD492" s="74">
        <v>0</v>
      </c>
      <c r="CE492" s="74">
        <v>0</v>
      </c>
      <c r="CF492" s="74">
        <v>0</v>
      </c>
      <c r="CG492" s="74"/>
      <c r="CH492" s="74">
        <v>0</v>
      </c>
      <c r="CI492" s="74">
        <v>0</v>
      </c>
      <c r="CJ492" s="74">
        <v>0</v>
      </c>
      <c r="CK492" s="74">
        <v>0</v>
      </c>
      <c r="CL492" s="74">
        <v>0</v>
      </c>
      <c r="CM492" s="74">
        <v>0</v>
      </c>
      <c r="CN492" s="74">
        <v>0</v>
      </c>
      <c r="CO492" s="74">
        <v>0</v>
      </c>
      <c r="CP492" s="74">
        <v>0</v>
      </c>
      <c r="CQ492" s="74">
        <v>0</v>
      </c>
      <c r="CR492" s="74">
        <v>0</v>
      </c>
      <c r="CS492" s="74">
        <v>0</v>
      </c>
      <c r="CT492" s="74">
        <v>0</v>
      </c>
      <c r="CU492" s="74">
        <v>0</v>
      </c>
      <c r="CV492" s="74"/>
      <c r="CW492" s="74">
        <v>0</v>
      </c>
      <c r="CX492" s="74">
        <v>0</v>
      </c>
      <c r="CY492" s="74">
        <v>0</v>
      </c>
      <c r="CZ492" s="74">
        <v>0</v>
      </c>
      <c r="DA492" s="74">
        <v>0</v>
      </c>
      <c r="DB492" s="74">
        <v>0</v>
      </c>
      <c r="DC492" s="51">
        <v>0</v>
      </c>
      <c r="DD492" s="51">
        <v>0</v>
      </c>
      <c r="DE492" s="51">
        <v>0</v>
      </c>
      <c r="DF492" s="52">
        <v>0</v>
      </c>
      <c r="DG492" s="52">
        <v>0</v>
      </c>
      <c r="DH492" s="52">
        <v>0</v>
      </c>
      <c r="DI492" s="52">
        <v>0</v>
      </c>
      <c r="DJ492" s="52">
        <v>0</v>
      </c>
      <c r="DK492" s="52">
        <v>0</v>
      </c>
      <c r="DL492" s="52">
        <v>0</v>
      </c>
      <c r="DM492" s="52">
        <v>0</v>
      </c>
      <c r="DN492" s="52">
        <v>0</v>
      </c>
      <c r="DO492" s="52">
        <v>0</v>
      </c>
      <c r="DP492" s="52">
        <v>0</v>
      </c>
      <c r="DQ492" s="52">
        <v>0</v>
      </c>
      <c r="DR492" s="52">
        <v>0</v>
      </c>
      <c r="DS492" s="53">
        <v>0</v>
      </c>
      <c r="DT492" s="53">
        <v>0</v>
      </c>
      <c r="DU492" s="53">
        <v>0</v>
      </c>
      <c r="DV492" s="53">
        <v>0</v>
      </c>
      <c r="DW492" s="53">
        <v>0</v>
      </c>
      <c r="DX492" s="2"/>
      <c r="DY492" s="2"/>
      <c r="DZ492" s="46">
        <f t="shared" si="122"/>
        <v>0</v>
      </c>
      <c r="EA492" s="46">
        <f t="shared" si="123"/>
        <v>0</v>
      </c>
      <c r="EB492" s="46">
        <f t="shared" si="124"/>
        <v>0</v>
      </c>
      <c r="EC492" s="46">
        <f t="shared" si="125"/>
        <v>0</v>
      </c>
      <c r="ED492" s="46">
        <f t="shared" si="126"/>
        <v>0</v>
      </c>
      <c r="EE492" s="46">
        <f t="shared" si="127"/>
        <v>44</v>
      </c>
      <c r="EF492" s="46">
        <f t="shared" si="128"/>
        <v>0</v>
      </c>
      <c r="EG492" s="46">
        <f t="shared" si="129"/>
        <v>0</v>
      </c>
      <c r="EH492" s="46">
        <f t="shared" si="130"/>
        <v>0</v>
      </c>
      <c r="EI492" s="46">
        <f t="shared" si="112"/>
        <v>0</v>
      </c>
    </row>
    <row r="493" spans="3:139">
      <c r="C493" s="36" t="s">
        <v>742</v>
      </c>
      <c r="D493" s="36" t="s">
        <v>212</v>
      </c>
      <c r="E493" s="36">
        <v>0</v>
      </c>
      <c r="F493" s="38">
        <f t="shared" si="111"/>
        <v>0</v>
      </c>
      <c r="G493" s="14" t="s">
        <v>741</v>
      </c>
      <c r="H493" s="61"/>
      <c r="I493" s="60"/>
      <c r="J493" s="65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5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5"/>
      <c r="AI493" s="60"/>
      <c r="AJ493" s="60"/>
      <c r="AK493" s="60"/>
      <c r="AL493" s="60"/>
      <c r="AM493" s="60"/>
      <c r="AN493" s="60"/>
      <c r="AO493" s="60"/>
      <c r="AP493" s="60"/>
      <c r="AQ493" s="60"/>
      <c r="AR493" s="65"/>
      <c r="AS493" s="65"/>
      <c r="AT493" s="65"/>
      <c r="AU493" s="65"/>
      <c r="AV493" s="65"/>
      <c r="AW493" s="65"/>
      <c r="AX493" s="65"/>
      <c r="AY493" s="71"/>
      <c r="AZ493" s="72"/>
      <c r="BA493" s="73"/>
      <c r="BB493" s="73"/>
      <c r="BC493" s="73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>
        <v>0</v>
      </c>
      <c r="CG493" s="74"/>
      <c r="CH493" s="74">
        <v>0</v>
      </c>
      <c r="CI493" s="74">
        <v>0</v>
      </c>
      <c r="CJ493" s="74">
        <v>0</v>
      </c>
      <c r="CK493" s="74">
        <v>0</v>
      </c>
      <c r="CL493" s="74">
        <v>0</v>
      </c>
      <c r="CM493" s="74">
        <v>0</v>
      </c>
      <c r="CN493" s="74">
        <v>0</v>
      </c>
      <c r="CO493" s="74">
        <v>0</v>
      </c>
      <c r="CP493" s="74">
        <v>0</v>
      </c>
      <c r="CQ493" s="74">
        <v>0</v>
      </c>
      <c r="CR493" s="74">
        <v>0</v>
      </c>
      <c r="CS493" s="74">
        <v>0</v>
      </c>
      <c r="CT493" s="74">
        <v>0</v>
      </c>
      <c r="CU493" s="74"/>
      <c r="CV493" s="74">
        <v>0</v>
      </c>
      <c r="CW493" s="74"/>
      <c r="CX493" s="74"/>
      <c r="CY493" s="74"/>
      <c r="CZ493" s="74"/>
      <c r="DA493" s="74"/>
      <c r="DB493" s="74">
        <v>0</v>
      </c>
      <c r="DC493" s="51"/>
      <c r="DD493" s="51"/>
      <c r="DE493" s="51"/>
      <c r="DF493" s="52"/>
      <c r="DG493" s="52"/>
      <c r="DH493" s="52"/>
      <c r="DI493" s="52"/>
      <c r="DJ493" s="52"/>
      <c r="DK493" s="52"/>
      <c r="DL493" s="52"/>
      <c r="DM493" s="52"/>
      <c r="DN493" s="52"/>
      <c r="DO493" s="52"/>
      <c r="DP493" s="52"/>
      <c r="DQ493" s="52"/>
      <c r="DR493" s="52"/>
      <c r="DS493" s="53">
        <v>0</v>
      </c>
      <c r="DT493" s="53">
        <v>0</v>
      </c>
      <c r="DU493" s="53">
        <v>0</v>
      </c>
      <c r="DV493" s="53">
        <v>0</v>
      </c>
      <c r="DW493" s="53">
        <v>0</v>
      </c>
      <c r="DX493" s="2"/>
      <c r="DY493" s="2"/>
      <c r="DZ493" s="46">
        <f t="shared" si="122"/>
        <v>0</v>
      </c>
      <c r="EA493" s="46">
        <f t="shared" si="123"/>
        <v>0</v>
      </c>
      <c r="EB493" s="46">
        <f t="shared" si="124"/>
        <v>0</v>
      </c>
      <c r="EC493" s="46">
        <f t="shared" si="125"/>
        <v>0</v>
      </c>
      <c r="ED493" s="46">
        <f t="shared" si="126"/>
        <v>0</v>
      </c>
      <c r="EE493" s="46">
        <f t="shared" si="127"/>
        <v>0</v>
      </c>
      <c r="EF493" s="46">
        <f t="shared" si="128"/>
        <v>0</v>
      </c>
      <c r="EG493" s="46">
        <f t="shared" si="129"/>
        <v>0</v>
      </c>
      <c r="EH493" s="46">
        <f t="shared" si="130"/>
        <v>0</v>
      </c>
      <c r="EI493" s="46">
        <f t="shared" si="112"/>
        <v>0</v>
      </c>
    </row>
    <row r="494" spans="3:139">
      <c r="C494" s="55" t="s">
        <v>743</v>
      </c>
      <c r="D494" s="36" t="s">
        <v>744</v>
      </c>
      <c r="E494" s="36" t="s">
        <v>745</v>
      </c>
      <c r="F494" s="38">
        <f t="shared" si="111"/>
        <v>996</v>
      </c>
      <c r="G494" s="14" t="s">
        <v>746</v>
      </c>
      <c r="H494" s="61"/>
      <c r="I494" s="60"/>
      <c r="J494" s="65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5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5"/>
      <c r="AI494" s="60"/>
      <c r="AJ494" s="60"/>
      <c r="AK494" s="60"/>
      <c r="AL494" s="60"/>
      <c r="AM494" s="60"/>
      <c r="AN494" s="60"/>
      <c r="AO494" s="60"/>
      <c r="AP494" s="60"/>
      <c r="AQ494" s="60"/>
      <c r="AR494" s="65"/>
      <c r="AS494" s="65"/>
      <c r="AT494" s="65"/>
      <c r="AU494" s="65"/>
      <c r="AV494" s="65"/>
      <c r="AW494" s="65"/>
      <c r="AX494" s="65"/>
      <c r="AY494" s="71"/>
      <c r="AZ494" s="72"/>
      <c r="BA494" s="73"/>
      <c r="BB494" s="73"/>
      <c r="BC494" s="73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>
        <v>30</v>
      </c>
      <c r="CQ494" s="74"/>
      <c r="CR494" s="74">
        <v>0</v>
      </c>
      <c r="CS494" s="74">
        <v>0</v>
      </c>
      <c r="CT494" s="74">
        <v>0</v>
      </c>
      <c r="CU494" s="74">
        <v>0</v>
      </c>
      <c r="CV494" s="74"/>
      <c r="CW494" s="74">
        <v>0</v>
      </c>
      <c r="CX494" s="74">
        <v>0</v>
      </c>
      <c r="CY494" s="74">
        <v>0</v>
      </c>
      <c r="CZ494" s="74">
        <v>0</v>
      </c>
      <c r="DA494" s="74">
        <v>96</v>
      </c>
      <c r="DB494" s="74">
        <v>350</v>
      </c>
      <c r="DC494" s="51">
        <v>150</v>
      </c>
      <c r="DD494" s="51">
        <v>0</v>
      </c>
      <c r="DE494" s="51">
        <v>180</v>
      </c>
      <c r="DF494" s="52">
        <v>0</v>
      </c>
      <c r="DG494" s="52">
        <v>0</v>
      </c>
      <c r="DH494" s="52">
        <v>160</v>
      </c>
      <c r="DI494" s="52">
        <v>30</v>
      </c>
      <c r="DJ494" s="52">
        <v>0</v>
      </c>
      <c r="DK494" s="52">
        <v>0</v>
      </c>
      <c r="DL494" s="52">
        <v>0</v>
      </c>
      <c r="DM494" s="52">
        <v>0</v>
      </c>
      <c r="DN494" s="52">
        <v>0</v>
      </c>
      <c r="DO494" s="52">
        <v>0</v>
      </c>
      <c r="DP494" s="52">
        <v>0</v>
      </c>
      <c r="DQ494" s="52">
        <v>0</v>
      </c>
      <c r="DR494" s="52">
        <v>0</v>
      </c>
      <c r="DS494" s="53">
        <v>0</v>
      </c>
      <c r="DT494" s="53">
        <v>0</v>
      </c>
      <c r="DU494" s="53">
        <v>0</v>
      </c>
      <c r="DV494" s="53">
        <v>0</v>
      </c>
      <c r="DW494" s="53">
        <v>0</v>
      </c>
      <c r="DX494" s="2"/>
      <c r="DY494" s="2"/>
      <c r="DZ494" s="46">
        <f t="shared" si="122"/>
        <v>0</v>
      </c>
      <c r="EA494" s="46">
        <f t="shared" si="123"/>
        <v>0</v>
      </c>
      <c r="EB494" s="46">
        <f t="shared" si="124"/>
        <v>0</v>
      </c>
      <c r="EC494" s="46">
        <f t="shared" si="125"/>
        <v>0</v>
      </c>
      <c r="ED494" s="46">
        <f t="shared" si="126"/>
        <v>0</v>
      </c>
      <c r="EE494" s="46">
        <f t="shared" si="127"/>
        <v>0</v>
      </c>
      <c r="EF494" s="46">
        <f t="shared" si="128"/>
        <v>0</v>
      </c>
      <c r="EG494" s="46">
        <f t="shared" si="129"/>
        <v>30</v>
      </c>
      <c r="EH494" s="46">
        <f t="shared" si="130"/>
        <v>966</v>
      </c>
      <c r="EI494" s="46">
        <f t="shared" si="112"/>
        <v>0</v>
      </c>
    </row>
    <row r="495" spans="3:139">
      <c r="C495" s="55" t="s">
        <v>747</v>
      </c>
      <c r="D495" s="36" t="s">
        <v>835</v>
      </c>
      <c r="E495" s="36" t="s">
        <v>745</v>
      </c>
      <c r="F495" s="38">
        <f t="shared" si="111"/>
        <v>6235</v>
      </c>
      <c r="G495" s="14" t="s">
        <v>746</v>
      </c>
      <c r="H495" s="61"/>
      <c r="I495" s="60"/>
      <c r="J495" s="65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5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5"/>
      <c r="AI495" s="60"/>
      <c r="AJ495" s="60"/>
      <c r="AK495" s="60"/>
      <c r="AL495" s="60"/>
      <c r="AM495" s="60"/>
      <c r="AN495" s="60"/>
      <c r="AO495" s="60"/>
      <c r="AP495" s="60"/>
      <c r="AQ495" s="60"/>
      <c r="AR495" s="65"/>
      <c r="AS495" s="65"/>
      <c r="AT495" s="65"/>
      <c r="AU495" s="65"/>
      <c r="AV495" s="65"/>
      <c r="AW495" s="65"/>
      <c r="AX495" s="65"/>
      <c r="AY495" s="71"/>
      <c r="AZ495" s="72"/>
      <c r="BA495" s="73"/>
      <c r="BB495" s="73"/>
      <c r="BC495" s="73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>
        <v>5</v>
      </c>
      <c r="CQ495" s="74"/>
      <c r="CR495" s="74">
        <v>0</v>
      </c>
      <c r="CS495" s="74">
        <v>0</v>
      </c>
      <c r="CT495" s="74">
        <v>0</v>
      </c>
      <c r="CU495" s="74">
        <v>0</v>
      </c>
      <c r="CV495" s="74"/>
      <c r="CW495" s="74">
        <v>700</v>
      </c>
      <c r="CX495" s="74">
        <v>200</v>
      </c>
      <c r="CY495" s="74">
        <v>400</v>
      </c>
      <c r="CZ495" s="74">
        <v>0</v>
      </c>
      <c r="DA495" s="74">
        <v>1600</v>
      </c>
      <c r="DB495" s="74">
        <v>250</v>
      </c>
      <c r="DC495" s="51">
        <v>500</v>
      </c>
      <c r="DD495" s="51">
        <v>510</v>
      </c>
      <c r="DE495" s="51">
        <v>240</v>
      </c>
      <c r="DF495" s="52">
        <v>440</v>
      </c>
      <c r="DG495" s="52">
        <v>170</v>
      </c>
      <c r="DH495" s="52">
        <v>600</v>
      </c>
      <c r="DI495" s="52">
        <v>440</v>
      </c>
      <c r="DJ495" s="52">
        <v>180</v>
      </c>
      <c r="DK495" s="52">
        <v>0</v>
      </c>
      <c r="DL495" s="52">
        <v>0</v>
      </c>
      <c r="DM495" s="52">
        <v>0</v>
      </c>
      <c r="DN495" s="52">
        <v>0</v>
      </c>
      <c r="DO495" s="52">
        <v>0</v>
      </c>
      <c r="DP495" s="52">
        <v>0</v>
      </c>
      <c r="DQ495" s="52">
        <v>0</v>
      </c>
      <c r="DR495" s="52">
        <v>0</v>
      </c>
      <c r="DS495" s="53">
        <v>0</v>
      </c>
      <c r="DT495" s="53">
        <v>0</v>
      </c>
      <c r="DU495" s="53">
        <v>0</v>
      </c>
      <c r="DV495" s="53">
        <v>0</v>
      </c>
      <c r="DW495" s="53">
        <v>0</v>
      </c>
      <c r="DX495" s="2"/>
      <c r="DY495" s="2"/>
      <c r="DZ495" s="46">
        <f t="shared" si="122"/>
        <v>0</v>
      </c>
      <c r="EA495" s="46">
        <f t="shared" si="123"/>
        <v>0</v>
      </c>
      <c r="EB495" s="46">
        <f t="shared" si="124"/>
        <v>0</v>
      </c>
      <c r="EC495" s="46">
        <f t="shared" si="125"/>
        <v>0</v>
      </c>
      <c r="ED495" s="46">
        <f t="shared" si="126"/>
        <v>0</v>
      </c>
      <c r="EE495" s="46">
        <f t="shared" si="127"/>
        <v>0</v>
      </c>
      <c r="EF495" s="46">
        <f t="shared" si="128"/>
        <v>0</v>
      </c>
      <c r="EG495" s="46">
        <f t="shared" si="129"/>
        <v>1305</v>
      </c>
      <c r="EH495" s="46">
        <f t="shared" si="130"/>
        <v>4930</v>
      </c>
      <c r="EI495" s="46">
        <f t="shared" si="112"/>
        <v>0</v>
      </c>
    </row>
    <row r="496" spans="3:139">
      <c r="C496" s="55" t="s">
        <v>748</v>
      </c>
      <c r="D496" s="36" t="s">
        <v>744</v>
      </c>
      <c r="E496" s="36" t="s">
        <v>745</v>
      </c>
      <c r="F496" s="38">
        <f t="shared" si="111"/>
        <v>3345</v>
      </c>
      <c r="G496" s="14" t="s">
        <v>746</v>
      </c>
      <c r="H496" s="61"/>
      <c r="I496" s="60"/>
      <c r="J496" s="65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5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5"/>
      <c r="AI496" s="60"/>
      <c r="AJ496" s="60"/>
      <c r="AK496" s="60"/>
      <c r="AL496" s="60"/>
      <c r="AM496" s="60"/>
      <c r="AN496" s="60"/>
      <c r="AO496" s="60"/>
      <c r="AP496" s="60"/>
      <c r="AQ496" s="60"/>
      <c r="AR496" s="65"/>
      <c r="AS496" s="65"/>
      <c r="AT496" s="65"/>
      <c r="AU496" s="65"/>
      <c r="AV496" s="65"/>
      <c r="AW496" s="65"/>
      <c r="AX496" s="65"/>
      <c r="AY496" s="71"/>
      <c r="AZ496" s="72"/>
      <c r="BA496" s="73"/>
      <c r="BB496" s="73"/>
      <c r="BC496" s="73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74"/>
      <c r="CU496" s="74"/>
      <c r="CV496" s="74"/>
      <c r="CW496" s="74"/>
      <c r="CX496" s="74"/>
      <c r="CY496" s="74"/>
      <c r="CZ496" s="74"/>
      <c r="DA496" s="74"/>
      <c r="DB496" s="74"/>
      <c r="DC496" s="51"/>
      <c r="DD496" s="51"/>
      <c r="DE496" s="51"/>
      <c r="DF496" s="52">
        <v>1620</v>
      </c>
      <c r="DG496" s="52">
        <v>360</v>
      </c>
      <c r="DH496" s="52">
        <v>0</v>
      </c>
      <c r="DI496" s="52">
        <v>710</v>
      </c>
      <c r="DJ496" s="52">
        <v>655</v>
      </c>
      <c r="DK496" s="52">
        <v>0</v>
      </c>
      <c r="DL496" s="52">
        <v>0</v>
      </c>
      <c r="DM496" s="52">
        <v>0</v>
      </c>
      <c r="DN496" s="52">
        <v>0</v>
      </c>
      <c r="DO496" s="52">
        <v>0</v>
      </c>
      <c r="DP496" s="52">
        <v>0</v>
      </c>
      <c r="DQ496" s="52">
        <v>0</v>
      </c>
      <c r="DR496" s="52">
        <v>0</v>
      </c>
      <c r="DS496" s="53">
        <v>0</v>
      </c>
      <c r="DT496" s="53">
        <v>0</v>
      </c>
      <c r="DU496" s="53">
        <v>0</v>
      </c>
      <c r="DV496" s="53">
        <v>0</v>
      </c>
      <c r="DW496" s="53">
        <v>0</v>
      </c>
      <c r="DX496" s="2"/>
      <c r="DY496" s="2"/>
      <c r="DZ496" s="46"/>
      <c r="EA496" s="46"/>
      <c r="EB496" s="46"/>
      <c r="EC496" s="46"/>
      <c r="ED496" s="46"/>
      <c r="EE496" s="46"/>
      <c r="EF496" s="46"/>
      <c r="EG496" s="46"/>
      <c r="EH496" s="46">
        <f t="shared" si="130"/>
        <v>3345</v>
      </c>
      <c r="EI496" s="46">
        <f t="shared" si="112"/>
        <v>0</v>
      </c>
    </row>
    <row r="497" spans="3:139">
      <c r="C497" s="55" t="s">
        <v>749</v>
      </c>
      <c r="D497" s="36" t="s">
        <v>744</v>
      </c>
      <c r="E497" s="36" t="s">
        <v>745</v>
      </c>
      <c r="F497" s="38">
        <f t="shared" si="111"/>
        <v>8530</v>
      </c>
      <c r="G497" s="14" t="s">
        <v>746</v>
      </c>
      <c r="H497" s="61"/>
      <c r="I497" s="60"/>
      <c r="J497" s="65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5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5"/>
      <c r="AI497" s="60"/>
      <c r="AJ497" s="60"/>
      <c r="AK497" s="60"/>
      <c r="AL497" s="60"/>
      <c r="AM497" s="60"/>
      <c r="AN497" s="60"/>
      <c r="AO497" s="60"/>
      <c r="AP497" s="60"/>
      <c r="AQ497" s="60"/>
      <c r="AR497" s="65"/>
      <c r="AS497" s="65"/>
      <c r="AT497" s="65"/>
      <c r="AU497" s="65"/>
      <c r="AV497" s="65"/>
      <c r="AW497" s="65"/>
      <c r="AX497" s="65"/>
      <c r="AY497" s="71"/>
      <c r="AZ497" s="72"/>
      <c r="BA497" s="73"/>
      <c r="BB497" s="73"/>
      <c r="BC497" s="73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74"/>
      <c r="CU497" s="74"/>
      <c r="CV497" s="74"/>
      <c r="CW497" s="74"/>
      <c r="CX497" s="74"/>
      <c r="CY497" s="74"/>
      <c r="CZ497" s="74"/>
      <c r="DA497" s="74"/>
      <c r="DB497" s="74"/>
      <c r="DC497" s="51"/>
      <c r="DD497" s="51"/>
      <c r="DE497" s="51"/>
      <c r="DF497" s="52">
        <v>470</v>
      </c>
      <c r="DG497" s="52">
        <v>1880</v>
      </c>
      <c r="DH497" s="52">
        <v>2080</v>
      </c>
      <c r="DI497" s="52">
        <v>3120</v>
      </c>
      <c r="DJ497" s="52">
        <v>980</v>
      </c>
      <c r="DK497" s="52">
        <v>0</v>
      </c>
      <c r="DL497" s="52">
        <v>0</v>
      </c>
      <c r="DM497" s="52">
        <v>0</v>
      </c>
      <c r="DN497" s="52">
        <v>0</v>
      </c>
      <c r="DO497" s="52">
        <v>0</v>
      </c>
      <c r="DP497" s="52">
        <v>0</v>
      </c>
      <c r="DQ497" s="52">
        <v>0</v>
      </c>
      <c r="DR497" s="52">
        <v>0</v>
      </c>
      <c r="DS497" s="53">
        <v>0</v>
      </c>
      <c r="DT497" s="53">
        <v>0</v>
      </c>
      <c r="DU497" s="53">
        <v>0</v>
      </c>
      <c r="DV497" s="53">
        <v>0</v>
      </c>
      <c r="DW497" s="53">
        <v>0</v>
      </c>
      <c r="DX497" s="2"/>
      <c r="DY497" s="2"/>
      <c r="DZ497" s="46"/>
      <c r="EA497" s="46"/>
      <c r="EB497" s="46"/>
      <c r="EC497" s="46"/>
      <c r="ED497" s="46"/>
      <c r="EE497" s="46"/>
      <c r="EF497" s="46"/>
      <c r="EG497" s="46"/>
      <c r="EH497" s="46">
        <f t="shared" si="130"/>
        <v>8530</v>
      </c>
      <c r="EI497" s="46">
        <f t="shared" si="112"/>
        <v>0</v>
      </c>
    </row>
    <row r="498" spans="3:139">
      <c r="C498" s="55" t="s">
        <v>750</v>
      </c>
      <c r="D498" s="36" t="s">
        <v>744</v>
      </c>
      <c r="E498" s="36" t="s">
        <v>745</v>
      </c>
      <c r="F498" s="38">
        <f t="shared" si="111"/>
        <v>321</v>
      </c>
      <c r="G498" s="14" t="s">
        <v>746</v>
      </c>
      <c r="H498" s="61"/>
      <c r="I498" s="60"/>
      <c r="J498" s="65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5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5"/>
      <c r="AI498" s="60"/>
      <c r="AJ498" s="60"/>
      <c r="AK498" s="60"/>
      <c r="AL498" s="60"/>
      <c r="AM498" s="60"/>
      <c r="AN498" s="60"/>
      <c r="AO498" s="60"/>
      <c r="AP498" s="60"/>
      <c r="AQ498" s="60"/>
      <c r="AR498" s="65"/>
      <c r="AS498" s="65"/>
      <c r="AT498" s="65"/>
      <c r="AU498" s="65"/>
      <c r="AV498" s="65"/>
      <c r="AW498" s="65"/>
      <c r="AX498" s="65"/>
      <c r="AY498" s="71"/>
      <c r="AZ498" s="72"/>
      <c r="BA498" s="73"/>
      <c r="BB498" s="73"/>
      <c r="BC498" s="73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74"/>
      <c r="CU498" s="74"/>
      <c r="CV498" s="74"/>
      <c r="CW498" s="74"/>
      <c r="CX498" s="74"/>
      <c r="CY498" s="74"/>
      <c r="CZ498" s="74"/>
      <c r="DA498" s="74"/>
      <c r="DB498" s="74"/>
      <c r="DC498" s="51"/>
      <c r="DD498" s="51"/>
      <c r="DE498" s="51"/>
      <c r="DF498" s="52"/>
      <c r="DG498" s="52"/>
      <c r="DH498" s="52">
        <v>11</v>
      </c>
      <c r="DI498" s="52">
        <v>70</v>
      </c>
      <c r="DJ498" s="52">
        <v>240</v>
      </c>
      <c r="DK498" s="52">
        <v>0</v>
      </c>
      <c r="DL498" s="52">
        <v>0</v>
      </c>
      <c r="DM498" s="52">
        <v>0</v>
      </c>
      <c r="DN498" s="52">
        <v>0</v>
      </c>
      <c r="DO498" s="52">
        <v>0</v>
      </c>
      <c r="DP498" s="52">
        <v>0</v>
      </c>
      <c r="DQ498" s="52">
        <v>0</v>
      </c>
      <c r="DR498" s="52">
        <v>0</v>
      </c>
      <c r="DS498" s="53">
        <v>0</v>
      </c>
      <c r="DT498" s="53">
        <v>0</v>
      </c>
      <c r="DU498" s="53">
        <v>0</v>
      </c>
      <c r="DV498" s="53">
        <v>0</v>
      </c>
      <c r="DW498" s="53">
        <v>0</v>
      </c>
      <c r="DX498" s="2"/>
      <c r="DY498" s="2"/>
      <c r="DZ498" s="46"/>
      <c r="EA498" s="46"/>
      <c r="EB498" s="46"/>
      <c r="EC498" s="46"/>
      <c r="ED498" s="46"/>
      <c r="EE498" s="46"/>
      <c r="EF498" s="46"/>
      <c r="EG498" s="46"/>
      <c r="EH498" s="46">
        <f t="shared" si="130"/>
        <v>321</v>
      </c>
      <c r="EI498" s="46">
        <f t="shared" si="112"/>
        <v>0</v>
      </c>
    </row>
    <row r="499" spans="3:139">
      <c r="C499" s="36" t="s">
        <v>751</v>
      </c>
      <c r="D499" s="36" t="s">
        <v>836</v>
      </c>
      <c r="E499" s="36" t="s">
        <v>753</v>
      </c>
      <c r="F499" s="38">
        <f t="shared" si="111"/>
        <v>237</v>
      </c>
      <c r="G499" s="14" t="s">
        <v>754</v>
      </c>
      <c r="H499" s="61"/>
      <c r="I499" s="60"/>
      <c r="J499" s="65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5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5"/>
      <c r="AI499" s="60"/>
      <c r="AJ499" s="60"/>
      <c r="AK499" s="60"/>
      <c r="AL499" s="60"/>
      <c r="AM499" s="60"/>
      <c r="AN499" s="60"/>
      <c r="AO499" s="60"/>
      <c r="AP499" s="60"/>
      <c r="AQ499" s="60"/>
      <c r="AR499" s="65"/>
      <c r="AS499" s="65"/>
      <c r="AT499" s="65"/>
      <c r="AU499" s="65"/>
      <c r="AV499" s="65"/>
      <c r="AW499" s="65"/>
      <c r="AX499" s="65"/>
      <c r="AY499" s="71"/>
      <c r="AZ499" s="72"/>
      <c r="BA499" s="73"/>
      <c r="BB499" s="73"/>
      <c r="BC499" s="73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>
        <v>0</v>
      </c>
      <c r="CR499" s="74"/>
      <c r="CS499" s="74"/>
      <c r="CT499" s="74">
        <v>0</v>
      </c>
      <c r="CU499" s="74"/>
      <c r="CV499" s="74">
        <v>237</v>
      </c>
      <c r="CW499" s="74"/>
      <c r="CX499" s="74"/>
      <c r="CY499" s="74"/>
      <c r="CZ499" s="74"/>
      <c r="DA499" s="74"/>
      <c r="DB499" s="74">
        <v>0</v>
      </c>
      <c r="DC499" s="51"/>
      <c r="DD499" s="51"/>
      <c r="DE499" s="51"/>
      <c r="DF499" s="52"/>
      <c r="DG499" s="52"/>
      <c r="DH499" s="52"/>
      <c r="DI499" s="52"/>
      <c r="DJ499" s="52"/>
      <c r="DK499" s="52"/>
      <c r="DL499" s="52"/>
      <c r="DM499" s="52"/>
      <c r="DN499" s="52"/>
      <c r="DO499" s="52"/>
      <c r="DP499" s="52"/>
      <c r="DQ499" s="52"/>
      <c r="DR499" s="52"/>
      <c r="DS499" s="75">
        <v>0</v>
      </c>
      <c r="DT499" s="75">
        <v>0</v>
      </c>
      <c r="DU499" s="75">
        <v>0</v>
      </c>
      <c r="DV499" s="75">
        <v>0</v>
      </c>
      <c r="DW499" s="75">
        <v>0</v>
      </c>
      <c r="DX499" s="2"/>
      <c r="DY499" s="2"/>
      <c r="DZ499" s="46">
        <f t="shared" ref="DZ499:DZ550" si="131">SUM(H499:S499)</f>
        <v>0</v>
      </c>
      <c r="EA499" s="46">
        <f t="shared" ref="EA499:EA550" si="132">SUM(T499:AE499)</f>
        <v>0</v>
      </c>
      <c r="EB499" s="46">
        <f t="shared" ref="EB499:EB550" si="133">SUM(AF499:AQ499)</f>
        <v>0</v>
      </c>
      <c r="EC499" s="46">
        <f t="shared" ref="EC499:EC550" si="134">SUM(AR499:BC499)</f>
        <v>0</v>
      </c>
      <c r="ED499" s="46">
        <f t="shared" ref="ED499:ED550" si="135">SUM(BD499:BO499)</f>
        <v>0</v>
      </c>
      <c r="EE499" s="46">
        <f t="shared" ref="EE499:EE550" si="136">SUM(BP499:CA499)</f>
        <v>0</v>
      </c>
      <c r="EF499" s="46">
        <f t="shared" ref="EF499:EF550" si="137">SUM(CB499:CM499)</f>
        <v>0</v>
      </c>
      <c r="EG499" s="46">
        <f t="shared" ref="EG499:EG550" si="138">SUM(CN499:CY499)</f>
        <v>237</v>
      </c>
      <c r="EH499" s="46">
        <f t="shared" si="130"/>
        <v>0</v>
      </c>
      <c r="EI499" s="46">
        <f t="shared" si="112"/>
        <v>0</v>
      </c>
    </row>
    <row r="500" spans="3:139">
      <c r="C500" s="36" t="s">
        <v>755</v>
      </c>
      <c r="D500" s="36" t="s">
        <v>837</v>
      </c>
      <c r="E500" s="36" t="s">
        <v>757</v>
      </c>
      <c r="F500" s="38">
        <f t="shared" si="111"/>
        <v>3497</v>
      </c>
      <c r="G500" s="14" t="s">
        <v>754</v>
      </c>
      <c r="H500" s="61"/>
      <c r="I500" s="60"/>
      <c r="J500" s="65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5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5"/>
      <c r="AI500" s="60"/>
      <c r="AJ500" s="60"/>
      <c r="AK500" s="60"/>
      <c r="AL500" s="60"/>
      <c r="AM500" s="60"/>
      <c r="AN500" s="60"/>
      <c r="AO500" s="60"/>
      <c r="AP500" s="60"/>
      <c r="AQ500" s="60"/>
      <c r="AR500" s="65"/>
      <c r="AS500" s="65"/>
      <c r="AT500" s="65"/>
      <c r="AU500" s="65"/>
      <c r="AV500" s="65"/>
      <c r="AW500" s="65"/>
      <c r="AX500" s="65"/>
      <c r="AY500" s="71"/>
      <c r="AZ500" s="72"/>
      <c r="BA500" s="73"/>
      <c r="BB500" s="73"/>
      <c r="BC500" s="73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74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>
        <v>0</v>
      </c>
      <c r="CR500" s="74"/>
      <c r="CS500" s="74"/>
      <c r="CT500" s="74">
        <v>0</v>
      </c>
      <c r="CU500" s="74"/>
      <c r="CV500" s="74">
        <v>3497</v>
      </c>
      <c r="CW500" s="74"/>
      <c r="CX500" s="74"/>
      <c r="CY500" s="74"/>
      <c r="CZ500" s="74"/>
      <c r="DA500" s="74"/>
      <c r="DB500" s="74">
        <v>0</v>
      </c>
      <c r="DC500" s="51"/>
      <c r="DD500" s="51"/>
      <c r="DE500" s="51"/>
      <c r="DF500" s="52"/>
      <c r="DG500" s="52"/>
      <c r="DH500" s="52"/>
      <c r="DI500" s="52"/>
      <c r="DJ500" s="52"/>
      <c r="DK500" s="52"/>
      <c r="DL500" s="52">
        <v>0</v>
      </c>
      <c r="DM500" s="52"/>
      <c r="DN500" s="52"/>
      <c r="DO500" s="52"/>
      <c r="DP500" s="52"/>
      <c r="DQ500" s="52"/>
      <c r="DR500" s="52"/>
      <c r="DS500" s="75">
        <v>0</v>
      </c>
      <c r="DT500" s="75">
        <v>0</v>
      </c>
      <c r="DU500" s="75">
        <v>0</v>
      </c>
      <c r="DV500" s="75">
        <v>0</v>
      </c>
      <c r="DW500" s="75">
        <v>0</v>
      </c>
      <c r="DX500" s="2"/>
      <c r="DY500" s="2"/>
      <c r="DZ500" s="46">
        <f t="shared" si="131"/>
        <v>0</v>
      </c>
      <c r="EA500" s="46">
        <f t="shared" si="132"/>
        <v>0</v>
      </c>
      <c r="EB500" s="46">
        <f t="shared" si="133"/>
        <v>0</v>
      </c>
      <c r="EC500" s="46">
        <f t="shared" si="134"/>
        <v>0</v>
      </c>
      <c r="ED500" s="46">
        <f t="shared" si="135"/>
        <v>0</v>
      </c>
      <c r="EE500" s="46">
        <f t="shared" si="136"/>
        <v>0</v>
      </c>
      <c r="EF500" s="46">
        <f t="shared" si="137"/>
        <v>0</v>
      </c>
      <c r="EG500" s="46">
        <f t="shared" si="138"/>
        <v>3497</v>
      </c>
      <c r="EH500" s="46">
        <f t="shared" si="130"/>
        <v>0</v>
      </c>
      <c r="EI500" s="46">
        <f t="shared" si="112"/>
        <v>0</v>
      </c>
    </row>
    <row r="501" spans="3:139">
      <c r="C501" s="55" t="s">
        <v>758</v>
      </c>
      <c r="D501" s="36" t="s">
        <v>752</v>
      </c>
      <c r="E501" s="36" t="s">
        <v>753</v>
      </c>
      <c r="F501" s="38">
        <f t="shared" si="111"/>
        <v>1920</v>
      </c>
      <c r="G501" s="76" t="s">
        <v>759</v>
      </c>
      <c r="H501" s="61"/>
      <c r="I501" s="60"/>
      <c r="J501" s="65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5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5"/>
      <c r="AI501" s="60"/>
      <c r="AJ501" s="60"/>
      <c r="AK501" s="60"/>
      <c r="AL501" s="60"/>
      <c r="AM501" s="60"/>
      <c r="AN501" s="60"/>
      <c r="AO501" s="60"/>
      <c r="AP501" s="60"/>
      <c r="AQ501" s="60"/>
      <c r="AR501" s="65"/>
      <c r="AS501" s="65"/>
      <c r="AT501" s="65"/>
      <c r="AU501" s="65"/>
      <c r="AV501" s="65"/>
      <c r="AW501" s="65"/>
      <c r="AX501" s="65"/>
      <c r="AY501" s="71"/>
      <c r="AZ501" s="72"/>
      <c r="BA501" s="73"/>
      <c r="BB501" s="73"/>
      <c r="BC501" s="73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  <c r="CD501" s="74"/>
      <c r="CE501" s="74"/>
      <c r="CF501" s="74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74">
        <v>0</v>
      </c>
      <c r="CR501" s="74"/>
      <c r="CS501" s="74"/>
      <c r="CT501" s="74">
        <v>0</v>
      </c>
      <c r="CU501" s="74"/>
      <c r="CV501" s="74">
        <v>1920</v>
      </c>
      <c r="CW501" s="74"/>
      <c r="CX501" s="74"/>
      <c r="CY501" s="74"/>
      <c r="CZ501" s="74"/>
      <c r="DA501" s="74"/>
      <c r="DB501" s="74">
        <v>0</v>
      </c>
      <c r="DC501" s="51"/>
      <c r="DD501" s="51"/>
      <c r="DE501" s="51"/>
      <c r="DF501" s="52"/>
      <c r="DG501" s="52"/>
      <c r="DH501" s="52"/>
      <c r="DI501" s="52"/>
      <c r="DJ501" s="52"/>
      <c r="DK501" s="52"/>
      <c r="DL501" s="52"/>
      <c r="DM501" s="52"/>
      <c r="DN501" s="52"/>
      <c r="DO501" s="52"/>
      <c r="DP501" s="52"/>
      <c r="DQ501" s="52"/>
      <c r="DR501" s="52"/>
      <c r="DS501" s="75">
        <v>0</v>
      </c>
      <c r="DT501" s="75">
        <v>0</v>
      </c>
      <c r="DU501" s="75">
        <v>0</v>
      </c>
      <c r="DV501" s="75">
        <v>0</v>
      </c>
      <c r="DW501" s="75">
        <v>0</v>
      </c>
      <c r="DX501" s="2"/>
      <c r="DY501" s="2"/>
      <c r="DZ501" s="46">
        <f t="shared" si="131"/>
        <v>0</v>
      </c>
      <c r="EA501" s="46">
        <f t="shared" si="132"/>
        <v>0</v>
      </c>
      <c r="EB501" s="46">
        <f t="shared" si="133"/>
        <v>0</v>
      </c>
      <c r="EC501" s="46">
        <f t="shared" si="134"/>
        <v>0</v>
      </c>
      <c r="ED501" s="46">
        <f t="shared" si="135"/>
        <v>0</v>
      </c>
      <c r="EE501" s="46">
        <f t="shared" si="136"/>
        <v>0</v>
      </c>
      <c r="EF501" s="46">
        <f t="shared" si="137"/>
        <v>0</v>
      </c>
      <c r="EG501" s="46">
        <f t="shared" si="138"/>
        <v>1920</v>
      </c>
      <c r="EH501" s="46">
        <f t="shared" si="130"/>
        <v>0</v>
      </c>
      <c r="EI501" s="46">
        <f t="shared" si="112"/>
        <v>0</v>
      </c>
    </row>
    <row r="502" spans="3:139">
      <c r="C502" s="36" t="s">
        <v>760</v>
      </c>
      <c r="D502" s="36" t="s">
        <v>752</v>
      </c>
      <c r="E502" s="36" t="s">
        <v>753</v>
      </c>
      <c r="F502" s="38">
        <f t="shared" si="111"/>
        <v>13878</v>
      </c>
      <c r="G502" s="14" t="s">
        <v>754</v>
      </c>
      <c r="H502" s="61"/>
      <c r="I502" s="60"/>
      <c r="J502" s="65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5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5"/>
      <c r="AI502" s="60"/>
      <c r="AJ502" s="60"/>
      <c r="AK502" s="60"/>
      <c r="AL502" s="60"/>
      <c r="AM502" s="60"/>
      <c r="AN502" s="60"/>
      <c r="AO502" s="60"/>
      <c r="AP502" s="60"/>
      <c r="AQ502" s="60"/>
      <c r="AR502" s="65"/>
      <c r="AS502" s="65"/>
      <c r="AT502" s="65"/>
      <c r="AU502" s="65"/>
      <c r="AV502" s="65"/>
      <c r="AW502" s="65"/>
      <c r="AX502" s="65"/>
      <c r="AY502" s="71"/>
      <c r="AZ502" s="72"/>
      <c r="BA502" s="73"/>
      <c r="BB502" s="73"/>
      <c r="BC502" s="73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  <c r="BY502" s="74"/>
      <c r="BZ502" s="74"/>
      <c r="CA502" s="74"/>
      <c r="CB502" s="74"/>
      <c r="CC502" s="74"/>
      <c r="CD502" s="74"/>
      <c r="CE502" s="74"/>
      <c r="CF502" s="74"/>
      <c r="CG502" s="74"/>
      <c r="CH502" s="74"/>
      <c r="CI502" s="74"/>
      <c r="CJ502" s="74"/>
      <c r="CK502" s="74"/>
      <c r="CL502" s="74"/>
      <c r="CM502" s="74"/>
      <c r="CN502" s="74"/>
      <c r="CO502" s="74"/>
      <c r="CP502" s="74"/>
      <c r="CQ502" s="74"/>
      <c r="CR502" s="74"/>
      <c r="CS502" s="74"/>
      <c r="CT502" s="74"/>
      <c r="CU502" s="74"/>
      <c r="CV502" s="74">
        <v>13878</v>
      </c>
      <c r="CW502" s="74"/>
      <c r="CX502" s="74"/>
      <c r="CY502" s="74"/>
      <c r="CZ502" s="74"/>
      <c r="DA502" s="74"/>
      <c r="DB502" s="74">
        <v>0</v>
      </c>
      <c r="DC502" s="51"/>
      <c r="DD502" s="51"/>
      <c r="DE502" s="51"/>
      <c r="DF502" s="52"/>
      <c r="DG502" s="52"/>
      <c r="DH502" s="52"/>
      <c r="DI502" s="52"/>
      <c r="DJ502" s="52"/>
      <c r="DK502" s="52"/>
      <c r="DL502" s="52">
        <v>0</v>
      </c>
      <c r="DM502" s="52"/>
      <c r="DN502" s="52"/>
      <c r="DO502" s="52"/>
      <c r="DP502" s="52"/>
      <c r="DQ502" s="52"/>
      <c r="DR502" s="52"/>
      <c r="DS502" s="75">
        <v>0</v>
      </c>
      <c r="DT502" s="75">
        <v>0</v>
      </c>
      <c r="DU502" s="75">
        <v>0</v>
      </c>
      <c r="DV502" s="75">
        <v>0</v>
      </c>
      <c r="DW502" s="75">
        <v>0</v>
      </c>
      <c r="DX502" s="2"/>
      <c r="DY502" s="2"/>
      <c r="DZ502" s="46">
        <f t="shared" si="131"/>
        <v>0</v>
      </c>
      <c r="EA502" s="46">
        <f t="shared" si="132"/>
        <v>0</v>
      </c>
      <c r="EB502" s="46">
        <f t="shared" si="133"/>
        <v>0</v>
      </c>
      <c r="EC502" s="46">
        <f t="shared" si="134"/>
        <v>0</v>
      </c>
      <c r="ED502" s="46">
        <f t="shared" si="135"/>
        <v>0</v>
      </c>
      <c r="EE502" s="46">
        <f t="shared" si="136"/>
        <v>0</v>
      </c>
      <c r="EF502" s="46">
        <f t="shared" si="137"/>
        <v>0</v>
      </c>
      <c r="EG502" s="46">
        <f t="shared" si="138"/>
        <v>13878</v>
      </c>
      <c r="EH502" s="46">
        <f t="shared" si="130"/>
        <v>0</v>
      </c>
      <c r="EI502" s="46">
        <f t="shared" si="112"/>
        <v>0</v>
      </c>
    </row>
    <row r="503" spans="3:139">
      <c r="C503" s="55" t="s">
        <v>761</v>
      </c>
      <c r="D503" s="36" t="s">
        <v>752</v>
      </c>
      <c r="E503" s="36" t="s">
        <v>753</v>
      </c>
      <c r="F503" s="38">
        <f t="shared" si="111"/>
        <v>640</v>
      </c>
      <c r="G503" s="76" t="s">
        <v>759</v>
      </c>
      <c r="H503" s="61"/>
      <c r="I503" s="60"/>
      <c r="J503" s="65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5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5"/>
      <c r="AI503" s="60"/>
      <c r="AJ503" s="60"/>
      <c r="AK503" s="60"/>
      <c r="AL503" s="60"/>
      <c r="AM503" s="60"/>
      <c r="AN503" s="60"/>
      <c r="AO503" s="60"/>
      <c r="AP503" s="60"/>
      <c r="AQ503" s="60"/>
      <c r="AR503" s="65"/>
      <c r="AS503" s="65"/>
      <c r="AT503" s="65"/>
      <c r="AU503" s="65"/>
      <c r="AV503" s="65"/>
      <c r="AW503" s="65"/>
      <c r="AX503" s="65"/>
      <c r="AY503" s="71"/>
      <c r="AZ503" s="72"/>
      <c r="BA503" s="73"/>
      <c r="BB503" s="73"/>
      <c r="BC503" s="73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  <c r="BY503" s="74"/>
      <c r="BZ503" s="74"/>
      <c r="CA503" s="74"/>
      <c r="CB503" s="74"/>
      <c r="CC503" s="74"/>
      <c r="CD503" s="74"/>
      <c r="CE503" s="74"/>
      <c r="CF503" s="74"/>
      <c r="CG503" s="74"/>
      <c r="CH503" s="74"/>
      <c r="CI503" s="74"/>
      <c r="CJ503" s="74"/>
      <c r="CK503" s="74"/>
      <c r="CL503" s="74"/>
      <c r="CM503" s="74"/>
      <c r="CN503" s="74"/>
      <c r="CO503" s="74"/>
      <c r="CP503" s="74"/>
      <c r="CQ503" s="74">
        <v>0</v>
      </c>
      <c r="CR503" s="74"/>
      <c r="CS503" s="74"/>
      <c r="CT503" s="74">
        <v>0</v>
      </c>
      <c r="CU503" s="74"/>
      <c r="CV503" s="74">
        <v>640</v>
      </c>
      <c r="CW503" s="74"/>
      <c r="CX503" s="74"/>
      <c r="CY503" s="74"/>
      <c r="CZ503" s="74"/>
      <c r="DA503" s="74"/>
      <c r="DB503" s="74">
        <v>0</v>
      </c>
      <c r="DC503" s="51"/>
      <c r="DD503" s="51"/>
      <c r="DE503" s="51"/>
      <c r="DF503" s="52"/>
      <c r="DG503" s="52"/>
      <c r="DH503" s="52"/>
      <c r="DI503" s="52"/>
      <c r="DJ503" s="52"/>
      <c r="DK503" s="52"/>
      <c r="DL503" s="52">
        <v>0</v>
      </c>
      <c r="DM503" s="52"/>
      <c r="DN503" s="52"/>
      <c r="DO503" s="52"/>
      <c r="DP503" s="52"/>
      <c r="DQ503" s="52"/>
      <c r="DR503" s="52"/>
      <c r="DS503" s="75">
        <v>0</v>
      </c>
      <c r="DT503" s="75">
        <v>0</v>
      </c>
      <c r="DU503" s="75">
        <v>0</v>
      </c>
      <c r="DV503" s="75">
        <v>0</v>
      </c>
      <c r="DW503" s="75">
        <v>0</v>
      </c>
      <c r="DX503" s="2"/>
      <c r="DY503" s="2"/>
      <c r="DZ503" s="46">
        <f t="shared" si="131"/>
        <v>0</v>
      </c>
      <c r="EA503" s="46">
        <f t="shared" si="132"/>
        <v>0</v>
      </c>
      <c r="EB503" s="46">
        <f t="shared" si="133"/>
        <v>0</v>
      </c>
      <c r="EC503" s="46">
        <f t="shared" si="134"/>
        <v>0</v>
      </c>
      <c r="ED503" s="46">
        <f t="shared" si="135"/>
        <v>0</v>
      </c>
      <c r="EE503" s="46">
        <f t="shared" si="136"/>
        <v>0</v>
      </c>
      <c r="EF503" s="46">
        <f t="shared" si="137"/>
        <v>0</v>
      </c>
      <c r="EG503" s="46">
        <f t="shared" si="138"/>
        <v>640</v>
      </c>
      <c r="EH503" s="46">
        <f t="shared" si="130"/>
        <v>0</v>
      </c>
      <c r="EI503" s="46">
        <f t="shared" si="112"/>
        <v>0</v>
      </c>
    </row>
    <row r="504" spans="3:139">
      <c r="C504" s="55" t="s">
        <v>762</v>
      </c>
      <c r="D504" s="36" t="s">
        <v>752</v>
      </c>
      <c r="E504" s="36" t="s">
        <v>753</v>
      </c>
      <c r="F504" s="38">
        <f t="shared" si="111"/>
        <v>1910</v>
      </c>
      <c r="G504" s="76" t="s">
        <v>759</v>
      </c>
      <c r="H504" s="61"/>
      <c r="I504" s="60"/>
      <c r="J504" s="65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5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5"/>
      <c r="AI504" s="60"/>
      <c r="AJ504" s="60"/>
      <c r="AK504" s="60"/>
      <c r="AL504" s="60"/>
      <c r="AM504" s="60"/>
      <c r="AN504" s="60"/>
      <c r="AO504" s="60"/>
      <c r="AP504" s="60"/>
      <c r="AQ504" s="60"/>
      <c r="AR504" s="65"/>
      <c r="AS504" s="65"/>
      <c r="AT504" s="65"/>
      <c r="AU504" s="65"/>
      <c r="AV504" s="65"/>
      <c r="AW504" s="65"/>
      <c r="AX504" s="65"/>
      <c r="AY504" s="71"/>
      <c r="AZ504" s="72"/>
      <c r="BA504" s="73"/>
      <c r="BB504" s="73"/>
      <c r="BC504" s="73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  <c r="BY504" s="74"/>
      <c r="BZ504" s="74"/>
      <c r="CA504" s="74"/>
      <c r="CB504" s="74"/>
      <c r="CC504" s="74"/>
      <c r="CD504" s="74"/>
      <c r="CE504" s="74"/>
      <c r="CF504" s="74"/>
      <c r="CG504" s="74"/>
      <c r="CH504" s="74"/>
      <c r="CI504" s="74"/>
      <c r="CJ504" s="74"/>
      <c r="CK504" s="74"/>
      <c r="CL504" s="74"/>
      <c r="CM504" s="74"/>
      <c r="CN504" s="74"/>
      <c r="CO504" s="74"/>
      <c r="CP504" s="74"/>
      <c r="CQ504" s="74"/>
      <c r="CR504" s="74"/>
      <c r="CS504" s="74"/>
      <c r="CT504" s="74"/>
      <c r="CU504" s="74"/>
      <c r="CV504" s="74">
        <v>1910</v>
      </c>
      <c r="CW504" s="74"/>
      <c r="CX504" s="74"/>
      <c r="CY504" s="74"/>
      <c r="CZ504" s="74"/>
      <c r="DA504" s="74"/>
      <c r="DB504" s="74">
        <v>0</v>
      </c>
      <c r="DC504" s="51"/>
      <c r="DD504" s="51"/>
      <c r="DE504" s="51"/>
      <c r="DF504" s="52"/>
      <c r="DG504" s="52"/>
      <c r="DH504" s="52"/>
      <c r="DI504" s="52"/>
      <c r="DJ504" s="52"/>
      <c r="DK504" s="52"/>
      <c r="DL504" s="52">
        <v>0</v>
      </c>
      <c r="DM504" s="52"/>
      <c r="DN504" s="52"/>
      <c r="DO504" s="52"/>
      <c r="DP504" s="52"/>
      <c r="DQ504" s="52"/>
      <c r="DR504" s="52"/>
      <c r="DS504" s="75">
        <v>0</v>
      </c>
      <c r="DT504" s="75">
        <v>0</v>
      </c>
      <c r="DU504" s="75">
        <v>0</v>
      </c>
      <c r="DV504" s="75">
        <v>0</v>
      </c>
      <c r="DW504" s="75">
        <v>0</v>
      </c>
      <c r="DX504" s="2"/>
      <c r="DY504" s="2"/>
      <c r="DZ504" s="46">
        <f t="shared" si="131"/>
        <v>0</v>
      </c>
      <c r="EA504" s="46">
        <f t="shared" si="132"/>
        <v>0</v>
      </c>
      <c r="EB504" s="46">
        <f t="shared" si="133"/>
        <v>0</v>
      </c>
      <c r="EC504" s="46">
        <f t="shared" si="134"/>
        <v>0</v>
      </c>
      <c r="ED504" s="46">
        <f t="shared" si="135"/>
        <v>0</v>
      </c>
      <c r="EE504" s="46">
        <f t="shared" si="136"/>
        <v>0</v>
      </c>
      <c r="EF504" s="46">
        <f t="shared" si="137"/>
        <v>0</v>
      </c>
      <c r="EG504" s="46">
        <f t="shared" si="138"/>
        <v>1910</v>
      </c>
      <c r="EH504" s="46">
        <f t="shared" si="130"/>
        <v>0</v>
      </c>
      <c r="EI504" s="46">
        <f t="shared" si="112"/>
        <v>0</v>
      </c>
    </row>
    <row r="505" spans="3:139">
      <c r="C505" s="36" t="s">
        <v>763</v>
      </c>
      <c r="D505" s="36" t="s">
        <v>756</v>
      </c>
      <c r="E505" s="36" t="s">
        <v>757</v>
      </c>
      <c r="F505" s="38">
        <f t="shared" si="111"/>
        <v>0</v>
      </c>
      <c r="G505" s="14" t="s">
        <v>754</v>
      </c>
      <c r="H505" s="61"/>
      <c r="I505" s="60"/>
      <c r="J505" s="65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5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5"/>
      <c r="AI505" s="60"/>
      <c r="AJ505" s="60"/>
      <c r="AK505" s="60"/>
      <c r="AL505" s="60"/>
      <c r="AM505" s="60"/>
      <c r="AN505" s="60"/>
      <c r="AO505" s="60"/>
      <c r="AP505" s="60"/>
      <c r="AQ505" s="60"/>
      <c r="AR505" s="65"/>
      <c r="AS505" s="65"/>
      <c r="AT505" s="65"/>
      <c r="AU505" s="65"/>
      <c r="AV505" s="65"/>
      <c r="AW505" s="65"/>
      <c r="AX505" s="65"/>
      <c r="AY505" s="71"/>
      <c r="AZ505" s="72"/>
      <c r="BA505" s="73"/>
      <c r="BB505" s="73"/>
      <c r="BC505" s="73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74"/>
      <c r="BU505" s="74"/>
      <c r="BV505" s="74"/>
      <c r="BW505" s="74"/>
      <c r="BX505" s="74"/>
      <c r="BY505" s="74"/>
      <c r="BZ505" s="74"/>
      <c r="CA505" s="74"/>
      <c r="CB505" s="74"/>
      <c r="CC505" s="74"/>
      <c r="CD505" s="74"/>
      <c r="CE505" s="74"/>
      <c r="CF505" s="74"/>
      <c r="CG505" s="74"/>
      <c r="CH505" s="74"/>
      <c r="CI505" s="74"/>
      <c r="CJ505" s="74"/>
      <c r="CK505" s="74"/>
      <c r="CL505" s="74"/>
      <c r="CM505" s="74"/>
      <c r="CN505" s="74"/>
      <c r="CO505" s="74"/>
      <c r="CP505" s="74"/>
      <c r="CQ505" s="74"/>
      <c r="CR505" s="74"/>
      <c r="CS505" s="74"/>
      <c r="CT505" s="74"/>
      <c r="CU505" s="74"/>
      <c r="CV505" s="74">
        <v>0</v>
      </c>
      <c r="CW505" s="74"/>
      <c r="CX505" s="74"/>
      <c r="CY505" s="74"/>
      <c r="CZ505" s="74"/>
      <c r="DA505" s="74"/>
      <c r="DB505" s="74">
        <v>0</v>
      </c>
      <c r="DC505" s="51"/>
      <c r="DD505" s="51"/>
      <c r="DE505" s="51"/>
      <c r="DF505" s="52"/>
      <c r="DG505" s="52"/>
      <c r="DH505" s="52"/>
      <c r="DI505" s="52"/>
      <c r="DJ505" s="52"/>
      <c r="DK505" s="52"/>
      <c r="DL505" s="52"/>
      <c r="DM505" s="52"/>
      <c r="DN505" s="52"/>
      <c r="DO505" s="52"/>
      <c r="DP505" s="52"/>
      <c r="DQ505" s="52"/>
      <c r="DR505" s="52"/>
      <c r="DS505" s="75">
        <v>0</v>
      </c>
      <c r="DT505" s="75">
        <v>0</v>
      </c>
      <c r="DU505" s="75">
        <v>0</v>
      </c>
      <c r="DV505" s="75">
        <v>0</v>
      </c>
      <c r="DW505" s="75">
        <v>0</v>
      </c>
      <c r="DX505" s="2"/>
      <c r="DY505" s="2"/>
      <c r="DZ505" s="46">
        <f t="shared" si="131"/>
        <v>0</v>
      </c>
      <c r="EA505" s="46">
        <f t="shared" si="132"/>
        <v>0</v>
      </c>
      <c r="EB505" s="46">
        <f t="shared" si="133"/>
        <v>0</v>
      </c>
      <c r="EC505" s="46">
        <f t="shared" si="134"/>
        <v>0</v>
      </c>
      <c r="ED505" s="46">
        <f t="shared" si="135"/>
        <v>0</v>
      </c>
      <c r="EE505" s="46">
        <f t="shared" si="136"/>
        <v>0</v>
      </c>
      <c r="EF505" s="46">
        <f t="shared" si="137"/>
        <v>0</v>
      </c>
      <c r="EG505" s="46">
        <f t="shared" si="138"/>
        <v>0</v>
      </c>
      <c r="EH505" s="46">
        <f t="shared" si="130"/>
        <v>0</v>
      </c>
      <c r="EI505" s="46">
        <f t="shared" si="112"/>
        <v>0</v>
      </c>
    </row>
    <row r="506" spans="3:139">
      <c r="C506" s="36" t="s">
        <v>764</v>
      </c>
      <c r="D506" s="36" t="s">
        <v>752</v>
      </c>
      <c r="E506" s="36" t="s">
        <v>753</v>
      </c>
      <c r="F506" s="38">
        <f t="shared" si="111"/>
        <v>0</v>
      </c>
      <c r="G506" s="14" t="s">
        <v>754</v>
      </c>
      <c r="H506" s="61"/>
      <c r="I506" s="60"/>
      <c r="J506" s="65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5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5"/>
      <c r="AI506" s="60"/>
      <c r="AJ506" s="60"/>
      <c r="AK506" s="60"/>
      <c r="AL506" s="60"/>
      <c r="AM506" s="60"/>
      <c r="AN506" s="60"/>
      <c r="AO506" s="60"/>
      <c r="AP506" s="60"/>
      <c r="AQ506" s="60"/>
      <c r="AR506" s="65"/>
      <c r="AS506" s="65"/>
      <c r="AT506" s="65"/>
      <c r="AU506" s="65"/>
      <c r="AV506" s="65"/>
      <c r="AW506" s="65"/>
      <c r="AX506" s="65"/>
      <c r="AY506" s="71"/>
      <c r="AZ506" s="72"/>
      <c r="BA506" s="73"/>
      <c r="BB506" s="73"/>
      <c r="BC506" s="73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  <c r="BY506" s="74"/>
      <c r="BZ506" s="74"/>
      <c r="CA506" s="74"/>
      <c r="CB506" s="74"/>
      <c r="CC506" s="74"/>
      <c r="CD506" s="74"/>
      <c r="CE506" s="74"/>
      <c r="CF506" s="74"/>
      <c r="CG506" s="74"/>
      <c r="CH506" s="74"/>
      <c r="CI506" s="74"/>
      <c r="CJ506" s="74"/>
      <c r="CK506" s="74"/>
      <c r="CL506" s="74"/>
      <c r="CM506" s="74"/>
      <c r="CN506" s="74"/>
      <c r="CO506" s="74"/>
      <c r="CP506" s="74"/>
      <c r="CQ506" s="74"/>
      <c r="CR506" s="74"/>
      <c r="CS506" s="74"/>
      <c r="CT506" s="74"/>
      <c r="CU506" s="74"/>
      <c r="CV506" s="74">
        <v>0</v>
      </c>
      <c r="CW506" s="74"/>
      <c r="CX506" s="74"/>
      <c r="CY506" s="74"/>
      <c r="CZ506" s="74"/>
      <c r="DA506" s="74"/>
      <c r="DB506" s="74">
        <v>0</v>
      </c>
      <c r="DC506" s="51"/>
      <c r="DD506" s="51"/>
      <c r="DE506" s="51"/>
      <c r="DF506" s="52"/>
      <c r="DG506" s="52"/>
      <c r="DH506" s="52"/>
      <c r="DI506" s="52"/>
      <c r="DJ506" s="52"/>
      <c r="DK506" s="52"/>
      <c r="DL506" s="52">
        <v>0</v>
      </c>
      <c r="DM506" s="52"/>
      <c r="DN506" s="52"/>
      <c r="DO506" s="52"/>
      <c r="DP506" s="52"/>
      <c r="DQ506" s="52"/>
      <c r="DR506" s="52"/>
      <c r="DS506" s="75">
        <v>0</v>
      </c>
      <c r="DT506" s="75">
        <v>0</v>
      </c>
      <c r="DU506" s="75">
        <v>0</v>
      </c>
      <c r="DV506" s="75">
        <v>0</v>
      </c>
      <c r="DW506" s="75">
        <v>0</v>
      </c>
      <c r="DX506" s="2"/>
      <c r="DY506" s="2"/>
      <c r="DZ506" s="46">
        <f t="shared" si="131"/>
        <v>0</v>
      </c>
      <c r="EA506" s="46">
        <f t="shared" si="132"/>
        <v>0</v>
      </c>
      <c r="EB506" s="46">
        <f t="shared" si="133"/>
        <v>0</v>
      </c>
      <c r="EC506" s="46">
        <f t="shared" si="134"/>
        <v>0</v>
      </c>
      <c r="ED506" s="46">
        <f t="shared" si="135"/>
        <v>0</v>
      </c>
      <c r="EE506" s="46">
        <f t="shared" si="136"/>
        <v>0</v>
      </c>
      <c r="EF506" s="46">
        <f t="shared" si="137"/>
        <v>0</v>
      </c>
      <c r="EG506" s="46">
        <f t="shared" si="138"/>
        <v>0</v>
      </c>
      <c r="EH506" s="46">
        <f t="shared" si="130"/>
        <v>0</v>
      </c>
      <c r="EI506" s="46">
        <f t="shared" si="112"/>
        <v>0</v>
      </c>
    </row>
    <row r="507" spans="3:139">
      <c r="C507" s="36" t="s">
        <v>765</v>
      </c>
      <c r="D507" s="36" t="s">
        <v>752</v>
      </c>
      <c r="E507" s="36" t="s">
        <v>753</v>
      </c>
      <c r="F507" s="38">
        <f t="shared" si="111"/>
        <v>320</v>
      </c>
      <c r="G507" s="14" t="s">
        <v>754</v>
      </c>
      <c r="H507" s="61"/>
      <c r="I507" s="60"/>
      <c r="J507" s="65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5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5"/>
      <c r="AI507" s="60"/>
      <c r="AJ507" s="60"/>
      <c r="AK507" s="60"/>
      <c r="AL507" s="60"/>
      <c r="AM507" s="60"/>
      <c r="AN507" s="60"/>
      <c r="AO507" s="60"/>
      <c r="AP507" s="60"/>
      <c r="AQ507" s="60"/>
      <c r="AR507" s="65"/>
      <c r="AS507" s="65"/>
      <c r="AT507" s="65"/>
      <c r="AU507" s="65"/>
      <c r="AV507" s="65"/>
      <c r="AW507" s="65"/>
      <c r="AX507" s="65"/>
      <c r="AY507" s="71"/>
      <c r="AZ507" s="72"/>
      <c r="BA507" s="73"/>
      <c r="BB507" s="73"/>
      <c r="BC507" s="73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  <c r="BY507" s="74"/>
      <c r="BZ507" s="74"/>
      <c r="CA507" s="74"/>
      <c r="CB507" s="74"/>
      <c r="CC507" s="74"/>
      <c r="CD507" s="74"/>
      <c r="CE507" s="74"/>
      <c r="CF507" s="74"/>
      <c r="CG507" s="74"/>
      <c r="CH507" s="74"/>
      <c r="CI507" s="74"/>
      <c r="CJ507" s="74"/>
      <c r="CK507" s="74"/>
      <c r="CL507" s="74"/>
      <c r="CM507" s="74"/>
      <c r="CN507" s="74"/>
      <c r="CO507" s="74"/>
      <c r="CP507" s="74"/>
      <c r="CQ507" s="74"/>
      <c r="CR507" s="74"/>
      <c r="CS507" s="74"/>
      <c r="CT507" s="74"/>
      <c r="CU507" s="74"/>
      <c r="CV507" s="74">
        <v>320</v>
      </c>
      <c r="CW507" s="74"/>
      <c r="CX507" s="74"/>
      <c r="CY507" s="74"/>
      <c r="CZ507" s="74"/>
      <c r="DA507" s="74"/>
      <c r="DB507" s="74">
        <v>0</v>
      </c>
      <c r="DC507" s="51"/>
      <c r="DD507" s="51"/>
      <c r="DE507" s="51"/>
      <c r="DF507" s="52"/>
      <c r="DG507" s="52"/>
      <c r="DH507" s="52"/>
      <c r="DI507" s="52"/>
      <c r="DJ507" s="52"/>
      <c r="DK507" s="52"/>
      <c r="DL507" s="52"/>
      <c r="DM507" s="52"/>
      <c r="DN507" s="52"/>
      <c r="DO507" s="52"/>
      <c r="DP507" s="52"/>
      <c r="DQ507" s="52"/>
      <c r="DR507" s="52"/>
      <c r="DS507" s="75">
        <v>0</v>
      </c>
      <c r="DT507" s="75">
        <v>0</v>
      </c>
      <c r="DU507" s="75">
        <v>0</v>
      </c>
      <c r="DV507" s="75">
        <v>0</v>
      </c>
      <c r="DW507" s="75">
        <v>0</v>
      </c>
      <c r="DX507" s="2"/>
      <c r="DY507" s="2"/>
      <c r="DZ507" s="46">
        <f t="shared" si="131"/>
        <v>0</v>
      </c>
      <c r="EA507" s="46">
        <f t="shared" si="132"/>
        <v>0</v>
      </c>
      <c r="EB507" s="46">
        <f t="shared" si="133"/>
        <v>0</v>
      </c>
      <c r="EC507" s="46">
        <f t="shared" si="134"/>
        <v>0</v>
      </c>
      <c r="ED507" s="46">
        <f t="shared" si="135"/>
        <v>0</v>
      </c>
      <c r="EE507" s="46">
        <f t="shared" si="136"/>
        <v>0</v>
      </c>
      <c r="EF507" s="46">
        <f t="shared" si="137"/>
        <v>0</v>
      </c>
      <c r="EG507" s="46">
        <f t="shared" si="138"/>
        <v>320</v>
      </c>
      <c r="EH507" s="46">
        <f t="shared" si="130"/>
        <v>0</v>
      </c>
      <c r="EI507" s="46">
        <f t="shared" si="112"/>
        <v>0</v>
      </c>
    </row>
    <row r="508" spans="3:139">
      <c r="C508" s="36" t="s">
        <v>766</v>
      </c>
      <c r="D508" s="36" t="s">
        <v>752</v>
      </c>
      <c r="E508" s="36" t="s">
        <v>753</v>
      </c>
      <c r="F508" s="38">
        <f t="shared" si="111"/>
        <v>4080</v>
      </c>
      <c r="G508" s="14" t="s">
        <v>754</v>
      </c>
      <c r="H508" s="61"/>
      <c r="I508" s="60"/>
      <c r="J508" s="65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5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5"/>
      <c r="AI508" s="60"/>
      <c r="AJ508" s="60"/>
      <c r="AK508" s="60"/>
      <c r="AL508" s="60"/>
      <c r="AM508" s="60"/>
      <c r="AN508" s="60"/>
      <c r="AO508" s="60"/>
      <c r="AP508" s="60"/>
      <c r="AQ508" s="60"/>
      <c r="AR508" s="65"/>
      <c r="AS508" s="65"/>
      <c r="AT508" s="65"/>
      <c r="AU508" s="65"/>
      <c r="AV508" s="65"/>
      <c r="AW508" s="65"/>
      <c r="AX508" s="65"/>
      <c r="AY508" s="71"/>
      <c r="AZ508" s="72"/>
      <c r="BA508" s="73"/>
      <c r="BB508" s="73"/>
      <c r="BC508" s="73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  <c r="CD508" s="74"/>
      <c r="CE508" s="74"/>
      <c r="CF508" s="74"/>
      <c r="CG508" s="74"/>
      <c r="CH508" s="74"/>
      <c r="CI508" s="74"/>
      <c r="CJ508" s="74"/>
      <c r="CK508" s="74"/>
      <c r="CL508" s="74"/>
      <c r="CM508" s="74"/>
      <c r="CN508" s="74"/>
      <c r="CO508" s="74"/>
      <c r="CP508" s="74"/>
      <c r="CQ508" s="74"/>
      <c r="CR508" s="74"/>
      <c r="CS508" s="74"/>
      <c r="CT508" s="74"/>
      <c r="CU508" s="74"/>
      <c r="CV508" s="74">
        <v>4080</v>
      </c>
      <c r="CW508" s="74"/>
      <c r="CX508" s="74"/>
      <c r="CY508" s="74"/>
      <c r="CZ508" s="74"/>
      <c r="DA508" s="74"/>
      <c r="DB508" s="74">
        <v>0</v>
      </c>
      <c r="DC508" s="51"/>
      <c r="DD508" s="51"/>
      <c r="DE508" s="51"/>
      <c r="DF508" s="52"/>
      <c r="DG508" s="52"/>
      <c r="DH508" s="52"/>
      <c r="DI508" s="52"/>
      <c r="DJ508" s="52"/>
      <c r="DK508" s="52"/>
      <c r="DL508" s="52">
        <v>0</v>
      </c>
      <c r="DM508" s="52"/>
      <c r="DN508" s="52"/>
      <c r="DO508" s="52"/>
      <c r="DP508" s="52"/>
      <c r="DQ508" s="52"/>
      <c r="DR508" s="52"/>
      <c r="DS508" s="75">
        <v>0</v>
      </c>
      <c r="DT508" s="75">
        <v>0</v>
      </c>
      <c r="DU508" s="75">
        <v>0</v>
      </c>
      <c r="DV508" s="75">
        <v>0</v>
      </c>
      <c r="DW508" s="75">
        <v>0</v>
      </c>
      <c r="DX508" s="2"/>
      <c r="DY508" s="2"/>
      <c r="DZ508" s="46">
        <f t="shared" si="131"/>
        <v>0</v>
      </c>
      <c r="EA508" s="46">
        <f t="shared" si="132"/>
        <v>0</v>
      </c>
      <c r="EB508" s="46">
        <f t="shared" si="133"/>
        <v>0</v>
      </c>
      <c r="EC508" s="46">
        <f t="shared" si="134"/>
        <v>0</v>
      </c>
      <c r="ED508" s="46">
        <f t="shared" si="135"/>
        <v>0</v>
      </c>
      <c r="EE508" s="46">
        <f t="shared" si="136"/>
        <v>0</v>
      </c>
      <c r="EF508" s="46">
        <f t="shared" si="137"/>
        <v>0</v>
      </c>
      <c r="EG508" s="46">
        <f t="shared" si="138"/>
        <v>4080</v>
      </c>
      <c r="EH508" s="46">
        <f t="shared" si="130"/>
        <v>0</v>
      </c>
      <c r="EI508" s="46">
        <f t="shared" si="112"/>
        <v>0</v>
      </c>
    </row>
    <row r="509" spans="3:139">
      <c r="C509" s="36" t="s">
        <v>767</v>
      </c>
      <c r="D509" s="36" t="s">
        <v>752</v>
      </c>
      <c r="E509" s="36" t="s">
        <v>753</v>
      </c>
      <c r="F509" s="38">
        <f t="shared" si="111"/>
        <v>0</v>
      </c>
      <c r="G509" s="14" t="s">
        <v>754</v>
      </c>
      <c r="H509" s="61"/>
      <c r="I509" s="60"/>
      <c r="J509" s="65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5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5"/>
      <c r="AI509" s="60"/>
      <c r="AJ509" s="60"/>
      <c r="AK509" s="60"/>
      <c r="AL509" s="60"/>
      <c r="AM509" s="60"/>
      <c r="AN509" s="60"/>
      <c r="AO509" s="60"/>
      <c r="AP509" s="60"/>
      <c r="AQ509" s="60"/>
      <c r="AR509" s="65"/>
      <c r="AS509" s="65"/>
      <c r="AT509" s="65"/>
      <c r="AU509" s="65"/>
      <c r="AV509" s="65"/>
      <c r="AW509" s="65"/>
      <c r="AX509" s="65"/>
      <c r="AY509" s="71"/>
      <c r="AZ509" s="72"/>
      <c r="BA509" s="73"/>
      <c r="BB509" s="73"/>
      <c r="BC509" s="73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  <c r="CP509" s="74"/>
      <c r="CQ509" s="74"/>
      <c r="CR509" s="74"/>
      <c r="CS509" s="74"/>
      <c r="CT509" s="74"/>
      <c r="CU509" s="74"/>
      <c r="CV509" s="74">
        <v>0</v>
      </c>
      <c r="CW509" s="74"/>
      <c r="CX509" s="74"/>
      <c r="CY509" s="74"/>
      <c r="CZ509" s="74"/>
      <c r="DA509" s="74"/>
      <c r="DB509" s="74">
        <v>0</v>
      </c>
      <c r="DC509" s="51"/>
      <c r="DD509" s="51"/>
      <c r="DE509" s="51"/>
      <c r="DF509" s="52"/>
      <c r="DG509" s="52"/>
      <c r="DH509" s="52"/>
      <c r="DI509" s="52"/>
      <c r="DJ509" s="52"/>
      <c r="DK509" s="52"/>
      <c r="DL509" s="52">
        <v>0</v>
      </c>
      <c r="DM509" s="52"/>
      <c r="DN509" s="52"/>
      <c r="DO509" s="52"/>
      <c r="DP509" s="52"/>
      <c r="DQ509" s="52"/>
      <c r="DR509" s="52"/>
      <c r="DS509" s="75">
        <v>0</v>
      </c>
      <c r="DT509" s="75">
        <v>0</v>
      </c>
      <c r="DU509" s="75">
        <v>0</v>
      </c>
      <c r="DV509" s="75">
        <v>0</v>
      </c>
      <c r="DW509" s="75">
        <v>0</v>
      </c>
      <c r="DX509" s="2"/>
      <c r="DY509" s="2"/>
      <c r="DZ509" s="46">
        <f t="shared" si="131"/>
        <v>0</v>
      </c>
      <c r="EA509" s="46">
        <f t="shared" si="132"/>
        <v>0</v>
      </c>
      <c r="EB509" s="46">
        <f t="shared" si="133"/>
        <v>0</v>
      </c>
      <c r="EC509" s="46">
        <f t="shared" si="134"/>
        <v>0</v>
      </c>
      <c r="ED509" s="46">
        <f t="shared" si="135"/>
        <v>0</v>
      </c>
      <c r="EE509" s="46">
        <f t="shared" si="136"/>
        <v>0</v>
      </c>
      <c r="EF509" s="46">
        <f t="shared" si="137"/>
        <v>0</v>
      </c>
      <c r="EG509" s="46">
        <f t="shared" si="138"/>
        <v>0</v>
      </c>
      <c r="EH509" s="46">
        <f t="shared" si="130"/>
        <v>0</v>
      </c>
      <c r="EI509" s="46">
        <f t="shared" si="112"/>
        <v>0</v>
      </c>
    </row>
    <row r="510" spans="3:139">
      <c r="C510" s="36" t="s">
        <v>768</v>
      </c>
      <c r="D510" s="36" t="s">
        <v>752</v>
      </c>
      <c r="E510" s="36" t="s">
        <v>753</v>
      </c>
      <c r="F510" s="38">
        <f t="shared" si="111"/>
        <v>0</v>
      </c>
      <c r="G510" s="14" t="s">
        <v>769</v>
      </c>
      <c r="H510" s="61"/>
      <c r="I510" s="60"/>
      <c r="J510" s="65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5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5"/>
      <c r="AI510" s="60"/>
      <c r="AJ510" s="60"/>
      <c r="AK510" s="60"/>
      <c r="AL510" s="60"/>
      <c r="AM510" s="60"/>
      <c r="AN510" s="60"/>
      <c r="AO510" s="60"/>
      <c r="AP510" s="60"/>
      <c r="AQ510" s="60"/>
      <c r="AR510" s="65"/>
      <c r="AS510" s="65"/>
      <c r="AT510" s="65"/>
      <c r="AU510" s="65"/>
      <c r="AV510" s="65"/>
      <c r="AW510" s="65"/>
      <c r="AX510" s="65"/>
      <c r="AY510" s="71"/>
      <c r="AZ510" s="72"/>
      <c r="BA510" s="73"/>
      <c r="BB510" s="73"/>
      <c r="BC510" s="73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  <c r="CD510" s="74"/>
      <c r="CE510" s="74"/>
      <c r="CF510" s="74"/>
      <c r="CG510" s="74"/>
      <c r="CH510" s="74"/>
      <c r="CI510" s="74"/>
      <c r="CJ510" s="74"/>
      <c r="CK510" s="74"/>
      <c r="CL510" s="74"/>
      <c r="CM510" s="74"/>
      <c r="CN510" s="74"/>
      <c r="CO510" s="74"/>
      <c r="CP510" s="74"/>
      <c r="CQ510" s="74"/>
      <c r="CR510" s="74"/>
      <c r="CS510" s="74"/>
      <c r="CT510" s="74"/>
      <c r="CU510" s="74"/>
      <c r="CV510" s="74"/>
      <c r="CW510" s="74"/>
      <c r="CX510" s="74"/>
      <c r="CY510" s="74"/>
      <c r="CZ510" s="74"/>
      <c r="DA510" s="74"/>
      <c r="DB510" s="74"/>
      <c r="DC510" s="51"/>
      <c r="DD510" s="51"/>
      <c r="DE510" s="51"/>
      <c r="DF510" s="52"/>
      <c r="DG510" s="52"/>
      <c r="DH510" s="52"/>
      <c r="DI510" s="52"/>
      <c r="DJ510" s="52"/>
      <c r="DK510" s="52"/>
      <c r="DL510" s="52"/>
      <c r="DM510" s="52"/>
      <c r="DN510" s="52"/>
      <c r="DO510" s="52"/>
      <c r="DP510" s="52"/>
      <c r="DQ510" s="52"/>
      <c r="DR510" s="52"/>
      <c r="DS510" s="75">
        <v>0</v>
      </c>
      <c r="DT510" s="75">
        <v>0</v>
      </c>
      <c r="DU510" s="75">
        <v>0</v>
      </c>
      <c r="DV510" s="75">
        <v>0</v>
      </c>
      <c r="DW510" s="75">
        <v>0</v>
      </c>
      <c r="DX510" s="2"/>
      <c r="DY510" s="2"/>
      <c r="DZ510" s="46"/>
      <c r="EA510" s="46"/>
      <c r="EB510" s="46"/>
      <c r="EC510" s="46"/>
      <c r="ED510" s="46"/>
      <c r="EE510" s="46"/>
      <c r="EF510" s="46"/>
      <c r="EG510" s="46"/>
      <c r="EH510" s="46"/>
      <c r="EI510" s="46">
        <f t="shared" si="112"/>
        <v>0</v>
      </c>
    </row>
    <row r="511" spans="3:139">
      <c r="C511" s="36" t="s">
        <v>770</v>
      </c>
      <c r="D511" s="36" t="s">
        <v>752</v>
      </c>
      <c r="E511" s="36" t="s">
        <v>753</v>
      </c>
      <c r="F511" s="38">
        <f t="shared" si="111"/>
        <v>0</v>
      </c>
      <c r="G511" s="14" t="s">
        <v>769</v>
      </c>
      <c r="H511" s="61"/>
      <c r="I511" s="60"/>
      <c r="J511" s="65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5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5"/>
      <c r="AI511" s="60"/>
      <c r="AJ511" s="60"/>
      <c r="AK511" s="60"/>
      <c r="AL511" s="60"/>
      <c r="AM511" s="60"/>
      <c r="AN511" s="60"/>
      <c r="AO511" s="60"/>
      <c r="AP511" s="60"/>
      <c r="AQ511" s="60"/>
      <c r="AR511" s="65"/>
      <c r="AS511" s="65"/>
      <c r="AT511" s="65"/>
      <c r="AU511" s="65"/>
      <c r="AV511" s="65"/>
      <c r="AW511" s="65"/>
      <c r="AX511" s="65"/>
      <c r="AY511" s="71"/>
      <c r="AZ511" s="72"/>
      <c r="BA511" s="73"/>
      <c r="BB511" s="73"/>
      <c r="BC511" s="73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  <c r="BY511" s="74"/>
      <c r="BZ511" s="74"/>
      <c r="CA511" s="74"/>
      <c r="CB511" s="74"/>
      <c r="CC511" s="74"/>
      <c r="CD511" s="74"/>
      <c r="CE511" s="74"/>
      <c r="CF511" s="74"/>
      <c r="CG511" s="74"/>
      <c r="CH511" s="74"/>
      <c r="CI511" s="74"/>
      <c r="CJ511" s="74"/>
      <c r="CK511" s="74"/>
      <c r="CL511" s="74"/>
      <c r="CM511" s="74"/>
      <c r="CN511" s="74"/>
      <c r="CO511" s="74"/>
      <c r="CP511" s="74"/>
      <c r="CQ511" s="74"/>
      <c r="CR511" s="74"/>
      <c r="CS511" s="74"/>
      <c r="CT511" s="74"/>
      <c r="CU511" s="74"/>
      <c r="CV511" s="74"/>
      <c r="CW511" s="74"/>
      <c r="CX511" s="74"/>
      <c r="CY511" s="74"/>
      <c r="CZ511" s="74"/>
      <c r="DA511" s="74"/>
      <c r="DB511" s="74"/>
      <c r="DC511" s="51"/>
      <c r="DD511" s="51"/>
      <c r="DE511" s="51"/>
      <c r="DF511" s="52"/>
      <c r="DG511" s="52"/>
      <c r="DH511" s="52"/>
      <c r="DI511" s="52"/>
      <c r="DJ511" s="52"/>
      <c r="DK511" s="52"/>
      <c r="DL511" s="52"/>
      <c r="DM511" s="52"/>
      <c r="DN511" s="52"/>
      <c r="DO511" s="52"/>
      <c r="DP511" s="52"/>
      <c r="DQ511" s="52"/>
      <c r="DR511" s="52"/>
      <c r="DS511" s="75">
        <v>0</v>
      </c>
      <c r="DT511" s="75">
        <v>0</v>
      </c>
      <c r="DU511" s="75">
        <v>0</v>
      </c>
      <c r="DV511" s="75">
        <v>0</v>
      </c>
      <c r="DW511" s="75">
        <v>0</v>
      </c>
      <c r="DX511" s="2"/>
      <c r="DY511" s="2"/>
      <c r="DZ511" s="46"/>
      <c r="EA511" s="46"/>
      <c r="EB511" s="46"/>
      <c r="EC511" s="46"/>
      <c r="ED511" s="46"/>
      <c r="EE511" s="46"/>
      <c r="EF511" s="46"/>
      <c r="EG511" s="46"/>
      <c r="EH511" s="46"/>
      <c r="EI511" s="46">
        <f t="shared" si="112"/>
        <v>0</v>
      </c>
    </row>
    <row r="512" spans="3:139">
      <c r="C512" s="36" t="s">
        <v>771</v>
      </c>
      <c r="D512" s="36" t="s">
        <v>752</v>
      </c>
      <c r="E512" s="36" t="s">
        <v>753</v>
      </c>
      <c r="F512" s="38">
        <f t="shared" si="111"/>
        <v>0</v>
      </c>
      <c r="G512" s="14" t="s">
        <v>769</v>
      </c>
      <c r="H512" s="61"/>
      <c r="I512" s="60"/>
      <c r="J512" s="65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5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5"/>
      <c r="AI512" s="60"/>
      <c r="AJ512" s="60"/>
      <c r="AK512" s="60"/>
      <c r="AL512" s="60"/>
      <c r="AM512" s="60"/>
      <c r="AN512" s="60"/>
      <c r="AO512" s="60"/>
      <c r="AP512" s="60"/>
      <c r="AQ512" s="60"/>
      <c r="AR512" s="65"/>
      <c r="AS512" s="65"/>
      <c r="AT512" s="65"/>
      <c r="AU512" s="65"/>
      <c r="AV512" s="65"/>
      <c r="AW512" s="65"/>
      <c r="AX512" s="65"/>
      <c r="AY512" s="71"/>
      <c r="AZ512" s="72"/>
      <c r="BA512" s="73"/>
      <c r="BB512" s="73"/>
      <c r="BC512" s="73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74"/>
      <c r="BU512" s="74"/>
      <c r="BV512" s="74"/>
      <c r="BW512" s="74"/>
      <c r="BX512" s="74"/>
      <c r="BY512" s="74"/>
      <c r="BZ512" s="74"/>
      <c r="CA512" s="74"/>
      <c r="CB512" s="74"/>
      <c r="CC512" s="74"/>
      <c r="CD512" s="74"/>
      <c r="CE512" s="74"/>
      <c r="CF512" s="74"/>
      <c r="CG512" s="74"/>
      <c r="CH512" s="74"/>
      <c r="CI512" s="74"/>
      <c r="CJ512" s="74"/>
      <c r="CK512" s="74"/>
      <c r="CL512" s="74"/>
      <c r="CM512" s="74"/>
      <c r="CN512" s="74"/>
      <c r="CO512" s="74"/>
      <c r="CP512" s="74"/>
      <c r="CQ512" s="74"/>
      <c r="CR512" s="74"/>
      <c r="CS512" s="74"/>
      <c r="CT512" s="74"/>
      <c r="CU512" s="74"/>
      <c r="CV512" s="74"/>
      <c r="CW512" s="74"/>
      <c r="CX512" s="74"/>
      <c r="CY512" s="74"/>
      <c r="CZ512" s="74"/>
      <c r="DA512" s="74"/>
      <c r="DB512" s="74"/>
      <c r="DC512" s="51"/>
      <c r="DD512" s="51"/>
      <c r="DE512" s="51"/>
      <c r="DF512" s="52"/>
      <c r="DG512" s="52"/>
      <c r="DH512" s="52"/>
      <c r="DI512" s="52"/>
      <c r="DJ512" s="52"/>
      <c r="DK512" s="52"/>
      <c r="DL512" s="52"/>
      <c r="DM512" s="52"/>
      <c r="DN512" s="52"/>
      <c r="DO512" s="52"/>
      <c r="DP512" s="52"/>
      <c r="DQ512" s="52"/>
      <c r="DR512" s="52"/>
      <c r="DS512" s="75">
        <v>0</v>
      </c>
      <c r="DT512" s="75">
        <v>0</v>
      </c>
      <c r="DU512" s="75">
        <v>0</v>
      </c>
      <c r="DV512" s="75">
        <v>0</v>
      </c>
      <c r="DW512" s="75">
        <v>0</v>
      </c>
      <c r="DX512" s="2"/>
      <c r="DY512" s="2"/>
      <c r="DZ512" s="46"/>
      <c r="EA512" s="46"/>
      <c r="EB512" s="46"/>
      <c r="EC512" s="46"/>
      <c r="ED512" s="46"/>
      <c r="EE512" s="46"/>
      <c r="EF512" s="46"/>
      <c r="EG512" s="46"/>
      <c r="EH512" s="46"/>
      <c r="EI512" s="46">
        <f t="shared" si="112"/>
        <v>0</v>
      </c>
    </row>
    <row r="513" spans="3:139">
      <c r="C513" s="36" t="s">
        <v>772</v>
      </c>
      <c r="D513" s="36" t="s">
        <v>752</v>
      </c>
      <c r="E513" s="36" t="s">
        <v>753</v>
      </c>
      <c r="F513" s="38">
        <f t="shared" si="111"/>
        <v>0</v>
      </c>
      <c r="G513" s="14" t="s">
        <v>769</v>
      </c>
      <c r="H513" s="61"/>
      <c r="I513" s="60"/>
      <c r="J513" s="65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5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5"/>
      <c r="AI513" s="60"/>
      <c r="AJ513" s="60"/>
      <c r="AK513" s="60"/>
      <c r="AL513" s="60"/>
      <c r="AM513" s="60"/>
      <c r="AN513" s="60"/>
      <c r="AO513" s="60"/>
      <c r="AP513" s="60"/>
      <c r="AQ513" s="60"/>
      <c r="AR513" s="65"/>
      <c r="AS513" s="65"/>
      <c r="AT513" s="65"/>
      <c r="AU513" s="65"/>
      <c r="AV513" s="65"/>
      <c r="AW513" s="65"/>
      <c r="AX513" s="65"/>
      <c r="AY513" s="71"/>
      <c r="AZ513" s="72"/>
      <c r="BA513" s="73"/>
      <c r="BB513" s="73"/>
      <c r="BC513" s="73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  <c r="BY513" s="74"/>
      <c r="BZ513" s="74"/>
      <c r="CA513" s="74"/>
      <c r="CB513" s="74"/>
      <c r="CC513" s="74"/>
      <c r="CD513" s="74"/>
      <c r="CE513" s="74"/>
      <c r="CF513" s="74"/>
      <c r="CG513" s="74"/>
      <c r="CH513" s="74"/>
      <c r="CI513" s="74"/>
      <c r="CJ513" s="74"/>
      <c r="CK513" s="74"/>
      <c r="CL513" s="74"/>
      <c r="CM513" s="74"/>
      <c r="CN513" s="74"/>
      <c r="CO513" s="74"/>
      <c r="CP513" s="74"/>
      <c r="CQ513" s="74"/>
      <c r="CR513" s="74"/>
      <c r="CS513" s="74"/>
      <c r="CT513" s="74"/>
      <c r="CU513" s="74"/>
      <c r="CV513" s="74"/>
      <c r="CW513" s="74"/>
      <c r="CX513" s="74"/>
      <c r="CY513" s="74"/>
      <c r="CZ513" s="74"/>
      <c r="DA513" s="74"/>
      <c r="DB513" s="74"/>
      <c r="DC513" s="51"/>
      <c r="DD513" s="51"/>
      <c r="DE513" s="51"/>
      <c r="DF513" s="52"/>
      <c r="DG513" s="52"/>
      <c r="DH513" s="52"/>
      <c r="DI513" s="52"/>
      <c r="DJ513" s="52"/>
      <c r="DK513" s="52"/>
      <c r="DL513" s="52"/>
      <c r="DM513" s="52"/>
      <c r="DN513" s="52"/>
      <c r="DO513" s="52"/>
      <c r="DP513" s="52"/>
      <c r="DQ513" s="52"/>
      <c r="DR513" s="52"/>
      <c r="DS513" s="75">
        <v>0</v>
      </c>
      <c r="DT513" s="75">
        <v>0</v>
      </c>
      <c r="DU513" s="75">
        <v>0</v>
      </c>
      <c r="DV513" s="75">
        <v>0</v>
      </c>
      <c r="DW513" s="75">
        <v>0</v>
      </c>
      <c r="DX513" s="2"/>
      <c r="DY513" s="2"/>
      <c r="DZ513" s="46"/>
      <c r="EA513" s="46"/>
      <c r="EB513" s="46"/>
      <c r="EC513" s="46"/>
      <c r="ED513" s="46"/>
      <c r="EE513" s="46"/>
      <c r="EF513" s="46"/>
      <c r="EG513" s="46"/>
      <c r="EH513" s="46"/>
      <c r="EI513" s="46">
        <f t="shared" si="112"/>
        <v>0</v>
      </c>
    </row>
    <row r="514" spans="3:139">
      <c r="C514" s="36" t="s">
        <v>773</v>
      </c>
      <c r="D514" s="36" t="s">
        <v>752</v>
      </c>
      <c r="E514" s="36" t="s">
        <v>753</v>
      </c>
      <c r="F514" s="38">
        <f t="shared" si="111"/>
        <v>0</v>
      </c>
      <c r="G514" s="14" t="s">
        <v>769</v>
      </c>
      <c r="H514" s="61"/>
      <c r="I514" s="60"/>
      <c r="J514" s="65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5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5"/>
      <c r="AI514" s="60"/>
      <c r="AJ514" s="60"/>
      <c r="AK514" s="60"/>
      <c r="AL514" s="60"/>
      <c r="AM514" s="60"/>
      <c r="AN514" s="60"/>
      <c r="AO514" s="60"/>
      <c r="AP514" s="60"/>
      <c r="AQ514" s="60"/>
      <c r="AR514" s="65"/>
      <c r="AS514" s="65"/>
      <c r="AT514" s="65"/>
      <c r="AU514" s="65"/>
      <c r="AV514" s="65"/>
      <c r="AW514" s="65"/>
      <c r="AX514" s="65"/>
      <c r="AY514" s="71"/>
      <c r="AZ514" s="72"/>
      <c r="BA514" s="73"/>
      <c r="BB514" s="73"/>
      <c r="BC514" s="73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  <c r="BY514" s="74"/>
      <c r="BZ514" s="74"/>
      <c r="CA514" s="74"/>
      <c r="CB514" s="74"/>
      <c r="CC514" s="74"/>
      <c r="CD514" s="74"/>
      <c r="CE514" s="74"/>
      <c r="CF514" s="74"/>
      <c r="CG514" s="74"/>
      <c r="CH514" s="74"/>
      <c r="CI514" s="74"/>
      <c r="CJ514" s="74"/>
      <c r="CK514" s="74"/>
      <c r="CL514" s="74"/>
      <c r="CM514" s="74"/>
      <c r="CN514" s="74"/>
      <c r="CO514" s="74"/>
      <c r="CP514" s="74"/>
      <c r="CQ514" s="74"/>
      <c r="CR514" s="74"/>
      <c r="CS514" s="74"/>
      <c r="CT514" s="74"/>
      <c r="CU514" s="74"/>
      <c r="CV514" s="74"/>
      <c r="CW514" s="74"/>
      <c r="CX514" s="74"/>
      <c r="CY514" s="74"/>
      <c r="CZ514" s="74"/>
      <c r="DA514" s="74"/>
      <c r="DB514" s="74"/>
      <c r="DC514" s="51"/>
      <c r="DD514" s="51"/>
      <c r="DE514" s="51"/>
      <c r="DF514" s="52"/>
      <c r="DG514" s="52"/>
      <c r="DH514" s="52"/>
      <c r="DI514" s="52"/>
      <c r="DJ514" s="52"/>
      <c r="DK514" s="52"/>
      <c r="DL514" s="52"/>
      <c r="DM514" s="52"/>
      <c r="DN514" s="52"/>
      <c r="DO514" s="52"/>
      <c r="DP514" s="52"/>
      <c r="DQ514" s="52"/>
      <c r="DR514" s="52"/>
      <c r="DS514" s="75">
        <v>0</v>
      </c>
      <c r="DT514" s="75">
        <v>0</v>
      </c>
      <c r="DU514" s="75">
        <v>0</v>
      </c>
      <c r="DV514" s="75">
        <v>0</v>
      </c>
      <c r="DW514" s="75">
        <v>0</v>
      </c>
      <c r="DX514" s="2"/>
      <c r="DY514" s="2"/>
      <c r="DZ514" s="46"/>
      <c r="EA514" s="46"/>
      <c r="EB514" s="46"/>
      <c r="EC514" s="46"/>
      <c r="ED514" s="46"/>
      <c r="EE514" s="46"/>
      <c r="EF514" s="46"/>
      <c r="EG514" s="46"/>
      <c r="EH514" s="46"/>
      <c r="EI514" s="46">
        <f t="shared" si="112"/>
        <v>0</v>
      </c>
    </row>
    <row r="515" spans="3:139">
      <c r="C515" s="36" t="s">
        <v>774</v>
      </c>
      <c r="D515" s="36" t="s">
        <v>752</v>
      </c>
      <c r="E515" s="36" t="s">
        <v>753</v>
      </c>
      <c r="F515" s="38">
        <f t="shared" si="111"/>
        <v>0</v>
      </c>
      <c r="G515" s="14" t="s">
        <v>769</v>
      </c>
      <c r="H515" s="61"/>
      <c r="I515" s="60"/>
      <c r="J515" s="65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5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5"/>
      <c r="AI515" s="60"/>
      <c r="AJ515" s="60"/>
      <c r="AK515" s="60"/>
      <c r="AL515" s="60"/>
      <c r="AM515" s="60"/>
      <c r="AN515" s="60"/>
      <c r="AO515" s="60"/>
      <c r="AP515" s="60"/>
      <c r="AQ515" s="60"/>
      <c r="AR515" s="65"/>
      <c r="AS515" s="65"/>
      <c r="AT515" s="65"/>
      <c r="AU515" s="65"/>
      <c r="AV515" s="65"/>
      <c r="AW515" s="65"/>
      <c r="AX515" s="65"/>
      <c r="AY515" s="71"/>
      <c r="AZ515" s="72"/>
      <c r="BA515" s="73"/>
      <c r="BB515" s="73"/>
      <c r="BC515" s="73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  <c r="CD515" s="74"/>
      <c r="CE515" s="74"/>
      <c r="CF515" s="74"/>
      <c r="CG515" s="74"/>
      <c r="CH515" s="74"/>
      <c r="CI515" s="74"/>
      <c r="CJ515" s="74"/>
      <c r="CK515" s="74"/>
      <c r="CL515" s="74"/>
      <c r="CM515" s="74"/>
      <c r="CN515" s="74"/>
      <c r="CO515" s="74"/>
      <c r="CP515" s="74"/>
      <c r="CQ515" s="74"/>
      <c r="CR515" s="74"/>
      <c r="CS515" s="74"/>
      <c r="CT515" s="74"/>
      <c r="CU515" s="74"/>
      <c r="CV515" s="74"/>
      <c r="CW515" s="74"/>
      <c r="CX515" s="74"/>
      <c r="CY515" s="74"/>
      <c r="CZ515" s="74"/>
      <c r="DA515" s="74"/>
      <c r="DB515" s="74"/>
      <c r="DC515" s="51"/>
      <c r="DD515" s="51"/>
      <c r="DE515" s="51"/>
      <c r="DF515" s="52"/>
      <c r="DG515" s="52"/>
      <c r="DH515" s="52"/>
      <c r="DI515" s="52"/>
      <c r="DJ515" s="52"/>
      <c r="DK515" s="52"/>
      <c r="DL515" s="52"/>
      <c r="DM515" s="52"/>
      <c r="DN515" s="52"/>
      <c r="DO515" s="52"/>
      <c r="DP515" s="52"/>
      <c r="DQ515" s="52"/>
      <c r="DR515" s="52"/>
      <c r="DS515" s="75">
        <v>0</v>
      </c>
      <c r="DT515" s="75">
        <v>0</v>
      </c>
      <c r="DU515" s="75">
        <v>0</v>
      </c>
      <c r="DV515" s="75">
        <v>0</v>
      </c>
      <c r="DW515" s="75">
        <v>0</v>
      </c>
      <c r="DX515" s="2"/>
      <c r="DY515" s="2"/>
      <c r="DZ515" s="46"/>
      <c r="EA515" s="46"/>
      <c r="EB515" s="46"/>
      <c r="EC515" s="46"/>
      <c r="ED515" s="46"/>
      <c r="EE515" s="46"/>
      <c r="EF515" s="46"/>
      <c r="EG515" s="46"/>
      <c r="EH515" s="46"/>
      <c r="EI515" s="46">
        <f t="shared" si="112"/>
        <v>0</v>
      </c>
    </row>
    <row r="516" spans="3:139">
      <c r="C516" s="36" t="s">
        <v>775</v>
      </c>
      <c r="D516" s="36" t="s">
        <v>752</v>
      </c>
      <c r="E516" s="36" t="s">
        <v>753</v>
      </c>
      <c r="F516" s="38">
        <f t="shared" si="111"/>
        <v>0</v>
      </c>
      <c r="G516" s="14" t="s">
        <v>769</v>
      </c>
      <c r="H516" s="61"/>
      <c r="I516" s="60"/>
      <c r="J516" s="65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5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5"/>
      <c r="AI516" s="60"/>
      <c r="AJ516" s="60"/>
      <c r="AK516" s="60"/>
      <c r="AL516" s="60"/>
      <c r="AM516" s="60"/>
      <c r="AN516" s="60"/>
      <c r="AO516" s="60"/>
      <c r="AP516" s="60"/>
      <c r="AQ516" s="60"/>
      <c r="AR516" s="65"/>
      <c r="AS516" s="65"/>
      <c r="AT516" s="65"/>
      <c r="AU516" s="65"/>
      <c r="AV516" s="65"/>
      <c r="AW516" s="65"/>
      <c r="AX516" s="65"/>
      <c r="AY516" s="71"/>
      <c r="AZ516" s="72"/>
      <c r="BA516" s="73"/>
      <c r="BB516" s="73"/>
      <c r="BC516" s="73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  <c r="BY516" s="74"/>
      <c r="BZ516" s="74"/>
      <c r="CA516" s="74"/>
      <c r="CB516" s="74"/>
      <c r="CC516" s="74"/>
      <c r="CD516" s="74"/>
      <c r="CE516" s="74"/>
      <c r="CF516" s="74"/>
      <c r="CG516" s="74"/>
      <c r="CH516" s="74"/>
      <c r="CI516" s="74"/>
      <c r="CJ516" s="74"/>
      <c r="CK516" s="74"/>
      <c r="CL516" s="74"/>
      <c r="CM516" s="74"/>
      <c r="CN516" s="74"/>
      <c r="CO516" s="74"/>
      <c r="CP516" s="74"/>
      <c r="CQ516" s="74"/>
      <c r="CR516" s="74"/>
      <c r="CS516" s="74"/>
      <c r="CT516" s="74"/>
      <c r="CU516" s="74"/>
      <c r="CV516" s="74"/>
      <c r="CW516" s="74"/>
      <c r="CX516" s="74"/>
      <c r="CY516" s="74"/>
      <c r="CZ516" s="74"/>
      <c r="DA516" s="74"/>
      <c r="DB516" s="74"/>
      <c r="DC516" s="51"/>
      <c r="DD516" s="51"/>
      <c r="DE516" s="51"/>
      <c r="DF516" s="52"/>
      <c r="DG516" s="52"/>
      <c r="DH516" s="52"/>
      <c r="DI516" s="52"/>
      <c r="DJ516" s="52"/>
      <c r="DK516" s="52"/>
      <c r="DL516" s="52"/>
      <c r="DM516" s="52"/>
      <c r="DN516" s="52"/>
      <c r="DO516" s="52"/>
      <c r="DP516" s="52"/>
      <c r="DQ516" s="52"/>
      <c r="DR516" s="52"/>
      <c r="DS516" s="75">
        <v>0</v>
      </c>
      <c r="DT516" s="75">
        <v>0</v>
      </c>
      <c r="DU516" s="75">
        <v>0</v>
      </c>
      <c r="DV516" s="75">
        <v>0</v>
      </c>
      <c r="DW516" s="75">
        <v>0</v>
      </c>
      <c r="DX516" s="2"/>
      <c r="DY516" s="2"/>
      <c r="DZ516" s="46"/>
      <c r="EA516" s="46"/>
      <c r="EB516" s="46"/>
      <c r="EC516" s="46"/>
      <c r="ED516" s="46"/>
      <c r="EE516" s="46"/>
      <c r="EF516" s="46"/>
      <c r="EG516" s="46"/>
      <c r="EH516" s="46"/>
      <c r="EI516" s="46">
        <f t="shared" si="112"/>
        <v>0</v>
      </c>
    </row>
    <row r="517" spans="3:139">
      <c r="C517" s="36" t="s">
        <v>776</v>
      </c>
      <c r="D517" s="36" t="s">
        <v>752</v>
      </c>
      <c r="E517" s="36" t="s">
        <v>753</v>
      </c>
      <c r="F517" s="38">
        <f t="shared" si="111"/>
        <v>0</v>
      </c>
      <c r="G517" s="14" t="s">
        <v>777</v>
      </c>
      <c r="H517" s="61"/>
      <c r="I517" s="60"/>
      <c r="J517" s="65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5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5"/>
      <c r="AI517" s="60"/>
      <c r="AJ517" s="60"/>
      <c r="AK517" s="60"/>
      <c r="AL517" s="60"/>
      <c r="AM517" s="60"/>
      <c r="AN517" s="60"/>
      <c r="AO517" s="60"/>
      <c r="AP517" s="60"/>
      <c r="AQ517" s="60"/>
      <c r="AR517" s="65"/>
      <c r="AS517" s="65"/>
      <c r="AT517" s="65"/>
      <c r="AU517" s="65"/>
      <c r="AV517" s="65"/>
      <c r="AW517" s="65"/>
      <c r="AX517" s="65"/>
      <c r="AY517" s="71"/>
      <c r="AZ517" s="72"/>
      <c r="BA517" s="73"/>
      <c r="BB517" s="73"/>
      <c r="BC517" s="73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74"/>
      <c r="BU517" s="74"/>
      <c r="BV517" s="74"/>
      <c r="BW517" s="74"/>
      <c r="BX517" s="74"/>
      <c r="BY517" s="74"/>
      <c r="BZ517" s="74"/>
      <c r="CA517" s="74"/>
      <c r="CB517" s="74"/>
      <c r="CC517" s="74"/>
      <c r="CD517" s="74"/>
      <c r="CE517" s="74"/>
      <c r="CF517" s="74"/>
      <c r="CG517" s="74"/>
      <c r="CH517" s="74"/>
      <c r="CI517" s="74"/>
      <c r="CJ517" s="74"/>
      <c r="CK517" s="74"/>
      <c r="CL517" s="74"/>
      <c r="CM517" s="74"/>
      <c r="CN517" s="74"/>
      <c r="CO517" s="74"/>
      <c r="CP517" s="74"/>
      <c r="CQ517" s="74"/>
      <c r="CR517" s="74"/>
      <c r="CS517" s="74"/>
      <c r="CT517" s="74"/>
      <c r="CU517" s="74"/>
      <c r="CV517" s="74"/>
      <c r="CW517" s="74"/>
      <c r="CX517" s="74"/>
      <c r="CY517" s="74"/>
      <c r="CZ517" s="74"/>
      <c r="DA517" s="74"/>
      <c r="DB517" s="74"/>
      <c r="DC517" s="51"/>
      <c r="DD517" s="51"/>
      <c r="DE517" s="51"/>
      <c r="DF517" s="52"/>
      <c r="DG517" s="52"/>
      <c r="DH517" s="52"/>
      <c r="DI517" s="52"/>
      <c r="DJ517" s="52"/>
      <c r="DK517" s="52"/>
      <c r="DL517" s="52"/>
      <c r="DM517" s="52"/>
      <c r="DN517" s="52"/>
      <c r="DO517" s="52"/>
      <c r="DP517" s="52"/>
      <c r="DQ517" s="52"/>
      <c r="DR517" s="52"/>
      <c r="DS517" s="75">
        <v>0</v>
      </c>
      <c r="DT517" s="75">
        <v>0</v>
      </c>
      <c r="DU517" s="75">
        <v>0</v>
      </c>
      <c r="DV517" s="75">
        <v>0</v>
      </c>
      <c r="DW517" s="75">
        <v>0</v>
      </c>
      <c r="DX517" s="2"/>
      <c r="DY517" s="2"/>
      <c r="DZ517" s="46"/>
      <c r="EA517" s="46"/>
      <c r="EB517" s="46"/>
      <c r="EC517" s="46"/>
      <c r="ED517" s="46"/>
      <c r="EE517" s="46"/>
      <c r="EF517" s="46"/>
      <c r="EG517" s="46"/>
      <c r="EH517" s="46"/>
      <c r="EI517" s="46">
        <f t="shared" si="112"/>
        <v>0</v>
      </c>
    </row>
    <row r="518" spans="3:139">
      <c r="C518" s="36" t="s">
        <v>778</v>
      </c>
      <c r="D518" s="36" t="s">
        <v>752</v>
      </c>
      <c r="E518" s="36" t="s">
        <v>753</v>
      </c>
      <c r="F518" s="38">
        <f t="shared" si="111"/>
        <v>0</v>
      </c>
      <c r="G518" s="14" t="s">
        <v>777</v>
      </c>
      <c r="H518" s="61"/>
      <c r="I518" s="60"/>
      <c r="J518" s="65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5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5"/>
      <c r="AI518" s="60"/>
      <c r="AJ518" s="60"/>
      <c r="AK518" s="60"/>
      <c r="AL518" s="60"/>
      <c r="AM518" s="60"/>
      <c r="AN518" s="60"/>
      <c r="AO518" s="60"/>
      <c r="AP518" s="60"/>
      <c r="AQ518" s="60"/>
      <c r="AR518" s="65"/>
      <c r="AS518" s="65"/>
      <c r="AT518" s="65"/>
      <c r="AU518" s="65"/>
      <c r="AV518" s="65"/>
      <c r="AW518" s="65"/>
      <c r="AX518" s="65"/>
      <c r="AY518" s="71"/>
      <c r="AZ518" s="72"/>
      <c r="BA518" s="73"/>
      <c r="BB518" s="73"/>
      <c r="BC518" s="73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  <c r="BY518" s="74"/>
      <c r="BZ518" s="74"/>
      <c r="CA518" s="74"/>
      <c r="CB518" s="74"/>
      <c r="CC518" s="74"/>
      <c r="CD518" s="74"/>
      <c r="CE518" s="74"/>
      <c r="CF518" s="74"/>
      <c r="CG518" s="74"/>
      <c r="CH518" s="74"/>
      <c r="CI518" s="74"/>
      <c r="CJ518" s="74"/>
      <c r="CK518" s="74"/>
      <c r="CL518" s="74"/>
      <c r="CM518" s="74"/>
      <c r="CN518" s="74"/>
      <c r="CO518" s="74"/>
      <c r="CP518" s="74"/>
      <c r="CQ518" s="74"/>
      <c r="CR518" s="74"/>
      <c r="CS518" s="74"/>
      <c r="CT518" s="74"/>
      <c r="CU518" s="74"/>
      <c r="CV518" s="74"/>
      <c r="CW518" s="74"/>
      <c r="CX518" s="74"/>
      <c r="CY518" s="74"/>
      <c r="CZ518" s="74"/>
      <c r="DA518" s="74"/>
      <c r="DB518" s="74"/>
      <c r="DC518" s="51"/>
      <c r="DD518" s="51"/>
      <c r="DE518" s="51"/>
      <c r="DF518" s="52"/>
      <c r="DG518" s="52"/>
      <c r="DH518" s="52"/>
      <c r="DI518" s="52"/>
      <c r="DJ518" s="52"/>
      <c r="DK518" s="52"/>
      <c r="DL518" s="52"/>
      <c r="DM518" s="52"/>
      <c r="DN518" s="52"/>
      <c r="DO518" s="52"/>
      <c r="DP518" s="52"/>
      <c r="DQ518" s="52"/>
      <c r="DR518" s="52"/>
      <c r="DS518" s="75">
        <v>0</v>
      </c>
      <c r="DT518" s="75">
        <v>0</v>
      </c>
      <c r="DU518" s="75">
        <v>0</v>
      </c>
      <c r="DV518" s="75">
        <v>0</v>
      </c>
      <c r="DW518" s="75">
        <v>0</v>
      </c>
      <c r="DX518" s="2"/>
      <c r="DY518" s="2"/>
      <c r="DZ518" s="46"/>
      <c r="EA518" s="46"/>
      <c r="EB518" s="46"/>
      <c r="EC518" s="46"/>
      <c r="ED518" s="46"/>
      <c r="EE518" s="46"/>
      <c r="EF518" s="46"/>
      <c r="EG518" s="46"/>
      <c r="EH518" s="46"/>
      <c r="EI518" s="46">
        <f t="shared" si="112"/>
        <v>0</v>
      </c>
    </row>
    <row r="519" spans="3:139">
      <c r="C519" s="36" t="s">
        <v>779</v>
      </c>
      <c r="D519" s="36" t="s">
        <v>752</v>
      </c>
      <c r="E519" s="36" t="s">
        <v>753</v>
      </c>
      <c r="F519" s="38">
        <f t="shared" si="111"/>
        <v>0</v>
      </c>
      <c r="G519" s="14" t="s">
        <v>777</v>
      </c>
      <c r="H519" s="61"/>
      <c r="I519" s="60"/>
      <c r="J519" s="65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5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5"/>
      <c r="AI519" s="60"/>
      <c r="AJ519" s="60"/>
      <c r="AK519" s="60"/>
      <c r="AL519" s="60"/>
      <c r="AM519" s="60"/>
      <c r="AN519" s="60"/>
      <c r="AO519" s="60"/>
      <c r="AP519" s="60"/>
      <c r="AQ519" s="60"/>
      <c r="AR519" s="65"/>
      <c r="AS519" s="65"/>
      <c r="AT519" s="65"/>
      <c r="AU519" s="65"/>
      <c r="AV519" s="65"/>
      <c r="AW519" s="65"/>
      <c r="AX519" s="65"/>
      <c r="AY519" s="71"/>
      <c r="AZ519" s="72"/>
      <c r="BA519" s="73"/>
      <c r="BB519" s="73"/>
      <c r="BC519" s="73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74"/>
      <c r="BU519" s="74"/>
      <c r="BV519" s="74"/>
      <c r="BW519" s="74"/>
      <c r="BX519" s="74"/>
      <c r="BY519" s="74"/>
      <c r="BZ519" s="74"/>
      <c r="CA519" s="74"/>
      <c r="CB519" s="74"/>
      <c r="CC519" s="74"/>
      <c r="CD519" s="74"/>
      <c r="CE519" s="74"/>
      <c r="CF519" s="74"/>
      <c r="CG519" s="74"/>
      <c r="CH519" s="74"/>
      <c r="CI519" s="74"/>
      <c r="CJ519" s="74"/>
      <c r="CK519" s="74"/>
      <c r="CL519" s="74"/>
      <c r="CM519" s="74"/>
      <c r="CN519" s="74"/>
      <c r="CO519" s="74"/>
      <c r="CP519" s="74"/>
      <c r="CQ519" s="74"/>
      <c r="CR519" s="74"/>
      <c r="CS519" s="74"/>
      <c r="CT519" s="74"/>
      <c r="CU519" s="74"/>
      <c r="CV519" s="74"/>
      <c r="CW519" s="74"/>
      <c r="CX519" s="74"/>
      <c r="CY519" s="74"/>
      <c r="CZ519" s="74"/>
      <c r="DA519" s="74"/>
      <c r="DB519" s="74"/>
      <c r="DC519" s="51"/>
      <c r="DD519" s="51"/>
      <c r="DE519" s="51"/>
      <c r="DF519" s="52"/>
      <c r="DG519" s="52"/>
      <c r="DH519" s="52"/>
      <c r="DI519" s="52"/>
      <c r="DJ519" s="52"/>
      <c r="DK519" s="52"/>
      <c r="DL519" s="52"/>
      <c r="DM519" s="52"/>
      <c r="DN519" s="52"/>
      <c r="DO519" s="52"/>
      <c r="DP519" s="52"/>
      <c r="DQ519" s="52"/>
      <c r="DR519" s="52"/>
      <c r="DS519" s="75">
        <v>0</v>
      </c>
      <c r="DT519" s="75">
        <v>0</v>
      </c>
      <c r="DU519" s="75">
        <v>0</v>
      </c>
      <c r="DV519" s="75">
        <v>0</v>
      </c>
      <c r="DW519" s="75">
        <v>0</v>
      </c>
      <c r="DX519" s="2"/>
      <c r="DY519" s="2"/>
      <c r="DZ519" s="46"/>
      <c r="EA519" s="46"/>
      <c r="EB519" s="46"/>
      <c r="EC519" s="46"/>
      <c r="ED519" s="46"/>
      <c r="EE519" s="46"/>
      <c r="EF519" s="46"/>
      <c r="EG519" s="46"/>
      <c r="EH519" s="46"/>
      <c r="EI519" s="46">
        <f t="shared" si="112"/>
        <v>0</v>
      </c>
    </row>
    <row r="520" spans="3:139">
      <c r="C520" s="36" t="s">
        <v>780</v>
      </c>
      <c r="D520" s="36" t="s">
        <v>752</v>
      </c>
      <c r="E520" s="36" t="s">
        <v>753</v>
      </c>
      <c r="F520" s="38">
        <f t="shared" si="111"/>
        <v>0</v>
      </c>
      <c r="G520" s="14" t="s">
        <v>777</v>
      </c>
      <c r="H520" s="61"/>
      <c r="I520" s="60"/>
      <c r="J520" s="65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5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5"/>
      <c r="AI520" s="60"/>
      <c r="AJ520" s="60"/>
      <c r="AK520" s="60"/>
      <c r="AL520" s="60"/>
      <c r="AM520" s="60"/>
      <c r="AN520" s="60"/>
      <c r="AO520" s="60"/>
      <c r="AP520" s="60"/>
      <c r="AQ520" s="60"/>
      <c r="AR520" s="65"/>
      <c r="AS520" s="65"/>
      <c r="AT520" s="65"/>
      <c r="AU520" s="65"/>
      <c r="AV520" s="65"/>
      <c r="AW520" s="65"/>
      <c r="AX520" s="65"/>
      <c r="AY520" s="71"/>
      <c r="AZ520" s="72"/>
      <c r="BA520" s="73"/>
      <c r="BB520" s="73"/>
      <c r="BC520" s="73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  <c r="CD520" s="74"/>
      <c r="CE520" s="74"/>
      <c r="CF520" s="74"/>
      <c r="CG520" s="74"/>
      <c r="CH520" s="74"/>
      <c r="CI520" s="74"/>
      <c r="CJ520" s="74"/>
      <c r="CK520" s="74"/>
      <c r="CL520" s="74"/>
      <c r="CM520" s="74"/>
      <c r="CN520" s="74"/>
      <c r="CO520" s="74"/>
      <c r="CP520" s="74"/>
      <c r="CQ520" s="74"/>
      <c r="CR520" s="74"/>
      <c r="CS520" s="74"/>
      <c r="CT520" s="74"/>
      <c r="CU520" s="74"/>
      <c r="CV520" s="74"/>
      <c r="CW520" s="74"/>
      <c r="CX520" s="74"/>
      <c r="CY520" s="74"/>
      <c r="CZ520" s="74"/>
      <c r="DA520" s="74"/>
      <c r="DB520" s="74"/>
      <c r="DC520" s="51"/>
      <c r="DD520" s="51"/>
      <c r="DE520" s="51"/>
      <c r="DF520" s="52"/>
      <c r="DG520" s="52"/>
      <c r="DH520" s="52"/>
      <c r="DI520" s="52"/>
      <c r="DJ520" s="52"/>
      <c r="DK520" s="52"/>
      <c r="DL520" s="52"/>
      <c r="DM520" s="52"/>
      <c r="DN520" s="52"/>
      <c r="DO520" s="52"/>
      <c r="DP520" s="52"/>
      <c r="DQ520" s="52"/>
      <c r="DR520" s="52"/>
      <c r="DS520" s="75">
        <v>0</v>
      </c>
      <c r="DT520" s="75">
        <v>0</v>
      </c>
      <c r="DU520" s="75">
        <v>0</v>
      </c>
      <c r="DV520" s="75">
        <v>0</v>
      </c>
      <c r="DW520" s="75">
        <v>0</v>
      </c>
      <c r="DX520" s="2"/>
      <c r="DY520" s="2"/>
      <c r="DZ520" s="46"/>
      <c r="EA520" s="46"/>
      <c r="EB520" s="46"/>
      <c r="EC520" s="46"/>
      <c r="ED520" s="46"/>
      <c r="EE520" s="46"/>
      <c r="EF520" s="46"/>
      <c r="EG520" s="46"/>
      <c r="EH520" s="46"/>
      <c r="EI520" s="46">
        <f t="shared" si="112"/>
        <v>0</v>
      </c>
    </row>
    <row r="521" spans="3:139">
      <c r="C521" s="36" t="s">
        <v>781</v>
      </c>
      <c r="D521" s="36" t="s">
        <v>752</v>
      </c>
      <c r="E521" s="36" t="s">
        <v>753</v>
      </c>
      <c r="F521" s="38">
        <f t="shared" si="111"/>
        <v>0</v>
      </c>
      <c r="G521" s="14" t="s">
        <v>777</v>
      </c>
      <c r="H521" s="61"/>
      <c r="I521" s="60"/>
      <c r="J521" s="65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5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5"/>
      <c r="AI521" s="60"/>
      <c r="AJ521" s="60"/>
      <c r="AK521" s="60"/>
      <c r="AL521" s="60"/>
      <c r="AM521" s="60"/>
      <c r="AN521" s="60"/>
      <c r="AO521" s="60"/>
      <c r="AP521" s="60"/>
      <c r="AQ521" s="60"/>
      <c r="AR521" s="65"/>
      <c r="AS521" s="65"/>
      <c r="AT521" s="65"/>
      <c r="AU521" s="65"/>
      <c r="AV521" s="65"/>
      <c r="AW521" s="65"/>
      <c r="AX521" s="65"/>
      <c r="AY521" s="71"/>
      <c r="AZ521" s="72"/>
      <c r="BA521" s="73"/>
      <c r="BB521" s="73"/>
      <c r="BC521" s="73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74"/>
      <c r="BU521" s="74"/>
      <c r="BV521" s="74"/>
      <c r="BW521" s="74"/>
      <c r="BX521" s="74"/>
      <c r="BY521" s="74"/>
      <c r="BZ521" s="74"/>
      <c r="CA521" s="74"/>
      <c r="CB521" s="74"/>
      <c r="CC521" s="74"/>
      <c r="CD521" s="74"/>
      <c r="CE521" s="74"/>
      <c r="CF521" s="74"/>
      <c r="CG521" s="74"/>
      <c r="CH521" s="74"/>
      <c r="CI521" s="74"/>
      <c r="CJ521" s="74"/>
      <c r="CK521" s="74"/>
      <c r="CL521" s="74"/>
      <c r="CM521" s="74"/>
      <c r="CN521" s="74"/>
      <c r="CO521" s="74"/>
      <c r="CP521" s="74"/>
      <c r="CQ521" s="74"/>
      <c r="CR521" s="74"/>
      <c r="CS521" s="74"/>
      <c r="CT521" s="74"/>
      <c r="CU521" s="74"/>
      <c r="CV521" s="74"/>
      <c r="CW521" s="74"/>
      <c r="CX521" s="74"/>
      <c r="CY521" s="74"/>
      <c r="CZ521" s="74"/>
      <c r="DA521" s="74"/>
      <c r="DB521" s="74"/>
      <c r="DC521" s="51"/>
      <c r="DD521" s="51"/>
      <c r="DE521" s="51"/>
      <c r="DF521" s="52"/>
      <c r="DG521" s="52"/>
      <c r="DH521" s="52"/>
      <c r="DI521" s="52"/>
      <c r="DJ521" s="52"/>
      <c r="DK521" s="52"/>
      <c r="DL521" s="52"/>
      <c r="DM521" s="52"/>
      <c r="DN521" s="52"/>
      <c r="DO521" s="52"/>
      <c r="DP521" s="52"/>
      <c r="DQ521" s="52"/>
      <c r="DR521" s="52"/>
      <c r="DS521" s="75">
        <v>0</v>
      </c>
      <c r="DT521" s="75">
        <v>0</v>
      </c>
      <c r="DU521" s="75">
        <v>0</v>
      </c>
      <c r="DV521" s="75">
        <v>0</v>
      </c>
      <c r="DW521" s="75">
        <v>0</v>
      </c>
      <c r="DX521" s="2"/>
      <c r="DY521" s="2"/>
      <c r="DZ521" s="46"/>
      <c r="EA521" s="46"/>
      <c r="EB521" s="46"/>
      <c r="EC521" s="46"/>
      <c r="ED521" s="46"/>
      <c r="EE521" s="46"/>
      <c r="EF521" s="46"/>
      <c r="EG521" s="46"/>
      <c r="EH521" s="46"/>
      <c r="EI521" s="46">
        <f t="shared" si="112"/>
        <v>0</v>
      </c>
    </row>
    <row r="522" spans="3:139">
      <c r="C522" s="36" t="s">
        <v>782</v>
      </c>
      <c r="D522" s="36" t="s">
        <v>752</v>
      </c>
      <c r="E522" s="36" t="s">
        <v>753</v>
      </c>
      <c r="F522" s="38">
        <f t="shared" si="111"/>
        <v>0</v>
      </c>
      <c r="G522" s="14" t="s">
        <v>777</v>
      </c>
      <c r="H522" s="61"/>
      <c r="I522" s="60"/>
      <c r="J522" s="65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5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5"/>
      <c r="AI522" s="60"/>
      <c r="AJ522" s="60"/>
      <c r="AK522" s="60"/>
      <c r="AL522" s="60"/>
      <c r="AM522" s="60"/>
      <c r="AN522" s="60"/>
      <c r="AO522" s="60"/>
      <c r="AP522" s="60"/>
      <c r="AQ522" s="60"/>
      <c r="AR522" s="65"/>
      <c r="AS522" s="65"/>
      <c r="AT522" s="65"/>
      <c r="AU522" s="65"/>
      <c r="AV522" s="65"/>
      <c r="AW522" s="65"/>
      <c r="AX522" s="65"/>
      <c r="AY522" s="71"/>
      <c r="AZ522" s="72"/>
      <c r="BA522" s="73"/>
      <c r="BB522" s="73"/>
      <c r="BC522" s="73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74"/>
      <c r="BU522" s="74"/>
      <c r="BV522" s="74"/>
      <c r="BW522" s="74"/>
      <c r="BX522" s="74"/>
      <c r="BY522" s="74"/>
      <c r="BZ522" s="74"/>
      <c r="CA522" s="74"/>
      <c r="CB522" s="74"/>
      <c r="CC522" s="74"/>
      <c r="CD522" s="74"/>
      <c r="CE522" s="74"/>
      <c r="CF522" s="74"/>
      <c r="CG522" s="74"/>
      <c r="CH522" s="74"/>
      <c r="CI522" s="74"/>
      <c r="CJ522" s="74"/>
      <c r="CK522" s="74"/>
      <c r="CL522" s="74"/>
      <c r="CM522" s="74"/>
      <c r="CN522" s="74"/>
      <c r="CO522" s="74"/>
      <c r="CP522" s="74"/>
      <c r="CQ522" s="74"/>
      <c r="CR522" s="74"/>
      <c r="CS522" s="74"/>
      <c r="CT522" s="74"/>
      <c r="CU522" s="74"/>
      <c r="CV522" s="74"/>
      <c r="CW522" s="74"/>
      <c r="CX522" s="74"/>
      <c r="CY522" s="74"/>
      <c r="CZ522" s="74"/>
      <c r="DA522" s="74"/>
      <c r="DB522" s="74"/>
      <c r="DC522" s="51"/>
      <c r="DD522" s="51"/>
      <c r="DE522" s="51"/>
      <c r="DF522" s="52"/>
      <c r="DG522" s="52"/>
      <c r="DH522" s="52"/>
      <c r="DI522" s="52"/>
      <c r="DJ522" s="52"/>
      <c r="DK522" s="52"/>
      <c r="DL522" s="52"/>
      <c r="DM522" s="52"/>
      <c r="DN522" s="52"/>
      <c r="DO522" s="52"/>
      <c r="DP522" s="52"/>
      <c r="DQ522" s="52"/>
      <c r="DR522" s="52"/>
      <c r="DS522" s="75">
        <v>0</v>
      </c>
      <c r="DT522" s="75">
        <v>0</v>
      </c>
      <c r="DU522" s="75">
        <v>0</v>
      </c>
      <c r="DV522" s="75">
        <v>0</v>
      </c>
      <c r="DW522" s="75">
        <v>0</v>
      </c>
      <c r="DX522" s="2"/>
      <c r="DY522" s="2"/>
      <c r="DZ522" s="46"/>
      <c r="EA522" s="46"/>
      <c r="EB522" s="46"/>
      <c r="EC522" s="46"/>
      <c r="ED522" s="46"/>
      <c r="EE522" s="46"/>
      <c r="EF522" s="46"/>
      <c r="EG522" s="46"/>
      <c r="EH522" s="46"/>
      <c r="EI522" s="46">
        <f t="shared" si="112"/>
        <v>0</v>
      </c>
    </row>
    <row r="523" spans="3:139">
      <c r="C523" s="36" t="s">
        <v>783</v>
      </c>
      <c r="D523" s="36" t="s">
        <v>752</v>
      </c>
      <c r="E523" s="36" t="s">
        <v>753</v>
      </c>
      <c r="F523" s="38">
        <f t="shared" si="111"/>
        <v>0</v>
      </c>
      <c r="G523" s="14" t="s">
        <v>777</v>
      </c>
      <c r="H523" s="61"/>
      <c r="I523" s="60"/>
      <c r="J523" s="65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5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5"/>
      <c r="AI523" s="60"/>
      <c r="AJ523" s="60"/>
      <c r="AK523" s="60"/>
      <c r="AL523" s="60"/>
      <c r="AM523" s="60"/>
      <c r="AN523" s="60"/>
      <c r="AO523" s="60"/>
      <c r="AP523" s="60"/>
      <c r="AQ523" s="60"/>
      <c r="AR523" s="65"/>
      <c r="AS523" s="65"/>
      <c r="AT523" s="65"/>
      <c r="AU523" s="65"/>
      <c r="AV523" s="65"/>
      <c r="AW523" s="65"/>
      <c r="AX523" s="65"/>
      <c r="AY523" s="71"/>
      <c r="AZ523" s="72"/>
      <c r="BA523" s="73"/>
      <c r="BB523" s="73"/>
      <c r="BC523" s="73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  <c r="BY523" s="74"/>
      <c r="BZ523" s="74"/>
      <c r="CA523" s="74"/>
      <c r="CB523" s="74"/>
      <c r="CC523" s="74"/>
      <c r="CD523" s="74"/>
      <c r="CE523" s="74"/>
      <c r="CF523" s="74"/>
      <c r="CG523" s="74"/>
      <c r="CH523" s="74"/>
      <c r="CI523" s="74"/>
      <c r="CJ523" s="74"/>
      <c r="CK523" s="74"/>
      <c r="CL523" s="74"/>
      <c r="CM523" s="74"/>
      <c r="CN523" s="74"/>
      <c r="CO523" s="74"/>
      <c r="CP523" s="74"/>
      <c r="CQ523" s="74"/>
      <c r="CR523" s="74"/>
      <c r="CS523" s="74"/>
      <c r="CT523" s="74"/>
      <c r="CU523" s="74"/>
      <c r="CV523" s="74"/>
      <c r="CW523" s="74"/>
      <c r="CX523" s="74"/>
      <c r="CY523" s="74"/>
      <c r="CZ523" s="74"/>
      <c r="DA523" s="74"/>
      <c r="DB523" s="74"/>
      <c r="DC523" s="51"/>
      <c r="DD523" s="51"/>
      <c r="DE523" s="51"/>
      <c r="DF523" s="52"/>
      <c r="DG523" s="52"/>
      <c r="DH523" s="52"/>
      <c r="DI523" s="52"/>
      <c r="DJ523" s="52"/>
      <c r="DK523" s="52"/>
      <c r="DL523" s="52"/>
      <c r="DM523" s="52"/>
      <c r="DN523" s="52"/>
      <c r="DO523" s="52"/>
      <c r="DP523" s="52"/>
      <c r="DQ523" s="52"/>
      <c r="DR523" s="52"/>
      <c r="DS523" s="75">
        <v>0</v>
      </c>
      <c r="DT523" s="75">
        <v>0</v>
      </c>
      <c r="DU523" s="75">
        <v>0</v>
      </c>
      <c r="DV523" s="75">
        <v>0</v>
      </c>
      <c r="DW523" s="75">
        <v>0</v>
      </c>
      <c r="DX523" s="2"/>
      <c r="DY523" s="2"/>
      <c r="DZ523" s="46"/>
      <c r="EA523" s="46"/>
      <c r="EB523" s="46"/>
      <c r="EC523" s="46"/>
      <c r="ED523" s="46"/>
      <c r="EE523" s="46"/>
      <c r="EF523" s="46"/>
      <c r="EG523" s="46"/>
      <c r="EH523" s="46"/>
      <c r="EI523" s="46">
        <f t="shared" si="112"/>
        <v>0</v>
      </c>
    </row>
    <row r="524" spans="3:139">
      <c r="C524" s="36" t="s">
        <v>784</v>
      </c>
      <c r="D524" s="36" t="s">
        <v>752</v>
      </c>
      <c r="E524" s="36" t="s">
        <v>753</v>
      </c>
      <c r="F524" s="38">
        <f t="shared" si="111"/>
        <v>0</v>
      </c>
      <c r="G524" s="14" t="s">
        <v>777</v>
      </c>
      <c r="H524" s="61"/>
      <c r="I524" s="60"/>
      <c r="J524" s="65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5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5"/>
      <c r="AI524" s="60"/>
      <c r="AJ524" s="60"/>
      <c r="AK524" s="60"/>
      <c r="AL524" s="60"/>
      <c r="AM524" s="60"/>
      <c r="AN524" s="60"/>
      <c r="AO524" s="60"/>
      <c r="AP524" s="60"/>
      <c r="AQ524" s="60"/>
      <c r="AR524" s="65"/>
      <c r="AS524" s="65"/>
      <c r="AT524" s="65"/>
      <c r="AU524" s="65"/>
      <c r="AV524" s="65"/>
      <c r="AW524" s="65"/>
      <c r="AX524" s="65"/>
      <c r="AY524" s="71"/>
      <c r="AZ524" s="72"/>
      <c r="BA524" s="73"/>
      <c r="BB524" s="73"/>
      <c r="BC524" s="73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  <c r="BY524" s="74"/>
      <c r="BZ524" s="74"/>
      <c r="CA524" s="74"/>
      <c r="CB524" s="74"/>
      <c r="CC524" s="74"/>
      <c r="CD524" s="74"/>
      <c r="CE524" s="74"/>
      <c r="CF524" s="74"/>
      <c r="CG524" s="74"/>
      <c r="CH524" s="74"/>
      <c r="CI524" s="74"/>
      <c r="CJ524" s="74"/>
      <c r="CK524" s="74"/>
      <c r="CL524" s="74"/>
      <c r="CM524" s="74"/>
      <c r="CN524" s="74"/>
      <c r="CO524" s="74"/>
      <c r="CP524" s="74"/>
      <c r="CQ524" s="74"/>
      <c r="CR524" s="74"/>
      <c r="CS524" s="74"/>
      <c r="CT524" s="74"/>
      <c r="CU524" s="74"/>
      <c r="CV524" s="74"/>
      <c r="CW524" s="74"/>
      <c r="CX524" s="74"/>
      <c r="CY524" s="74"/>
      <c r="CZ524" s="74"/>
      <c r="DA524" s="74"/>
      <c r="DB524" s="74"/>
      <c r="DC524" s="51"/>
      <c r="DD524" s="51"/>
      <c r="DE524" s="51"/>
      <c r="DF524" s="52"/>
      <c r="DG524" s="52"/>
      <c r="DH524" s="52"/>
      <c r="DI524" s="52"/>
      <c r="DJ524" s="52"/>
      <c r="DK524" s="52"/>
      <c r="DL524" s="52"/>
      <c r="DM524" s="52"/>
      <c r="DN524" s="52"/>
      <c r="DO524" s="52"/>
      <c r="DP524" s="52"/>
      <c r="DQ524" s="52"/>
      <c r="DR524" s="52"/>
      <c r="DS524" s="75">
        <v>0</v>
      </c>
      <c r="DT524" s="75">
        <v>0</v>
      </c>
      <c r="DU524" s="75">
        <v>0</v>
      </c>
      <c r="DV524" s="75">
        <v>0</v>
      </c>
      <c r="DW524" s="75">
        <v>0</v>
      </c>
      <c r="DX524" s="2"/>
      <c r="DY524" s="2"/>
      <c r="DZ524" s="46"/>
      <c r="EA524" s="46"/>
      <c r="EB524" s="46"/>
      <c r="EC524" s="46"/>
      <c r="ED524" s="46"/>
      <c r="EE524" s="46"/>
      <c r="EF524" s="46"/>
      <c r="EG524" s="46"/>
      <c r="EH524" s="46"/>
      <c r="EI524" s="46">
        <f t="shared" si="112"/>
        <v>0</v>
      </c>
    </row>
    <row r="525" spans="3:139">
      <c r="C525" s="36" t="s">
        <v>785</v>
      </c>
      <c r="D525" s="36" t="s">
        <v>786</v>
      </c>
      <c r="E525" s="36" t="s">
        <v>787</v>
      </c>
      <c r="F525" s="38">
        <f t="shared" si="111"/>
        <v>0</v>
      </c>
      <c r="G525" s="14" t="s">
        <v>788</v>
      </c>
      <c r="H525" s="61"/>
      <c r="I525" s="60"/>
      <c r="J525" s="65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5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5"/>
      <c r="AI525" s="60"/>
      <c r="AJ525" s="60"/>
      <c r="AK525" s="60"/>
      <c r="AL525" s="60"/>
      <c r="AM525" s="60"/>
      <c r="AN525" s="60"/>
      <c r="AO525" s="60"/>
      <c r="AP525" s="60"/>
      <c r="AQ525" s="60"/>
      <c r="AR525" s="65"/>
      <c r="AS525" s="65"/>
      <c r="AT525" s="65"/>
      <c r="AU525" s="65"/>
      <c r="AV525" s="65"/>
      <c r="AW525" s="65"/>
      <c r="AX525" s="65"/>
      <c r="AY525" s="71"/>
      <c r="AZ525" s="72"/>
      <c r="BA525" s="73"/>
      <c r="BB525" s="73"/>
      <c r="BC525" s="73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74"/>
      <c r="BU525" s="74"/>
      <c r="BV525" s="74"/>
      <c r="BW525" s="74"/>
      <c r="BX525" s="74"/>
      <c r="BY525" s="74"/>
      <c r="BZ525" s="74"/>
      <c r="CA525" s="74"/>
      <c r="CB525" s="74"/>
      <c r="CC525" s="74"/>
      <c r="CD525" s="74"/>
      <c r="CE525" s="74"/>
      <c r="CF525" s="74"/>
      <c r="CG525" s="74"/>
      <c r="CH525" s="74"/>
      <c r="CI525" s="74"/>
      <c r="CJ525" s="74"/>
      <c r="CK525" s="74"/>
      <c r="CL525" s="74"/>
      <c r="CM525" s="74"/>
      <c r="CN525" s="74"/>
      <c r="CO525" s="74"/>
      <c r="CP525" s="74"/>
      <c r="CQ525" s="74"/>
      <c r="CR525" s="74"/>
      <c r="CS525" s="74"/>
      <c r="CT525" s="74"/>
      <c r="CU525" s="74"/>
      <c r="CV525" s="74"/>
      <c r="CW525" s="74"/>
      <c r="CX525" s="74"/>
      <c r="CY525" s="74"/>
      <c r="CZ525" s="74"/>
      <c r="DA525" s="74"/>
      <c r="DB525" s="74">
        <v>0</v>
      </c>
      <c r="DC525" s="51"/>
      <c r="DD525" s="51"/>
      <c r="DE525" s="51"/>
      <c r="DF525" s="52"/>
      <c r="DG525" s="52"/>
      <c r="DH525" s="52"/>
      <c r="DI525" s="52"/>
      <c r="DJ525" s="52"/>
      <c r="DK525" s="52"/>
      <c r="DL525" s="52"/>
      <c r="DM525" s="52"/>
      <c r="DN525" s="52"/>
      <c r="DO525" s="52"/>
      <c r="DP525" s="52"/>
      <c r="DQ525" s="52"/>
      <c r="DR525" s="52"/>
      <c r="DS525" s="75">
        <v>0</v>
      </c>
      <c r="DT525" s="75">
        <v>0</v>
      </c>
      <c r="DU525" s="75">
        <v>0</v>
      </c>
      <c r="DV525" s="75">
        <v>0</v>
      </c>
      <c r="DW525" s="75">
        <v>0</v>
      </c>
      <c r="DX525" s="2"/>
      <c r="DY525" s="2"/>
      <c r="DZ525" s="46">
        <f t="shared" si="131"/>
        <v>0</v>
      </c>
      <c r="EA525" s="46">
        <f t="shared" si="132"/>
        <v>0</v>
      </c>
      <c r="EB525" s="46">
        <f t="shared" si="133"/>
        <v>0</v>
      </c>
      <c r="EC525" s="46">
        <f t="shared" si="134"/>
        <v>0</v>
      </c>
      <c r="ED525" s="46">
        <f t="shared" si="135"/>
        <v>0</v>
      </c>
      <c r="EE525" s="46">
        <f t="shared" si="136"/>
        <v>0</v>
      </c>
      <c r="EF525" s="46">
        <f t="shared" si="137"/>
        <v>0</v>
      </c>
      <c r="EG525" s="46">
        <f t="shared" si="138"/>
        <v>0</v>
      </c>
      <c r="EH525" s="46">
        <f t="shared" si="130"/>
        <v>0</v>
      </c>
      <c r="EI525" s="46">
        <f t="shared" si="112"/>
        <v>0</v>
      </c>
    </row>
    <row r="526" spans="3:139">
      <c r="C526" s="36" t="s">
        <v>789</v>
      </c>
      <c r="D526" s="36" t="s">
        <v>835</v>
      </c>
      <c r="E526" s="36" t="s">
        <v>745</v>
      </c>
      <c r="F526" s="38">
        <f t="shared" si="111"/>
        <v>247</v>
      </c>
      <c r="G526" s="14" t="s">
        <v>325</v>
      </c>
      <c r="H526" s="61"/>
      <c r="I526" s="60"/>
      <c r="J526" s="65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5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5"/>
      <c r="AI526" s="60"/>
      <c r="AJ526" s="60"/>
      <c r="AK526" s="60"/>
      <c r="AL526" s="60"/>
      <c r="AM526" s="60"/>
      <c r="AN526" s="60"/>
      <c r="AO526" s="60"/>
      <c r="AP526" s="60"/>
      <c r="AQ526" s="60"/>
      <c r="AR526" s="65"/>
      <c r="AS526" s="65"/>
      <c r="AT526" s="65"/>
      <c r="AU526" s="65"/>
      <c r="AV526" s="65"/>
      <c r="AW526" s="65"/>
      <c r="AX526" s="65"/>
      <c r="AY526" s="71"/>
      <c r="AZ526" s="72"/>
      <c r="BA526" s="73"/>
      <c r="BB526" s="73"/>
      <c r="BC526" s="73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74"/>
      <c r="BU526" s="74"/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/>
      <c r="CP526" s="74"/>
      <c r="CQ526" s="74">
        <v>0</v>
      </c>
      <c r="CR526" s="74"/>
      <c r="CS526" s="74"/>
      <c r="CT526" s="74">
        <v>0</v>
      </c>
      <c r="CU526" s="74"/>
      <c r="CV526" s="74">
        <v>247</v>
      </c>
      <c r="CW526" s="74"/>
      <c r="CX526" s="74"/>
      <c r="CY526" s="74"/>
      <c r="CZ526" s="74"/>
      <c r="DA526" s="74"/>
      <c r="DB526" s="74">
        <v>0</v>
      </c>
      <c r="DC526" s="51"/>
      <c r="DD526" s="51"/>
      <c r="DE526" s="51"/>
      <c r="DF526" s="52"/>
      <c r="DG526" s="52"/>
      <c r="DH526" s="52"/>
      <c r="DI526" s="52"/>
      <c r="DJ526" s="52"/>
      <c r="DK526" s="52"/>
      <c r="DL526" s="52"/>
      <c r="DM526" s="52"/>
      <c r="DN526" s="52"/>
      <c r="DO526" s="52"/>
      <c r="DP526" s="52"/>
      <c r="DQ526" s="52"/>
      <c r="DR526" s="52"/>
      <c r="DS526" s="75">
        <v>0</v>
      </c>
      <c r="DT526" s="75">
        <v>0</v>
      </c>
      <c r="DU526" s="75">
        <v>0</v>
      </c>
      <c r="DV526" s="75">
        <v>0</v>
      </c>
      <c r="DW526" s="75">
        <v>0</v>
      </c>
      <c r="DX526" s="2"/>
      <c r="DY526" s="2"/>
      <c r="DZ526" s="46">
        <f t="shared" si="131"/>
        <v>0</v>
      </c>
      <c r="EA526" s="46">
        <f t="shared" si="132"/>
        <v>0</v>
      </c>
      <c r="EB526" s="46">
        <f t="shared" si="133"/>
        <v>0</v>
      </c>
      <c r="EC526" s="46">
        <f t="shared" si="134"/>
        <v>0</v>
      </c>
      <c r="ED526" s="46">
        <f t="shared" si="135"/>
        <v>0</v>
      </c>
      <c r="EE526" s="46">
        <f t="shared" si="136"/>
        <v>0</v>
      </c>
      <c r="EF526" s="46">
        <f t="shared" si="137"/>
        <v>0</v>
      </c>
      <c r="EG526" s="46">
        <f t="shared" si="138"/>
        <v>247</v>
      </c>
      <c r="EH526" s="46">
        <f t="shared" si="130"/>
        <v>0</v>
      </c>
      <c r="EI526" s="46">
        <f t="shared" si="112"/>
        <v>0</v>
      </c>
    </row>
    <row r="527" spans="3:139">
      <c r="C527" s="36" t="s">
        <v>790</v>
      </c>
      <c r="D527" s="36" t="s">
        <v>744</v>
      </c>
      <c r="E527" s="36" t="s">
        <v>745</v>
      </c>
      <c r="F527" s="38">
        <f t="shared" ref="F527:F550" si="139">SUM(H527:DQ527)</f>
        <v>792</v>
      </c>
      <c r="G527" s="14" t="s">
        <v>325</v>
      </c>
      <c r="H527" s="61"/>
      <c r="I527" s="60"/>
      <c r="J527" s="65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5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5"/>
      <c r="AI527" s="60"/>
      <c r="AJ527" s="60"/>
      <c r="AK527" s="60"/>
      <c r="AL527" s="60"/>
      <c r="AM527" s="60"/>
      <c r="AN527" s="60"/>
      <c r="AO527" s="60"/>
      <c r="AP527" s="60"/>
      <c r="AQ527" s="60"/>
      <c r="AR527" s="65"/>
      <c r="AS527" s="65"/>
      <c r="AT527" s="65"/>
      <c r="AU527" s="65"/>
      <c r="AV527" s="65"/>
      <c r="AW527" s="65"/>
      <c r="AX527" s="65"/>
      <c r="AY527" s="71"/>
      <c r="AZ527" s="72"/>
      <c r="BA527" s="73"/>
      <c r="BB527" s="73"/>
      <c r="BC527" s="73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74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>
        <v>0</v>
      </c>
      <c r="CR527" s="74"/>
      <c r="CS527" s="74"/>
      <c r="CT527" s="74">
        <v>0</v>
      </c>
      <c r="CU527" s="74"/>
      <c r="CV527" s="74">
        <v>792</v>
      </c>
      <c r="CW527" s="74"/>
      <c r="CX527" s="74"/>
      <c r="CY527" s="74"/>
      <c r="CZ527" s="74"/>
      <c r="DA527" s="74"/>
      <c r="DB527" s="74">
        <v>0</v>
      </c>
      <c r="DC527" s="51"/>
      <c r="DD527" s="51"/>
      <c r="DE527" s="51"/>
      <c r="DF527" s="52"/>
      <c r="DG527" s="52"/>
      <c r="DH527" s="52"/>
      <c r="DI527" s="52"/>
      <c r="DJ527" s="52"/>
      <c r="DK527" s="52"/>
      <c r="DL527" s="52"/>
      <c r="DM527" s="52"/>
      <c r="DN527" s="52"/>
      <c r="DO527" s="52"/>
      <c r="DP527" s="52"/>
      <c r="DQ527" s="52"/>
      <c r="DR527" s="52"/>
      <c r="DS527" s="75">
        <v>0</v>
      </c>
      <c r="DT527" s="75">
        <v>0</v>
      </c>
      <c r="DU527" s="75">
        <v>0</v>
      </c>
      <c r="DV527" s="75">
        <v>0</v>
      </c>
      <c r="DW527" s="75">
        <v>0</v>
      </c>
      <c r="DX527" s="2"/>
      <c r="DY527" s="2"/>
      <c r="DZ527" s="46">
        <f t="shared" si="131"/>
        <v>0</v>
      </c>
      <c r="EA527" s="46">
        <f t="shared" si="132"/>
        <v>0</v>
      </c>
      <c r="EB527" s="46">
        <f t="shared" si="133"/>
        <v>0</v>
      </c>
      <c r="EC527" s="46">
        <f t="shared" si="134"/>
        <v>0</v>
      </c>
      <c r="ED527" s="46">
        <f t="shared" si="135"/>
        <v>0</v>
      </c>
      <c r="EE527" s="46">
        <f t="shared" si="136"/>
        <v>0</v>
      </c>
      <c r="EF527" s="46">
        <f t="shared" si="137"/>
        <v>0</v>
      </c>
      <c r="EG527" s="46">
        <f t="shared" si="138"/>
        <v>792</v>
      </c>
      <c r="EH527" s="46">
        <f t="shared" si="130"/>
        <v>0</v>
      </c>
      <c r="EI527" s="46">
        <f t="shared" si="112"/>
        <v>0</v>
      </c>
    </row>
    <row r="528" spans="3:139">
      <c r="C528" s="36" t="s">
        <v>791</v>
      </c>
      <c r="D528" s="36" t="s">
        <v>838</v>
      </c>
      <c r="E528" s="36" t="s">
        <v>793</v>
      </c>
      <c r="F528" s="38">
        <f t="shared" si="139"/>
        <v>40</v>
      </c>
      <c r="G528" s="14" t="s">
        <v>325</v>
      </c>
      <c r="H528" s="61"/>
      <c r="I528" s="60"/>
      <c r="J528" s="65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5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5"/>
      <c r="AI528" s="60"/>
      <c r="AJ528" s="60"/>
      <c r="AK528" s="60"/>
      <c r="AL528" s="60"/>
      <c r="AM528" s="60"/>
      <c r="AN528" s="60"/>
      <c r="AO528" s="60"/>
      <c r="AP528" s="60"/>
      <c r="AQ528" s="60"/>
      <c r="AR528" s="65"/>
      <c r="AS528" s="65"/>
      <c r="AT528" s="65"/>
      <c r="AU528" s="65"/>
      <c r="AV528" s="65"/>
      <c r="AW528" s="65"/>
      <c r="AX528" s="65"/>
      <c r="AY528" s="71"/>
      <c r="AZ528" s="72"/>
      <c r="BA528" s="73"/>
      <c r="BB528" s="73"/>
      <c r="BC528" s="73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74"/>
      <c r="BU528" s="74"/>
      <c r="BV528" s="74"/>
      <c r="BW528" s="74"/>
      <c r="BX528" s="74"/>
      <c r="BY528" s="74"/>
      <c r="BZ528" s="74"/>
      <c r="CA528" s="74"/>
      <c r="CB528" s="74"/>
      <c r="CC528" s="74"/>
      <c r="CD528" s="74"/>
      <c r="CE528" s="74"/>
      <c r="CF528" s="74"/>
      <c r="CG528" s="74"/>
      <c r="CH528" s="74"/>
      <c r="CI528" s="74"/>
      <c r="CJ528" s="74"/>
      <c r="CK528" s="74"/>
      <c r="CL528" s="74"/>
      <c r="CM528" s="74"/>
      <c r="CN528" s="74"/>
      <c r="CO528" s="74">
        <v>0</v>
      </c>
      <c r="CP528" s="74">
        <v>40</v>
      </c>
      <c r="CQ528" s="74">
        <v>0</v>
      </c>
      <c r="CR528" s="74">
        <v>0</v>
      </c>
      <c r="CS528" s="74">
        <v>0</v>
      </c>
      <c r="CT528" s="74">
        <v>0</v>
      </c>
      <c r="CU528" s="74">
        <v>0</v>
      </c>
      <c r="CV528" s="74"/>
      <c r="CW528" s="74">
        <v>0</v>
      </c>
      <c r="CX528" s="74">
        <v>0</v>
      </c>
      <c r="CY528" s="74">
        <v>0</v>
      </c>
      <c r="CZ528" s="74">
        <v>0</v>
      </c>
      <c r="DA528" s="74">
        <v>0</v>
      </c>
      <c r="DB528" s="74">
        <v>0</v>
      </c>
      <c r="DC528" s="51">
        <v>0</v>
      </c>
      <c r="DD528" s="51">
        <v>0</v>
      </c>
      <c r="DE528" s="51">
        <v>0</v>
      </c>
      <c r="DF528" s="52">
        <v>0</v>
      </c>
      <c r="DG528" s="52">
        <v>0</v>
      </c>
      <c r="DH528" s="52">
        <v>0</v>
      </c>
      <c r="DI528" s="52">
        <v>0</v>
      </c>
      <c r="DJ528" s="52">
        <v>0</v>
      </c>
      <c r="DK528" s="52">
        <v>0</v>
      </c>
      <c r="DL528" s="52">
        <v>0</v>
      </c>
      <c r="DM528" s="52">
        <v>0</v>
      </c>
      <c r="DN528" s="52">
        <v>0</v>
      </c>
      <c r="DO528" s="52">
        <v>0</v>
      </c>
      <c r="DP528" s="52">
        <v>0</v>
      </c>
      <c r="DQ528" s="52">
        <v>0</v>
      </c>
      <c r="DR528" s="52">
        <v>0</v>
      </c>
      <c r="DS528" s="75">
        <v>0</v>
      </c>
      <c r="DT528" s="75">
        <v>0</v>
      </c>
      <c r="DU528" s="75">
        <v>0</v>
      </c>
      <c r="DV528" s="75">
        <v>0</v>
      </c>
      <c r="DW528" s="75">
        <v>0</v>
      </c>
      <c r="DX528" s="2"/>
      <c r="DY528" s="2"/>
      <c r="DZ528" s="46">
        <f t="shared" si="131"/>
        <v>0</v>
      </c>
      <c r="EA528" s="46">
        <f t="shared" si="132"/>
        <v>0</v>
      </c>
      <c r="EB528" s="46">
        <f t="shared" si="133"/>
        <v>0</v>
      </c>
      <c r="EC528" s="46">
        <f t="shared" si="134"/>
        <v>0</v>
      </c>
      <c r="ED528" s="46">
        <f t="shared" si="135"/>
        <v>0</v>
      </c>
      <c r="EE528" s="46">
        <f t="shared" si="136"/>
        <v>0</v>
      </c>
      <c r="EF528" s="46">
        <f t="shared" si="137"/>
        <v>0</v>
      </c>
      <c r="EG528" s="46">
        <f t="shared" si="138"/>
        <v>40</v>
      </c>
      <c r="EH528" s="46">
        <f t="shared" si="130"/>
        <v>0</v>
      </c>
      <c r="EI528" s="46">
        <f t="shared" si="112"/>
        <v>0</v>
      </c>
    </row>
    <row r="529" spans="3:139">
      <c r="C529" s="36" t="s">
        <v>794</v>
      </c>
      <c r="D529" s="36" t="s">
        <v>792</v>
      </c>
      <c r="E529" s="36" t="s">
        <v>793</v>
      </c>
      <c r="F529" s="38">
        <f t="shared" si="139"/>
        <v>10</v>
      </c>
      <c r="G529" s="14" t="s">
        <v>325</v>
      </c>
      <c r="H529" s="61"/>
      <c r="I529" s="60"/>
      <c r="J529" s="65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5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5"/>
      <c r="AI529" s="60"/>
      <c r="AJ529" s="60"/>
      <c r="AK529" s="60"/>
      <c r="AL529" s="60"/>
      <c r="AM529" s="60"/>
      <c r="AN529" s="60"/>
      <c r="AO529" s="60"/>
      <c r="AP529" s="60"/>
      <c r="AQ529" s="60"/>
      <c r="AR529" s="65"/>
      <c r="AS529" s="65"/>
      <c r="AT529" s="65"/>
      <c r="AU529" s="65"/>
      <c r="AV529" s="65"/>
      <c r="AW529" s="65"/>
      <c r="AX529" s="65"/>
      <c r="AY529" s="71"/>
      <c r="AZ529" s="72"/>
      <c r="BA529" s="73"/>
      <c r="BB529" s="73"/>
      <c r="BC529" s="73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74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>
        <v>0</v>
      </c>
      <c r="CP529" s="74">
        <v>10</v>
      </c>
      <c r="CQ529" s="74">
        <v>0</v>
      </c>
      <c r="CR529" s="74">
        <v>0</v>
      </c>
      <c r="CS529" s="74">
        <v>0</v>
      </c>
      <c r="CT529" s="74">
        <v>0</v>
      </c>
      <c r="CU529" s="74">
        <v>0</v>
      </c>
      <c r="CV529" s="74">
        <v>0</v>
      </c>
      <c r="CW529" s="74">
        <v>0</v>
      </c>
      <c r="CX529" s="74">
        <v>0</v>
      </c>
      <c r="CY529" s="74">
        <v>0</v>
      </c>
      <c r="CZ529" s="74">
        <v>0</v>
      </c>
      <c r="DA529" s="74">
        <v>0</v>
      </c>
      <c r="DB529" s="74">
        <v>0</v>
      </c>
      <c r="DC529" s="51">
        <v>0</v>
      </c>
      <c r="DD529" s="51">
        <v>0</v>
      </c>
      <c r="DE529" s="51">
        <v>0</v>
      </c>
      <c r="DF529" s="52">
        <v>0</v>
      </c>
      <c r="DG529" s="52">
        <v>0</v>
      </c>
      <c r="DH529" s="52">
        <v>0</v>
      </c>
      <c r="DI529" s="52">
        <v>0</v>
      </c>
      <c r="DJ529" s="52">
        <v>0</v>
      </c>
      <c r="DK529" s="52">
        <v>0</v>
      </c>
      <c r="DL529" s="52">
        <v>0</v>
      </c>
      <c r="DM529" s="52">
        <v>0</v>
      </c>
      <c r="DN529" s="52">
        <v>0</v>
      </c>
      <c r="DO529" s="52">
        <v>0</v>
      </c>
      <c r="DP529" s="52">
        <v>0</v>
      </c>
      <c r="DQ529" s="52">
        <v>0</v>
      </c>
      <c r="DR529" s="52">
        <v>0</v>
      </c>
      <c r="DS529" s="75">
        <v>0</v>
      </c>
      <c r="DT529" s="75">
        <v>0</v>
      </c>
      <c r="DU529" s="75">
        <v>0</v>
      </c>
      <c r="DV529" s="75">
        <v>0</v>
      </c>
      <c r="DW529" s="75">
        <v>0</v>
      </c>
      <c r="DX529" s="2"/>
      <c r="DY529" s="2"/>
      <c r="DZ529" s="46">
        <f t="shared" si="131"/>
        <v>0</v>
      </c>
      <c r="EA529" s="46">
        <f t="shared" si="132"/>
        <v>0</v>
      </c>
      <c r="EB529" s="46">
        <f t="shared" si="133"/>
        <v>0</v>
      </c>
      <c r="EC529" s="46">
        <f t="shared" si="134"/>
        <v>0</v>
      </c>
      <c r="ED529" s="46">
        <f t="shared" si="135"/>
        <v>0</v>
      </c>
      <c r="EE529" s="46">
        <f t="shared" si="136"/>
        <v>0</v>
      </c>
      <c r="EF529" s="46">
        <f t="shared" si="137"/>
        <v>0</v>
      </c>
      <c r="EG529" s="46">
        <f t="shared" si="138"/>
        <v>10</v>
      </c>
      <c r="EH529" s="46">
        <f t="shared" si="130"/>
        <v>0</v>
      </c>
      <c r="EI529" s="46">
        <f t="shared" si="112"/>
        <v>0</v>
      </c>
    </row>
    <row r="530" spans="3:139">
      <c r="C530" s="36" t="s">
        <v>795</v>
      </c>
      <c r="D530" s="36" t="s">
        <v>792</v>
      </c>
      <c r="E530" s="36" t="s">
        <v>793</v>
      </c>
      <c r="F530" s="38">
        <f t="shared" si="139"/>
        <v>12256</v>
      </c>
      <c r="G530" s="14" t="s">
        <v>325</v>
      </c>
      <c r="H530" s="61"/>
      <c r="I530" s="60"/>
      <c r="J530" s="65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5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5"/>
      <c r="AI530" s="60"/>
      <c r="AJ530" s="60"/>
      <c r="AK530" s="60"/>
      <c r="AL530" s="60"/>
      <c r="AM530" s="60"/>
      <c r="AN530" s="60"/>
      <c r="AO530" s="60"/>
      <c r="AP530" s="60"/>
      <c r="AQ530" s="60"/>
      <c r="AR530" s="65"/>
      <c r="AS530" s="65"/>
      <c r="AT530" s="65"/>
      <c r="AU530" s="65"/>
      <c r="AV530" s="65"/>
      <c r="AW530" s="65"/>
      <c r="AX530" s="65"/>
      <c r="AY530" s="71"/>
      <c r="AZ530" s="72"/>
      <c r="BA530" s="73"/>
      <c r="BB530" s="73"/>
      <c r="BC530" s="73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74">
        <v>0</v>
      </c>
      <c r="CU530" s="74"/>
      <c r="CV530" s="74">
        <v>2005</v>
      </c>
      <c r="CW530" s="74"/>
      <c r="CX530" s="74"/>
      <c r="CY530" s="74"/>
      <c r="CZ530" s="74">
        <v>1400</v>
      </c>
      <c r="DA530" s="74">
        <v>0</v>
      </c>
      <c r="DB530" s="74">
        <v>2681</v>
      </c>
      <c r="DC530" s="51">
        <v>868</v>
      </c>
      <c r="DD530" s="51">
        <v>1887</v>
      </c>
      <c r="DE530" s="51">
        <v>2387</v>
      </c>
      <c r="DF530" s="52">
        <v>0</v>
      </c>
      <c r="DG530" s="52">
        <v>0</v>
      </c>
      <c r="DH530" s="52">
        <v>100</v>
      </c>
      <c r="DI530" s="52">
        <v>525</v>
      </c>
      <c r="DJ530" s="52">
        <v>200</v>
      </c>
      <c r="DK530" s="52">
        <v>0</v>
      </c>
      <c r="DL530" s="52">
        <v>203</v>
      </c>
      <c r="DM530" s="52">
        <v>0</v>
      </c>
      <c r="DN530" s="52">
        <v>0</v>
      </c>
      <c r="DO530" s="52">
        <v>0</v>
      </c>
      <c r="DP530" s="52">
        <v>0</v>
      </c>
      <c r="DQ530" s="52">
        <v>0</v>
      </c>
      <c r="DR530" s="52">
        <v>0</v>
      </c>
      <c r="DS530" s="75">
        <v>0</v>
      </c>
      <c r="DT530" s="75">
        <v>0</v>
      </c>
      <c r="DU530" s="75">
        <v>0</v>
      </c>
      <c r="DV530" s="75">
        <v>0</v>
      </c>
      <c r="DW530" s="75">
        <v>0</v>
      </c>
      <c r="DX530" s="2"/>
      <c r="DY530" s="2"/>
      <c r="DZ530" s="46">
        <f t="shared" si="131"/>
        <v>0</v>
      </c>
      <c r="EA530" s="46">
        <f t="shared" si="132"/>
        <v>0</v>
      </c>
      <c r="EB530" s="46">
        <f t="shared" si="133"/>
        <v>0</v>
      </c>
      <c r="EC530" s="46">
        <f t="shared" si="134"/>
        <v>0</v>
      </c>
      <c r="ED530" s="46">
        <f t="shared" si="135"/>
        <v>0</v>
      </c>
      <c r="EE530" s="46">
        <f t="shared" si="136"/>
        <v>0</v>
      </c>
      <c r="EF530" s="46">
        <f t="shared" si="137"/>
        <v>0</v>
      </c>
      <c r="EG530" s="46">
        <f t="shared" si="138"/>
        <v>2005</v>
      </c>
      <c r="EH530" s="46">
        <f t="shared" si="130"/>
        <v>10048</v>
      </c>
      <c r="EI530" s="46">
        <f t="shared" si="112"/>
        <v>203</v>
      </c>
    </row>
    <row r="531" spans="3:139">
      <c r="C531" s="36" t="s">
        <v>796</v>
      </c>
      <c r="D531" s="36" t="s">
        <v>792</v>
      </c>
      <c r="E531" s="36" t="s">
        <v>793</v>
      </c>
      <c r="F531" s="38">
        <f t="shared" si="139"/>
        <v>45</v>
      </c>
      <c r="G531" s="14" t="s">
        <v>325</v>
      </c>
      <c r="H531" s="61"/>
      <c r="I531" s="60"/>
      <c r="J531" s="65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5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5"/>
      <c r="AI531" s="60"/>
      <c r="AJ531" s="60"/>
      <c r="AK531" s="60"/>
      <c r="AL531" s="60"/>
      <c r="AM531" s="60"/>
      <c r="AN531" s="60"/>
      <c r="AO531" s="60"/>
      <c r="AP531" s="60"/>
      <c r="AQ531" s="60"/>
      <c r="AR531" s="65"/>
      <c r="AS531" s="65"/>
      <c r="AT531" s="65"/>
      <c r="AU531" s="65"/>
      <c r="AV531" s="65"/>
      <c r="AW531" s="65"/>
      <c r="AX531" s="65"/>
      <c r="AY531" s="71"/>
      <c r="AZ531" s="72"/>
      <c r="BA531" s="73"/>
      <c r="BB531" s="73"/>
      <c r="BC531" s="73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>
        <v>45</v>
      </c>
      <c r="CS531" s="74">
        <v>0</v>
      </c>
      <c r="CT531" s="74">
        <v>0</v>
      </c>
      <c r="CU531" s="74">
        <v>0</v>
      </c>
      <c r="CV531" s="74"/>
      <c r="CW531" s="74">
        <v>0</v>
      </c>
      <c r="CX531" s="74">
        <v>0</v>
      </c>
      <c r="CY531" s="74">
        <v>0</v>
      </c>
      <c r="CZ531" s="74">
        <v>0</v>
      </c>
      <c r="DA531" s="74">
        <v>0</v>
      </c>
      <c r="DB531" s="74">
        <v>0</v>
      </c>
      <c r="DC531" s="51">
        <v>0</v>
      </c>
      <c r="DD531" s="51">
        <v>0</v>
      </c>
      <c r="DE531" s="51">
        <v>0</v>
      </c>
      <c r="DF531" s="52">
        <v>0</v>
      </c>
      <c r="DG531" s="52">
        <v>0</v>
      </c>
      <c r="DH531" s="52">
        <v>0</v>
      </c>
      <c r="DI531" s="52">
        <v>0</v>
      </c>
      <c r="DJ531" s="52">
        <v>0</v>
      </c>
      <c r="DK531" s="52">
        <v>0</v>
      </c>
      <c r="DL531" s="52">
        <v>0</v>
      </c>
      <c r="DM531" s="52">
        <v>0</v>
      </c>
      <c r="DN531" s="52">
        <v>0</v>
      </c>
      <c r="DO531" s="52">
        <v>0</v>
      </c>
      <c r="DP531" s="52">
        <v>0</v>
      </c>
      <c r="DQ531" s="52">
        <v>0</v>
      </c>
      <c r="DR531" s="52">
        <v>0</v>
      </c>
      <c r="DS531" s="75">
        <v>0</v>
      </c>
      <c r="DT531" s="75">
        <v>0</v>
      </c>
      <c r="DU531" s="75">
        <v>0</v>
      </c>
      <c r="DV531" s="75">
        <v>0</v>
      </c>
      <c r="DW531" s="75">
        <v>0</v>
      </c>
      <c r="DX531" s="2"/>
      <c r="DY531" s="2"/>
      <c r="DZ531" s="46">
        <f t="shared" si="131"/>
        <v>0</v>
      </c>
      <c r="EA531" s="46">
        <f t="shared" si="132"/>
        <v>0</v>
      </c>
      <c r="EB531" s="46">
        <f t="shared" si="133"/>
        <v>0</v>
      </c>
      <c r="EC531" s="46">
        <f t="shared" si="134"/>
        <v>0</v>
      </c>
      <c r="ED531" s="46">
        <f t="shared" si="135"/>
        <v>0</v>
      </c>
      <c r="EE531" s="46">
        <f t="shared" si="136"/>
        <v>0</v>
      </c>
      <c r="EF531" s="46">
        <f t="shared" si="137"/>
        <v>0</v>
      </c>
      <c r="EG531" s="46">
        <f t="shared" si="138"/>
        <v>45</v>
      </c>
      <c r="EH531" s="46">
        <f t="shared" si="130"/>
        <v>0</v>
      </c>
      <c r="EI531" s="46">
        <f t="shared" ref="EI531:EI550" si="140">SUM(DL531:DO531)</f>
        <v>0</v>
      </c>
    </row>
    <row r="532" spans="3:139">
      <c r="C532" s="36" t="s">
        <v>797</v>
      </c>
      <c r="D532" s="36" t="s">
        <v>792</v>
      </c>
      <c r="E532" s="36" t="s">
        <v>793</v>
      </c>
      <c r="F532" s="38">
        <f t="shared" si="139"/>
        <v>1304</v>
      </c>
      <c r="G532" s="14" t="s">
        <v>325</v>
      </c>
      <c r="H532" s="61"/>
      <c r="I532" s="60"/>
      <c r="J532" s="65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5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5"/>
      <c r="AI532" s="60"/>
      <c r="AJ532" s="60"/>
      <c r="AK532" s="60"/>
      <c r="AL532" s="60"/>
      <c r="AM532" s="60"/>
      <c r="AN532" s="60"/>
      <c r="AO532" s="60"/>
      <c r="AP532" s="60"/>
      <c r="AQ532" s="60"/>
      <c r="AR532" s="65"/>
      <c r="AS532" s="65"/>
      <c r="AT532" s="65"/>
      <c r="AU532" s="65"/>
      <c r="AV532" s="65"/>
      <c r="AW532" s="65"/>
      <c r="AX532" s="65"/>
      <c r="AY532" s="71"/>
      <c r="AZ532" s="72"/>
      <c r="BA532" s="73"/>
      <c r="BB532" s="73"/>
      <c r="BC532" s="73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74">
        <v>0</v>
      </c>
      <c r="CU532" s="74"/>
      <c r="CV532" s="74">
        <v>15</v>
      </c>
      <c r="CW532" s="74"/>
      <c r="CX532" s="74">
        <v>192</v>
      </c>
      <c r="CY532" s="74">
        <v>100</v>
      </c>
      <c r="CZ532" s="74">
        <v>0</v>
      </c>
      <c r="DA532" s="74">
        <v>200</v>
      </c>
      <c r="DB532" s="74">
        <v>0</v>
      </c>
      <c r="DC532" s="51">
        <v>0</v>
      </c>
      <c r="DD532" s="51">
        <v>0</v>
      </c>
      <c r="DE532" s="51">
        <v>97</v>
      </c>
      <c r="DF532" s="52">
        <v>0</v>
      </c>
      <c r="DG532" s="52">
        <v>100</v>
      </c>
      <c r="DH532" s="52">
        <v>0</v>
      </c>
      <c r="DI532" s="52">
        <v>0</v>
      </c>
      <c r="DJ532" s="52">
        <v>200</v>
      </c>
      <c r="DK532" s="52">
        <v>0</v>
      </c>
      <c r="DL532" s="52">
        <v>0</v>
      </c>
      <c r="DM532" s="52">
        <v>400</v>
      </c>
      <c r="DN532" s="52">
        <v>0</v>
      </c>
      <c r="DO532" s="52">
        <v>0</v>
      </c>
      <c r="DP532" s="52">
        <v>0</v>
      </c>
      <c r="DQ532" s="52">
        <v>0</v>
      </c>
      <c r="DR532" s="52">
        <v>200</v>
      </c>
      <c r="DS532" s="75">
        <v>0</v>
      </c>
      <c r="DT532" s="75">
        <v>0</v>
      </c>
      <c r="DU532" s="75">
        <v>0</v>
      </c>
      <c r="DV532" s="75">
        <v>0</v>
      </c>
      <c r="DW532" s="75">
        <v>0</v>
      </c>
      <c r="DX532" s="2"/>
      <c r="DY532" s="2"/>
      <c r="DZ532" s="46">
        <f t="shared" si="131"/>
        <v>0</v>
      </c>
      <c r="EA532" s="46">
        <f t="shared" si="132"/>
        <v>0</v>
      </c>
      <c r="EB532" s="46">
        <f t="shared" si="133"/>
        <v>0</v>
      </c>
      <c r="EC532" s="46">
        <f t="shared" si="134"/>
        <v>0</v>
      </c>
      <c r="ED532" s="46">
        <f t="shared" si="135"/>
        <v>0</v>
      </c>
      <c r="EE532" s="46">
        <f t="shared" si="136"/>
        <v>0</v>
      </c>
      <c r="EF532" s="46">
        <f t="shared" si="137"/>
        <v>0</v>
      </c>
      <c r="EG532" s="46">
        <f t="shared" si="138"/>
        <v>307</v>
      </c>
      <c r="EH532" s="46">
        <f t="shared" si="130"/>
        <v>597</v>
      </c>
      <c r="EI532" s="46">
        <f t="shared" si="140"/>
        <v>400</v>
      </c>
    </row>
    <row r="533" spans="3:139">
      <c r="C533" s="36" t="s">
        <v>798</v>
      </c>
      <c r="D533" s="36" t="s">
        <v>792</v>
      </c>
      <c r="E533" s="36" t="s">
        <v>793</v>
      </c>
      <c r="F533" s="38">
        <f t="shared" si="139"/>
        <v>83865</v>
      </c>
      <c r="G533" s="14" t="s">
        <v>325</v>
      </c>
      <c r="H533" s="61"/>
      <c r="I533" s="60"/>
      <c r="J533" s="65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5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5"/>
      <c r="AI533" s="60"/>
      <c r="AJ533" s="60"/>
      <c r="AK533" s="60"/>
      <c r="AL533" s="60"/>
      <c r="AM533" s="60"/>
      <c r="AN533" s="60"/>
      <c r="AO533" s="60"/>
      <c r="AP533" s="60"/>
      <c r="AQ533" s="60"/>
      <c r="AR533" s="65"/>
      <c r="AS533" s="65"/>
      <c r="AT533" s="65"/>
      <c r="AU533" s="65"/>
      <c r="AV533" s="65"/>
      <c r="AW533" s="65"/>
      <c r="AX533" s="65"/>
      <c r="AY533" s="71"/>
      <c r="AZ533" s="72"/>
      <c r="BA533" s="73"/>
      <c r="BB533" s="73"/>
      <c r="BC533" s="73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>
        <v>25</v>
      </c>
      <c r="CS533" s="74">
        <v>2283</v>
      </c>
      <c r="CT533" s="74">
        <v>2600</v>
      </c>
      <c r="CU533" s="74">
        <v>3590</v>
      </c>
      <c r="CV533" s="74">
        <v>3634</v>
      </c>
      <c r="CW533" s="74">
        <v>4314</v>
      </c>
      <c r="CX533" s="74">
        <v>4400</v>
      </c>
      <c r="CY533" s="74">
        <v>400</v>
      </c>
      <c r="CZ533" s="74">
        <v>7267</v>
      </c>
      <c r="DA533" s="74">
        <v>4507</v>
      </c>
      <c r="DB533" s="74">
        <v>4985</v>
      </c>
      <c r="DC533" s="51">
        <v>5679</v>
      </c>
      <c r="DD533" s="51">
        <v>4888</v>
      </c>
      <c r="DE533" s="51">
        <v>1787</v>
      </c>
      <c r="DF533" s="52">
        <v>4686</v>
      </c>
      <c r="DG533" s="52">
        <v>4518</v>
      </c>
      <c r="DH533" s="52">
        <v>4085</v>
      </c>
      <c r="DI533" s="52">
        <v>2500</v>
      </c>
      <c r="DJ533" s="52">
        <v>1667</v>
      </c>
      <c r="DK533" s="52">
        <v>1600</v>
      </c>
      <c r="DL533" s="52">
        <v>4890</v>
      </c>
      <c r="DM533" s="52">
        <v>3767</v>
      </c>
      <c r="DN533" s="52">
        <v>1600</v>
      </c>
      <c r="DO533" s="52">
        <v>1293</v>
      </c>
      <c r="DP533" s="52">
        <v>2000</v>
      </c>
      <c r="DQ533" s="52">
        <v>900</v>
      </c>
      <c r="DR533" s="52">
        <v>3001</v>
      </c>
      <c r="DS533" s="75">
        <v>2160</v>
      </c>
      <c r="DT533" s="75">
        <v>2160</v>
      </c>
      <c r="DU533" s="75">
        <v>1296</v>
      </c>
      <c r="DV533" s="75">
        <v>994</v>
      </c>
      <c r="DW533" s="75">
        <v>626</v>
      </c>
      <c r="DX533" s="2"/>
      <c r="DY533" s="2"/>
      <c r="DZ533" s="46">
        <f t="shared" si="131"/>
        <v>0</v>
      </c>
      <c r="EA533" s="46">
        <f t="shared" si="132"/>
        <v>0</v>
      </c>
      <c r="EB533" s="46">
        <f t="shared" si="133"/>
        <v>0</v>
      </c>
      <c r="EC533" s="46">
        <f t="shared" si="134"/>
        <v>0</v>
      </c>
      <c r="ED533" s="46">
        <f t="shared" si="135"/>
        <v>0</v>
      </c>
      <c r="EE533" s="46">
        <f t="shared" si="136"/>
        <v>0</v>
      </c>
      <c r="EF533" s="46">
        <f t="shared" si="137"/>
        <v>0</v>
      </c>
      <c r="EG533" s="46">
        <f t="shared" si="138"/>
        <v>21246</v>
      </c>
      <c r="EH533" s="46">
        <f t="shared" si="130"/>
        <v>46569</v>
      </c>
      <c r="EI533" s="46">
        <f t="shared" si="140"/>
        <v>11550</v>
      </c>
    </row>
    <row r="534" spans="3:139">
      <c r="C534" s="36" t="s">
        <v>799</v>
      </c>
      <c r="D534" s="36" t="s">
        <v>792</v>
      </c>
      <c r="E534" s="36" t="s">
        <v>793</v>
      </c>
      <c r="F534" s="38">
        <f t="shared" si="139"/>
        <v>25</v>
      </c>
      <c r="G534" s="14" t="s">
        <v>325</v>
      </c>
      <c r="H534" s="61"/>
      <c r="I534" s="60"/>
      <c r="J534" s="65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5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5"/>
      <c r="AI534" s="60"/>
      <c r="AJ534" s="60"/>
      <c r="AK534" s="60"/>
      <c r="AL534" s="60"/>
      <c r="AM534" s="60"/>
      <c r="AN534" s="60"/>
      <c r="AO534" s="60"/>
      <c r="AP534" s="60"/>
      <c r="AQ534" s="60"/>
      <c r="AR534" s="65"/>
      <c r="AS534" s="65"/>
      <c r="AT534" s="65"/>
      <c r="AU534" s="65"/>
      <c r="AV534" s="65"/>
      <c r="AW534" s="65"/>
      <c r="AX534" s="65"/>
      <c r="AY534" s="71"/>
      <c r="AZ534" s="72"/>
      <c r="BA534" s="73"/>
      <c r="BB534" s="73"/>
      <c r="BC534" s="73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>
        <v>25</v>
      </c>
      <c r="CS534" s="74">
        <v>0</v>
      </c>
      <c r="CT534" s="74">
        <v>0</v>
      </c>
      <c r="CU534" s="74">
        <v>0</v>
      </c>
      <c r="CV534" s="74"/>
      <c r="CW534" s="74">
        <v>0</v>
      </c>
      <c r="CX534" s="74">
        <v>0</v>
      </c>
      <c r="CY534" s="74">
        <v>0</v>
      </c>
      <c r="CZ534" s="74">
        <v>0</v>
      </c>
      <c r="DA534" s="74">
        <v>0</v>
      </c>
      <c r="DB534" s="74">
        <v>0</v>
      </c>
      <c r="DC534" s="51">
        <v>0</v>
      </c>
      <c r="DD534" s="51">
        <v>0</v>
      </c>
      <c r="DE534" s="51">
        <v>0</v>
      </c>
      <c r="DF534" s="52">
        <v>0</v>
      </c>
      <c r="DG534" s="52">
        <v>0</v>
      </c>
      <c r="DH534" s="52">
        <v>0</v>
      </c>
      <c r="DI534" s="52">
        <v>0</v>
      </c>
      <c r="DJ534" s="52">
        <v>0</v>
      </c>
      <c r="DK534" s="52">
        <v>0</v>
      </c>
      <c r="DL534" s="52">
        <v>0</v>
      </c>
      <c r="DM534" s="52">
        <v>0</v>
      </c>
      <c r="DN534" s="52">
        <v>0</v>
      </c>
      <c r="DO534" s="52">
        <v>0</v>
      </c>
      <c r="DP534" s="52">
        <v>0</v>
      </c>
      <c r="DQ534" s="52">
        <v>0</v>
      </c>
      <c r="DR534" s="52">
        <v>0</v>
      </c>
      <c r="DS534" s="75">
        <v>0</v>
      </c>
      <c r="DT534" s="75">
        <v>0</v>
      </c>
      <c r="DU534" s="75">
        <v>0</v>
      </c>
      <c r="DV534" s="75">
        <v>0</v>
      </c>
      <c r="DW534" s="75">
        <v>0</v>
      </c>
      <c r="DX534" s="2"/>
      <c r="DY534" s="2"/>
      <c r="DZ534" s="46">
        <f t="shared" si="131"/>
        <v>0</v>
      </c>
      <c r="EA534" s="46">
        <f t="shared" si="132"/>
        <v>0</v>
      </c>
      <c r="EB534" s="46">
        <f t="shared" si="133"/>
        <v>0</v>
      </c>
      <c r="EC534" s="46">
        <f t="shared" si="134"/>
        <v>0</v>
      </c>
      <c r="ED534" s="46">
        <f t="shared" si="135"/>
        <v>0</v>
      </c>
      <c r="EE534" s="46">
        <f t="shared" si="136"/>
        <v>0</v>
      </c>
      <c r="EF534" s="46">
        <f t="shared" si="137"/>
        <v>0</v>
      </c>
      <c r="EG534" s="46">
        <f t="shared" si="138"/>
        <v>25</v>
      </c>
      <c r="EH534" s="46">
        <f t="shared" si="130"/>
        <v>0</v>
      </c>
      <c r="EI534" s="46">
        <f t="shared" si="140"/>
        <v>0</v>
      </c>
    </row>
    <row r="535" spans="3:139">
      <c r="C535" s="36" t="s">
        <v>800</v>
      </c>
      <c r="D535" s="36" t="s">
        <v>792</v>
      </c>
      <c r="E535" s="36" t="s">
        <v>793</v>
      </c>
      <c r="F535" s="38">
        <f t="shared" si="139"/>
        <v>18916</v>
      </c>
      <c r="G535" s="14" t="s">
        <v>325</v>
      </c>
      <c r="H535" s="61"/>
      <c r="I535" s="60"/>
      <c r="J535" s="65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5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5"/>
      <c r="AI535" s="60"/>
      <c r="AJ535" s="60"/>
      <c r="AK535" s="60"/>
      <c r="AL535" s="60"/>
      <c r="AM535" s="60"/>
      <c r="AN535" s="60"/>
      <c r="AO535" s="60"/>
      <c r="AP535" s="60"/>
      <c r="AQ535" s="60"/>
      <c r="AR535" s="65"/>
      <c r="AS535" s="65"/>
      <c r="AT535" s="65"/>
      <c r="AU535" s="65"/>
      <c r="AV535" s="65"/>
      <c r="AW535" s="65"/>
      <c r="AX535" s="65"/>
      <c r="AY535" s="71"/>
      <c r="AZ535" s="72"/>
      <c r="BA535" s="73"/>
      <c r="BB535" s="73"/>
      <c r="BC535" s="73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74">
        <v>0</v>
      </c>
      <c r="CU535" s="74">
        <v>800</v>
      </c>
      <c r="CV535" s="74">
        <v>707</v>
      </c>
      <c r="CW535" s="74">
        <v>1100</v>
      </c>
      <c r="CX535" s="74">
        <v>600</v>
      </c>
      <c r="CY535" s="74">
        <v>597</v>
      </c>
      <c r="CZ535" s="74">
        <v>1408</v>
      </c>
      <c r="DA535" s="74">
        <v>1454</v>
      </c>
      <c r="DB535" s="74">
        <v>849</v>
      </c>
      <c r="DC535" s="51">
        <v>891</v>
      </c>
      <c r="DD535" s="51">
        <v>1223</v>
      </c>
      <c r="DE535" s="51">
        <v>390</v>
      </c>
      <c r="DF535" s="52">
        <v>499</v>
      </c>
      <c r="DG535" s="52">
        <v>345</v>
      </c>
      <c r="DH535" s="52">
        <v>998</v>
      </c>
      <c r="DI535" s="52">
        <v>1127</v>
      </c>
      <c r="DJ535" s="52">
        <v>494</v>
      </c>
      <c r="DK535" s="52">
        <v>770</v>
      </c>
      <c r="DL535" s="52">
        <v>832</v>
      </c>
      <c r="DM535" s="52">
        <v>761</v>
      </c>
      <c r="DN535" s="52">
        <v>1000</v>
      </c>
      <c r="DO535" s="52">
        <v>1000</v>
      </c>
      <c r="DP535" s="52">
        <v>600</v>
      </c>
      <c r="DQ535" s="52">
        <v>471</v>
      </c>
      <c r="DR535" s="52">
        <v>1100</v>
      </c>
      <c r="DS535" s="75">
        <v>648</v>
      </c>
      <c r="DT535" s="75">
        <v>648</v>
      </c>
      <c r="DU535" s="75">
        <v>389</v>
      </c>
      <c r="DV535" s="75">
        <v>298</v>
      </c>
      <c r="DW535" s="75">
        <v>188</v>
      </c>
      <c r="DX535" s="2"/>
      <c r="DY535" s="2"/>
      <c r="DZ535" s="46">
        <f t="shared" si="131"/>
        <v>0</v>
      </c>
      <c r="EA535" s="46">
        <f t="shared" si="132"/>
        <v>0</v>
      </c>
      <c r="EB535" s="46">
        <f t="shared" si="133"/>
        <v>0</v>
      </c>
      <c r="EC535" s="46">
        <f t="shared" si="134"/>
        <v>0</v>
      </c>
      <c r="ED535" s="46">
        <f t="shared" si="135"/>
        <v>0</v>
      </c>
      <c r="EE535" s="46">
        <f t="shared" si="136"/>
        <v>0</v>
      </c>
      <c r="EF535" s="46">
        <f t="shared" si="137"/>
        <v>0</v>
      </c>
      <c r="EG535" s="46">
        <f t="shared" si="138"/>
        <v>3804</v>
      </c>
      <c r="EH535" s="46">
        <f t="shared" si="130"/>
        <v>9678</v>
      </c>
      <c r="EI535" s="46">
        <f t="shared" si="140"/>
        <v>3593</v>
      </c>
    </row>
    <row r="536" spans="3:139">
      <c r="C536" s="36" t="s">
        <v>801</v>
      </c>
      <c r="D536" s="36" t="s">
        <v>839</v>
      </c>
      <c r="E536" s="36" t="s">
        <v>803</v>
      </c>
      <c r="F536" s="38">
        <f t="shared" si="139"/>
        <v>642487</v>
      </c>
      <c r="G536" s="14" t="s">
        <v>225</v>
      </c>
      <c r="H536" s="47">
        <v>10080</v>
      </c>
      <c r="I536" s="48">
        <v>504</v>
      </c>
      <c r="J536" s="49">
        <v>8062</v>
      </c>
      <c r="K536" s="49">
        <v>13604</v>
      </c>
      <c r="L536" s="49">
        <v>19656</v>
      </c>
      <c r="M536" s="49">
        <v>16884</v>
      </c>
      <c r="N536" s="49">
        <v>14367</v>
      </c>
      <c r="O536" s="49">
        <v>10492</v>
      </c>
      <c r="P536" s="49">
        <v>13599</v>
      </c>
      <c r="Q536" s="49">
        <v>20635</v>
      </c>
      <c r="R536" s="49">
        <v>22208</v>
      </c>
      <c r="S536" s="49">
        <v>9698</v>
      </c>
      <c r="T536" s="48">
        <v>4800</v>
      </c>
      <c r="U536" s="48">
        <v>4800</v>
      </c>
      <c r="V536" s="49">
        <v>8895</v>
      </c>
      <c r="W536" s="49">
        <v>5786</v>
      </c>
      <c r="X536" s="49">
        <v>14200</v>
      </c>
      <c r="Y536" s="49">
        <v>12400</v>
      </c>
      <c r="Z536" s="49">
        <v>13000</v>
      </c>
      <c r="AA536" s="49">
        <v>14744</v>
      </c>
      <c r="AB536" s="49">
        <v>12896</v>
      </c>
      <c r="AC536" s="49">
        <v>24700</v>
      </c>
      <c r="AD536" s="49">
        <v>9100</v>
      </c>
      <c r="AE536" s="74">
        <v>6600</v>
      </c>
      <c r="AF536" s="77">
        <v>359</v>
      </c>
      <c r="AG536" s="56">
        <v>1245</v>
      </c>
      <c r="AH536" s="74"/>
      <c r="AI536" s="74">
        <v>9968</v>
      </c>
      <c r="AJ536" s="74">
        <v>19111</v>
      </c>
      <c r="AK536" s="74">
        <v>15410</v>
      </c>
      <c r="AL536" s="74">
        <v>11000</v>
      </c>
      <c r="AM536" s="74">
        <v>9500</v>
      </c>
      <c r="AN536" s="74">
        <v>15298</v>
      </c>
      <c r="AO536" s="74">
        <v>20094</v>
      </c>
      <c r="AP536" s="74">
        <v>15040</v>
      </c>
      <c r="AQ536" s="74">
        <v>2400</v>
      </c>
      <c r="AR536" s="74">
        <v>9500</v>
      </c>
      <c r="AS536" s="74">
        <v>6400</v>
      </c>
      <c r="AT536" s="74">
        <v>8400</v>
      </c>
      <c r="AU536" s="74">
        <v>5100</v>
      </c>
      <c r="AV536" s="74">
        <v>6000</v>
      </c>
      <c r="AW536" s="74">
        <v>13600</v>
      </c>
      <c r="AX536" s="74">
        <v>13600</v>
      </c>
      <c r="AY536" s="74">
        <v>10990</v>
      </c>
      <c r="AZ536" s="74">
        <v>14589</v>
      </c>
      <c r="BA536" s="74">
        <v>8805</v>
      </c>
      <c r="BB536" s="74">
        <v>15800</v>
      </c>
      <c r="BC536" s="74">
        <f>12780+1000</f>
        <v>13780</v>
      </c>
      <c r="BD536" s="74">
        <v>17300</v>
      </c>
      <c r="BE536" s="74">
        <v>5400</v>
      </c>
      <c r="BF536" s="74">
        <v>12900</v>
      </c>
      <c r="BG536" s="74">
        <v>13300</v>
      </c>
      <c r="BH536" s="74">
        <v>17378</v>
      </c>
      <c r="BI536" s="74">
        <v>9000</v>
      </c>
      <c r="BJ536" s="74">
        <v>16300</v>
      </c>
      <c r="BK536" s="74">
        <v>13000</v>
      </c>
      <c r="BL536" s="74">
        <v>211</v>
      </c>
      <c r="BM536" s="74"/>
      <c r="BN536" s="74">
        <v>0</v>
      </c>
      <c r="BO536" s="74"/>
      <c r="BP536" s="74">
        <v>0</v>
      </c>
      <c r="BQ536" s="74">
        <v>0</v>
      </c>
      <c r="BR536" s="74"/>
      <c r="BS536" s="74">
        <v>-1</v>
      </c>
      <c r="BT536" s="74">
        <v>0</v>
      </c>
      <c r="BU536" s="74">
        <v>0</v>
      </c>
      <c r="BV536" s="74"/>
      <c r="BW536" s="74">
        <v>0</v>
      </c>
      <c r="BX536" s="74"/>
      <c r="BY536" s="74"/>
      <c r="BZ536" s="74"/>
      <c r="CA536" s="74">
        <v>0</v>
      </c>
      <c r="CB536" s="74">
        <v>0</v>
      </c>
      <c r="CC536" s="74">
        <v>0</v>
      </c>
      <c r="CD536" s="74">
        <v>0</v>
      </c>
      <c r="CE536" s="74">
        <v>0</v>
      </c>
      <c r="CF536" s="74">
        <v>0</v>
      </c>
      <c r="CG536" s="74"/>
      <c r="CH536" s="74">
        <v>0</v>
      </c>
      <c r="CI536" s="74">
        <v>0</v>
      </c>
      <c r="CJ536" s="74">
        <v>0</v>
      </c>
      <c r="CK536" s="74">
        <v>0</v>
      </c>
      <c r="CL536" s="74">
        <v>0</v>
      </c>
      <c r="CM536" s="74">
        <v>0</v>
      </c>
      <c r="CN536" s="74">
        <v>0</v>
      </c>
      <c r="CO536" s="74">
        <v>0</v>
      </c>
      <c r="CP536" s="74">
        <v>0</v>
      </c>
      <c r="CQ536" s="74">
        <v>0</v>
      </c>
      <c r="CR536" s="74">
        <v>0</v>
      </c>
      <c r="CS536" s="74">
        <v>0</v>
      </c>
      <c r="CT536" s="74">
        <v>0</v>
      </c>
      <c r="CU536" s="74">
        <v>0</v>
      </c>
      <c r="CV536" s="74"/>
      <c r="CW536" s="74">
        <v>0</v>
      </c>
      <c r="CX536" s="74">
        <v>0</v>
      </c>
      <c r="CY536" s="74">
        <v>0</v>
      </c>
      <c r="CZ536" s="74">
        <v>0</v>
      </c>
      <c r="DA536" s="74">
        <v>0</v>
      </c>
      <c r="DB536" s="74">
        <v>0</v>
      </c>
      <c r="DC536" s="51">
        <v>0</v>
      </c>
      <c r="DD536" s="51">
        <v>0</v>
      </c>
      <c r="DE536" s="51">
        <v>0</v>
      </c>
      <c r="DF536" s="52">
        <v>0</v>
      </c>
      <c r="DG536" s="52">
        <v>0</v>
      </c>
      <c r="DH536" s="52">
        <v>0</v>
      </c>
      <c r="DI536" s="52">
        <v>0</v>
      </c>
      <c r="DJ536" s="52">
        <v>0</v>
      </c>
      <c r="DK536" s="52">
        <v>0</v>
      </c>
      <c r="DL536" s="52">
        <v>0</v>
      </c>
      <c r="DM536" s="52">
        <v>0</v>
      </c>
      <c r="DN536" s="52">
        <v>0</v>
      </c>
      <c r="DO536" s="52">
        <v>0</v>
      </c>
      <c r="DP536" s="52">
        <v>0</v>
      </c>
      <c r="DQ536" s="52">
        <v>0</v>
      </c>
      <c r="DR536" s="52">
        <v>0</v>
      </c>
      <c r="DS536" s="78">
        <v>0</v>
      </c>
      <c r="DT536" s="78">
        <v>0</v>
      </c>
      <c r="DU536" s="78">
        <v>0</v>
      </c>
      <c r="DV536" s="78">
        <v>0</v>
      </c>
      <c r="DW536" s="78">
        <v>0</v>
      </c>
      <c r="DX536" s="2"/>
      <c r="DY536" s="2"/>
      <c r="DZ536" s="46">
        <f t="shared" si="131"/>
        <v>159789</v>
      </c>
      <c r="EA536" s="46">
        <f t="shared" si="132"/>
        <v>131921</v>
      </c>
      <c r="EB536" s="46">
        <f t="shared" si="133"/>
        <v>119425</v>
      </c>
      <c r="EC536" s="46">
        <f t="shared" si="134"/>
        <v>126564</v>
      </c>
      <c r="ED536" s="46">
        <f t="shared" si="135"/>
        <v>104789</v>
      </c>
      <c r="EE536" s="46">
        <f t="shared" si="136"/>
        <v>-1</v>
      </c>
      <c r="EF536" s="46">
        <f t="shared" si="137"/>
        <v>0</v>
      </c>
      <c r="EG536" s="46">
        <f t="shared" si="138"/>
        <v>0</v>
      </c>
      <c r="EH536" s="46">
        <f t="shared" si="130"/>
        <v>0</v>
      </c>
      <c r="EI536" s="46">
        <f t="shared" si="140"/>
        <v>0</v>
      </c>
    </row>
    <row r="537" spans="3:139">
      <c r="C537" s="36" t="s">
        <v>804</v>
      </c>
      <c r="D537" s="36" t="s">
        <v>802</v>
      </c>
      <c r="E537" s="36" t="s">
        <v>803</v>
      </c>
      <c r="F537" s="38">
        <f t="shared" si="139"/>
        <v>91600</v>
      </c>
      <c r="G537" s="14" t="s">
        <v>225</v>
      </c>
      <c r="H537" s="47">
        <v>8060</v>
      </c>
      <c r="I537" s="48">
        <v>0</v>
      </c>
      <c r="J537" s="49">
        <v>707</v>
      </c>
      <c r="K537" s="49">
        <v>5796</v>
      </c>
      <c r="L537" s="49">
        <v>4788</v>
      </c>
      <c r="M537" s="49">
        <v>2210</v>
      </c>
      <c r="N537" s="49">
        <v>4536</v>
      </c>
      <c r="O537" s="49">
        <v>1606</v>
      </c>
      <c r="P537" s="49">
        <v>3566</v>
      </c>
      <c r="Q537" s="49">
        <v>4190</v>
      </c>
      <c r="R537" s="49">
        <v>2144</v>
      </c>
      <c r="S537" s="49">
        <v>2539</v>
      </c>
      <c r="T537" s="48">
        <v>4620</v>
      </c>
      <c r="U537" s="48">
        <v>4620</v>
      </c>
      <c r="V537" s="49">
        <v>1726</v>
      </c>
      <c r="W537" s="49">
        <v>1396</v>
      </c>
      <c r="X537" s="49">
        <v>4400</v>
      </c>
      <c r="Y537" s="49">
        <v>3400</v>
      </c>
      <c r="Z537" s="49">
        <v>2400</v>
      </c>
      <c r="AA537" s="49">
        <v>2600</v>
      </c>
      <c r="AB537" s="49">
        <v>1248</v>
      </c>
      <c r="AC537" s="49">
        <v>4000</v>
      </c>
      <c r="AD537" s="49">
        <v>4200</v>
      </c>
      <c r="AE537" s="74">
        <v>500</v>
      </c>
      <c r="AF537" s="77"/>
      <c r="AG537" s="56"/>
      <c r="AH537" s="74"/>
      <c r="AI537" s="74">
        <v>600</v>
      </c>
      <c r="AJ537" s="74">
        <v>2750</v>
      </c>
      <c r="AK537" s="74">
        <v>3299</v>
      </c>
      <c r="AL537" s="74">
        <v>3400</v>
      </c>
      <c r="AM537" s="74">
        <v>900</v>
      </c>
      <c r="AN537" s="74">
        <v>1000</v>
      </c>
      <c r="AO537" s="74">
        <v>1099</v>
      </c>
      <c r="AP537" s="74">
        <v>2500</v>
      </c>
      <c r="AQ537" s="74"/>
      <c r="AR537" s="74">
        <v>0</v>
      </c>
      <c r="AS537" s="74">
        <v>0</v>
      </c>
      <c r="AT537" s="74"/>
      <c r="AU537" s="74">
        <v>0</v>
      </c>
      <c r="AV537" s="74">
        <v>0</v>
      </c>
      <c r="AW537" s="74">
        <v>600</v>
      </c>
      <c r="AX537" s="74">
        <v>0</v>
      </c>
      <c r="AY537" s="74"/>
      <c r="AZ537" s="74">
        <v>0</v>
      </c>
      <c r="BA537" s="74">
        <v>0</v>
      </c>
      <c r="BB537" s="74">
        <v>200</v>
      </c>
      <c r="BC537" s="74">
        <v>0</v>
      </c>
      <c r="BD537" s="74">
        <v>0</v>
      </c>
      <c r="BE537" s="74">
        <v>0</v>
      </c>
      <c r="BF537" s="74"/>
      <c r="BG537" s="74"/>
      <c r="BH537" s="74"/>
      <c r="BI537" s="74">
        <v>0</v>
      </c>
      <c r="BJ537" s="74"/>
      <c r="BK537" s="74"/>
      <c r="BL537" s="74">
        <v>0</v>
      </c>
      <c r="BM537" s="74"/>
      <c r="BN537" s="74">
        <v>0</v>
      </c>
      <c r="BO537" s="74"/>
      <c r="BP537" s="74">
        <v>0</v>
      </c>
      <c r="BQ537" s="74">
        <v>0</v>
      </c>
      <c r="BR537" s="74"/>
      <c r="BS537" s="74">
        <v>0</v>
      </c>
      <c r="BT537" s="74">
        <v>0</v>
      </c>
      <c r="BU537" s="74">
        <v>0</v>
      </c>
      <c r="BV537" s="74"/>
      <c r="BW537" s="74">
        <v>0</v>
      </c>
      <c r="BX537" s="74"/>
      <c r="BY537" s="74"/>
      <c r="BZ537" s="74"/>
      <c r="CA537" s="74">
        <v>0</v>
      </c>
      <c r="CB537" s="74">
        <v>0</v>
      </c>
      <c r="CC537" s="74">
        <v>0</v>
      </c>
      <c r="CD537" s="74">
        <v>0</v>
      </c>
      <c r="CE537" s="74">
        <v>0</v>
      </c>
      <c r="CF537" s="74">
        <v>0</v>
      </c>
      <c r="CG537" s="74"/>
      <c r="CH537" s="74">
        <v>0</v>
      </c>
      <c r="CI537" s="74">
        <v>0</v>
      </c>
      <c r="CJ537" s="74">
        <v>0</v>
      </c>
      <c r="CK537" s="74">
        <v>0</v>
      </c>
      <c r="CL537" s="74">
        <v>0</v>
      </c>
      <c r="CM537" s="74">
        <v>0</v>
      </c>
      <c r="CN537" s="74">
        <v>0</v>
      </c>
      <c r="CO537" s="74">
        <v>0</v>
      </c>
      <c r="CP537" s="74">
        <v>0</v>
      </c>
      <c r="CQ537" s="74">
        <v>0</v>
      </c>
      <c r="CR537" s="74">
        <v>0</v>
      </c>
      <c r="CS537" s="74">
        <v>0</v>
      </c>
      <c r="CT537" s="74">
        <v>0</v>
      </c>
      <c r="CU537" s="74">
        <v>0</v>
      </c>
      <c r="CV537" s="74">
        <v>0</v>
      </c>
      <c r="CW537" s="74">
        <v>0</v>
      </c>
      <c r="CX537" s="74">
        <v>0</v>
      </c>
      <c r="CY537" s="74">
        <v>0</v>
      </c>
      <c r="CZ537" s="74">
        <v>0</v>
      </c>
      <c r="DA537" s="74">
        <v>0</v>
      </c>
      <c r="DB537" s="74">
        <v>0</v>
      </c>
      <c r="DC537" s="51">
        <v>0</v>
      </c>
      <c r="DD537" s="51">
        <v>0</v>
      </c>
      <c r="DE537" s="51">
        <v>0</v>
      </c>
      <c r="DF537" s="52">
        <v>0</v>
      </c>
      <c r="DG537" s="52">
        <v>0</v>
      </c>
      <c r="DH537" s="52">
        <v>0</v>
      </c>
      <c r="DI537" s="52">
        <v>0</v>
      </c>
      <c r="DJ537" s="52">
        <v>0</v>
      </c>
      <c r="DK537" s="52">
        <v>0</v>
      </c>
      <c r="DL537" s="52">
        <v>0</v>
      </c>
      <c r="DM537" s="52">
        <v>0</v>
      </c>
      <c r="DN537" s="52">
        <v>0</v>
      </c>
      <c r="DO537" s="52">
        <v>0</v>
      </c>
      <c r="DP537" s="52">
        <v>0</v>
      </c>
      <c r="DQ537" s="52">
        <v>0</v>
      </c>
      <c r="DR537" s="52">
        <v>0</v>
      </c>
      <c r="DS537" s="78">
        <v>0</v>
      </c>
      <c r="DT537" s="78">
        <v>0</v>
      </c>
      <c r="DU537" s="78">
        <v>0</v>
      </c>
      <c r="DV537" s="78">
        <v>0</v>
      </c>
      <c r="DW537" s="78">
        <v>0</v>
      </c>
      <c r="DX537" s="2"/>
      <c r="DY537" s="2"/>
      <c r="DZ537" s="46">
        <f t="shared" si="131"/>
        <v>40142</v>
      </c>
      <c r="EA537" s="46">
        <f t="shared" si="132"/>
        <v>35110</v>
      </c>
      <c r="EB537" s="46">
        <f t="shared" si="133"/>
        <v>15548</v>
      </c>
      <c r="EC537" s="46">
        <f t="shared" si="134"/>
        <v>800</v>
      </c>
      <c r="ED537" s="46">
        <f t="shared" si="135"/>
        <v>0</v>
      </c>
      <c r="EE537" s="46">
        <f t="shared" si="136"/>
        <v>0</v>
      </c>
      <c r="EF537" s="46">
        <f t="shared" si="137"/>
        <v>0</v>
      </c>
      <c r="EG537" s="46">
        <f t="shared" si="138"/>
        <v>0</v>
      </c>
      <c r="EH537" s="46">
        <f t="shared" si="130"/>
        <v>0</v>
      </c>
      <c r="EI537" s="46">
        <f t="shared" si="140"/>
        <v>0</v>
      </c>
    </row>
    <row r="538" spans="3:139">
      <c r="C538" s="36" t="s">
        <v>805</v>
      </c>
      <c r="D538" s="36" t="s">
        <v>802</v>
      </c>
      <c r="E538" s="36" t="s">
        <v>803</v>
      </c>
      <c r="F538" s="38">
        <f t="shared" si="139"/>
        <v>27675</v>
      </c>
      <c r="G538" s="14" t="s">
        <v>225</v>
      </c>
      <c r="H538" s="47">
        <v>3024</v>
      </c>
      <c r="I538" s="48">
        <v>0</v>
      </c>
      <c r="J538" s="49">
        <v>1260</v>
      </c>
      <c r="K538" s="49">
        <v>0</v>
      </c>
      <c r="L538" s="49">
        <v>1260</v>
      </c>
      <c r="M538" s="49">
        <v>304</v>
      </c>
      <c r="N538" s="49">
        <v>930</v>
      </c>
      <c r="O538" s="49">
        <v>1008</v>
      </c>
      <c r="P538" s="49">
        <v>0</v>
      </c>
      <c r="Q538" s="49">
        <v>0</v>
      </c>
      <c r="R538" s="49">
        <v>1515</v>
      </c>
      <c r="S538" s="49">
        <v>279</v>
      </c>
      <c r="T538" s="48">
        <v>0</v>
      </c>
      <c r="U538" s="48">
        <v>0</v>
      </c>
      <c r="V538" s="49">
        <v>2298</v>
      </c>
      <c r="W538" s="49">
        <v>0</v>
      </c>
      <c r="X538" s="49">
        <v>0</v>
      </c>
      <c r="Y538" s="49">
        <v>0</v>
      </c>
      <c r="Z538" s="49">
        <v>80</v>
      </c>
      <c r="AA538" s="49">
        <v>1224</v>
      </c>
      <c r="AB538" s="49">
        <v>520</v>
      </c>
      <c r="AC538" s="49">
        <v>500</v>
      </c>
      <c r="AD538" s="49">
        <v>0</v>
      </c>
      <c r="AE538" s="74">
        <v>1000</v>
      </c>
      <c r="AF538" s="77">
        <v>600</v>
      </c>
      <c r="AG538" s="56">
        <v>500</v>
      </c>
      <c r="AH538" s="74"/>
      <c r="AI538" s="74"/>
      <c r="AJ538" s="74">
        <v>900</v>
      </c>
      <c r="AK538" s="74">
        <v>1000</v>
      </c>
      <c r="AL538" s="74">
        <v>500</v>
      </c>
      <c r="AM538" s="74">
        <v>700</v>
      </c>
      <c r="AN538" s="74">
        <v>100</v>
      </c>
      <c r="AO538" s="74">
        <v>1200</v>
      </c>
      <c r="AP538" s="74">
        <v>600</v>
      </c>
      <c r="AQ538" s="74">
        <v>700</v>
      </c>
      <c r="AR538" s="74">
        <v>275</v>
      </c>
      <c r="AS538" s="74">
        <v>400</v>
      </c>
      <c r="AT538" s="74"/>
      <c r="AU538" s="74">
        <v>0</v>
      </c>
      <c r="AV538" s="74">
        <v>0</v>
      </c>
      <c r="AW538" s="74"/>
      <c r="AX538" s="74">
        <v>500</v>
      </c>
      <c r="AY538" s="74">
        <v>98</v>
      </c>
      <c r="AZ538" s="74">
        <v>300</v>
      </c>
      <c r="BA538" s="74">
        <v>300</v>
      </c>
      <c r="BB538" s="74">
        <v>200</v>
      </c>
      <c r="BC538" s="74">
        <v>400</v>
      </c>
      <c r="BD538" s="74">
        <v>0</v>
      </c>
      <c r="BE538" s="74">
        <v>300</v>
      </c>
      <c r="BF538" s="74"/>
      <c r="BG538" s="74">
        <v>500</v>
      </c>
      <c r="BH538" s="74"/>
      <c r="BI538" s="74">
        <v>0</v>
      </c>
      <c r="BJ538" s="74"/>
      <c r="BK538" s="74">
        <v>200</v>
      </c>
      <c r="BL538" s="74">
        <v>400</v>
      </c>
      <c r="BM538" s="74"/>
      <c r="BN538" s="74">
        <v>0</v>
      </c>
      <c r="BO538" s="74">
        <v>200</v>
      </c>
      <c r="BP538" s="74">
        <v>0</v>
      </c>
      <c r="BQ538" s="74">
        <v>0</v>
      </c>
      <c r="BR538" s="74">
        <v>100</v>
      </c>
      <c r="BS538" s="74">
        <v>400</v>
      </c>
      <c r="BT538" s="74">
        <v>100</v>
      </c>
      <c r="BU538" s="74">
        <v>300</v>
      </c>
      <c r="BV538" s="74"/>
      <c r="BW538" s="74">
        <v>0</v>
      </c>
      <c r="BX538" s="74">
        <v>0</v>
      </c>
      <c r="BY538" s="74"/>
      <c r="BZ538" s="74">
        <v>200</v>
      </c>
      <c r="CA538" s="74">
        <v>0</v>
      </c>
      <c r="CB538" s="74">
        <v>0</v>
      </c>
      <c r="CC538" s="74">
        <v>0</v>
      </c>
      <c r="CD538" s="74">
        <v>0</v>
      </c>
      <c r="CE538" s="74">
        <v>0</v>
      </c>
      <c r="CF538" s="74">
        <v>500</v>
      </c>
      <c r="CG538" s="74"/>
      <c r="CH538" s="74">
        <v>0</v>
      </c>
      <c r="CI538" s="74">
        <v>0</v>
      </c>
      <c r="CJ538" s="74">
        <v>0</v>
      </c>
      <c r="CK538" s="74">
        <v>0</v>
      </c>
      <c r="CL538" s="74">
        <v>0</v>
      </c>
      <c r="CM538" s="74">
        <v>0</v>
      </c>
      <c r="CN538" s="74">
        <v>0</v>
      </c>
      <c r="CO538" s="74">
        <v>0</v>
      </c>
      <c r="CP538" s="74">
        <v>0</v>
      </c>
      <c r="CQ538" s="74">
        <v>0</v>
      </c>
      <c r="CR538" s="74">
        <v>0</v>
      </c>
      <c r="CS538" s="74">
        <v>0</v>
      </c>
      <c r="CT538" s="74">
        <v>0</v>
      </c>
      <c r="CU538" s="74">
        <v>0</v>
      </c>
      <c r="CV538" s="74">
        <v>0</v>
      </c>
      <c r="CW538" s="74">
        <v>0</v>
      </c>
      <c r="CX538" s="74">
        <v>0</v>
      </c>
      <c r="CY538" s="74">
        <v>0</v>
      </c>
      <c r="CZ538" s="74">
        <v>0</v>
      </c>
      <c r="DA538" s="74">
        <v>0</v>
      </c>
      <c r="DB538" s="74">
        <v>0</v>
      </c>
      <c r="DC538" s="51">
        <v>0</v>
      </c>
      <c r="DD538" s="51">
        <v>0</v>
      </c>
      <c r="DE538" s="51">
        <v>0</v>
      </c>
      <c r="DF538" s="52">
        <v>0</v>
      </c>
      <c r="DG538" s="52">
        <v>0</v>
      </c>
      <c r="DH538" s="52">
        <v>0</v>
      </c>
      <c r="DI538" s="52">
        <v>0</v>
      </c>
      <c r="DJ538" s="52">
        <v>0</v>
      </c>
      <c r="DK538" s="52">
        <v>0</v>
      </c>
      <c r="DL538" s="52">
        <v>0</v>
      </c>
      <c r="DM538" s="52">
        <v>0</v>
      </c>
      <c r="DN538" s="52">
        <v>0</v>
      </c>
      <c r="DO538" s="52">
        <v>0</v>
      </c>
      <c r="DP538" s="52">
        <v>0</v>
      </c>
      <c r="DQ538" s="52">
        <v>0</v>
      </c>
      <c r="DR538" s="52">
        <v>0</v>
      </c>
      <c r="DS538" s="78">
        <v>0</v>
      </c>
      <c r="DT538" s="78">
        <v>0</v>
      </c>
      <c r="DU538" s="78">
        <v>0</v>
      </c>
      <c r="DV538" s="78">
        <v>0</v>
      </c>
      <c r="DW538" s="78">
        <v>0</v>
      </c>
      <c r="DX538" s="2"/>
      <c r="DY538" s="2"/>
      <c r="DZ538" s="46">
        <f t="shared" si="131"/>
        <v>9580</v>
      </c>
      <c r="EA538" s="46">
        <f t="shared" si="132"/>
        <v>5622</v>
      </c>
      <c r="EB538" s="46">
        <f t="shared" si="133"/>
        <v>6800</v>
      </c>
      <c r="EC538" s="46">
        <f t="shared" si="134"/>
        <v>2473</v>
      </c>
      <c r="ED538" s="46">
        <f t="shared" si="135"/>
        <v>1600</v>
      </c>
      <c r="EE538" s="46">
        <f t="shared" si="136"/>
        <v>1100</v>
      </c>
      <c r="EF538" s="46">
        <f t="shared" si="137"/>
        <v>500</v>
      </c>
      <c r="EG538" s="46">
        <f t="shared" si="138"/>
        <v>0</v>
      </c>
      <c r="EH538" s="46">
        <f t="shared" si="130"/>
        <v>0</v>
      </c>
      <c r="EI538" s="46">
        <f t="shared" si="140"/>
        <v>0</v>
      </c>
    </row>
    <row r="539" spans="3:139">
      <c r="C539" s="36" t="s">
        <v>806</v>
      </c>
      <c r="D539" s="36" t="s">
        <v>802</v>
      </c>
      <c r="E539" s="36" t="s">
        <v>803</v>
      </c>
      <c r="F539" s="38">
        <f t="shared" si="139"/>
        <v>224234</v>
      </c>
      <c r="G539" s="14" t="s">
        <v>225</v>
      </c>
      <c r="H539" s="47"/>
      <c r="I539" s="48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8"/>
      <c r="U539" s="48"/>
      <c r="V539" s="49"/>
      <c r="W539" s="49"/>
      <c r="X539" s="49"/>
      <c r="Y539" s="49"/>
      <c r="Z539" s="49"/>
      <c r="AA539" s="49"/>
      <c r="AB539" s="49"/>
      <c r="AC539" s="49"/>
      <c r="AD539" s="49"/>
      <c r="AE539" s="74"/>
      <c r="AF539" s="77">
        <v>600</v>
      </c>
      <c r="AG539" s="56">
        <v>500</v>
      </c>
      <c r="AH539" s="74"/>
      <c r="AI539" s="74"/>
      <c r="AJ539" s="74">
        <v>900</v>
      </c>
      <c r="AK539" s="74">
        <v>1000</v>
      </c>
      <c r="AL539" s="74">
        <v>2100</v>
      </c>
      <c r="AM539" s="74">
        <v>2399</v>
      </c>
      <c r="AN539" s="74">
        <v>2798</v>
      </c>
      <c r="AO539" s="74">
        <v>7100</v>
      </c>
      <c r="AP539" s="74">
        <v>2264</v>
      </c>
      <c r="AQ539" s="74">
        <v>2901</v>
      </c>
      <c r="AR539" s="74">
        <v>8090</v>
      </c>
      <c r="AS539" s="74">
        <v>8500</v>
      </c>
      <c r="AT539" s="74">
        <v>8399</v>
      </c>
      <c r="AU539" s="74">
        <v>4900</v>
      </c>
      <c r="AV539" s="74">
        <v>11400</v>
      </c>
      <c r="AW539" s="74">
        <v>10100</v>
      </c>
      <c r="AX539" s="74">
        <v>10200</v>
      </c>
      <c r="AY539" s="74">
        <v>6692</v>
      </c>
      <c r="AZ539" s="74">
        <v>8496</v>
      </c>
      <c r="BA539" s="74">
        <v>8899</v>
      </c>
      <c r="BB539" s="74">
        <v>5500</v>
      </c>
      <c r="BC539" s="74">
        <f>10590+2800</f>
        <v>13390</v>
      </c>
      <c r="BD539" s="74">
        <v>6300</v>
      </c>
      <c r="BE539" s="74">
        <v>10100</v>
      </c>
      <c r="BF539" s="74">
        <v>17300</v>
      </c>
      <c r="BG539" s="74">
        <v>14000</v>
      </c>
      <c r="BH539" s="74">
        <v>6122</v>
      </c>
      <c r="BI539" s="74">
        <v>12300</v>
      </c>
      <c r="BJ539" s="74">
        <v>17100</v>
      </c>
      <c r="BK539" s="74">
        <v>13200</v>
      </c>
      <c r="BL539" s="74">
        <v>686</v>
      </c>
      <c r="BM539" s="74"/>
      <c r="BN539" s="74">
        <v>0</v>
      </c>
      <c r="BO539" s="74"/>
      <c r="BP539" s="74">
        <v>0</v>
      </c>
      <c r="BQ539" s="74">
        <v>0</v>
      </c>
      <c r="BR539" s="74"/>
      <c r="BS539" s="74">
        <v>-1</v>
      </c>
      <c r="BT539" s="74">
        <v>0</v>
      </c>
      <c r="BU539" s="74">
        <v>0</v>
      </c>
      <c r="BV539" s="74"/>
      <c r="BW539" s="74">
        <v>0</v>
      </c>
      <c r="BX539" s="74"/>
      <c r="BY539" s="74"/>
      <c r="BZ539" s="74"/>
      <c r="CA539" s="74">
        <v>0</v>
      </c>
      <c r="CB539" s="74">
        <v>0</v>
      </c>
      <c r="CC539" s="74">
        <v>0</v>
      </c>
      <c r="CD539" s="74">
        <v>0</v>
      </c>
      <c r="CE539" s="74">
        <v>0</v>
      </c>
      <c r="CF539" s="74">
        <v>-1</v>
      </c>
      <c r="CG539" s="74"/>
      <c r="CH539" s="74">
        <v>0</v>
      </c>
      <c r="CI539" s="74">
        <v>0</v>
      </c>
      <c r="CJ539" s="74">
        <v>0</v>
      </c>
      <c r="CK539" s="74">
        <v>0</v>
      </c>
      <c r="CL539" s="74">
        <v>0</v>
      </c>
      <c r="CM539" s="74">
        <v>0</v>
      </c>
      <c r="CN539" s="74">
        <v>0</v>
      </c>
      <c r="CO539" s="74">
        <v>0</v>
      </c>
      <c r="CP539" s="74">
        <v>0</v>
      </c>
      <c r="CQ539" s="74">
        <v>0</v>
      </c>
      <c r="CR539" s="74">
        <v>0</v>
      </c>
      <c r="CS539" s="74">
        <v>0</v>
      </c>
      <c r="CT539" s="74">
        <v>0</v>
      </c>
      <c r="CU539" s="74">
        <v>0</v>
      </c>
      <c r="CV539" s="74"/>
      <c r="CW539" s="74">
        <v>0</v>
      </c>
      <c r="CX539" s="74">
        <v>0</v>
      </c>
      <c r="CY539" s="74">
        <v>0</v>
      </c>
      <c r="CZ539" s="74">
        <v>0</v>
      </c>
      <c r="DA539" s="74">
        <v>0</v>
      </c>
      <c r="DB539" s="74">
        <v>0</v>
      </c>
      <c r="DC539" s="51">
        <v>0</v>
      </c>
      <c r="DD539" s="51">
        <v>0</v>
      </c>
      <c r="DE539" s="51">
        <v>0</v>
      </c>
      <c r="DF539" s="52">
        <v>0</v>
      </c>
      <c r="DG539" s="52">
        <v>0</v>
      </c>
      <c r="DH539" s="52">
        <v>0</v>
      </c>
      <c r="DI539" s="52">
        <v>0</v>
      </c>
      <c r="DJ539" s="52">
        <v>0</v>
      </c>
      <c r="DK539" s="52">
        <v>0</v>
      </c>
      <c r="DL539" s="52">
        <v>0</v>
      </c>
      <c r="DM539" s="52">
        <v>0</v>
      </c>
      <c r="DN539" s="52">
        <v>0</v>
      </c>
      <c r="DO539" s="52">
        <v>0</v>
      </c>
      <c r="DP539" s="52">
        <v>0</v>
      </c>
      <c r="DQ539" s="52">
        <v>0</v>
      </c>
      <c r="DR539" s="52">
        <v>0</v>
      </c>
      <c r="DS539" s="78">
        <v>0</v>
      </c>
      <c r="DT539" s="78">
        <v>0</v>
      </c>
      <c r="DU539" s="78">
        <v>0</v>
      </c>
      <c r="DV539" s="78">
        <v>0</v>
      </c>
      <c r="DW539" s="78">
        <v>0</v>
      </c>
      <c r="DX539" s="2"/>
      <c r="DY539" s="2"/>
      <c r="DZ539" s="46">
        <f t="shared" si="131"/>
        <v>0</v>
      </c>
      <c r="EA539" s="46">
        <f t="shared" si="132"/>
        <v>0</v>
      </c>
      <c r="EB539" s="46">
        <f t="shared" si="133"/>
        <v>22562</v>
      </c>
      <c r="EC539" s="46">
        <f t="shared" si="134"/>
        <v>104566</v>
      </c>
      <c r="ED539" s="46">
        <f t="shared" si="135"/>
        <v>97108</v>
      </c>
      <c r="EE539" s="46">
        <f t="shared" si="136"/>
        <v>-1</v>
      </c>
      <c r="EF539" s="46">
        <f t="shared" si="137"/>
        <v>-1</v>
      </c>
      <c r="EG539" s="46">
        <f t="shared" si="138"/>
        <v>0</v>
      </c>
      <c r="EH539" s="46">
        <f t="shared" si="130"/>
        <v>0</v>
      </c>
      <c r="EI539" s="46">
        <f t="shared" si="140"/>
        <v>0</v>
      </c>
    </row>
    <row r="540" spans="3:139">
      <c r="C540" s="36" t="s">
        <v>807</v>
      </c>
      <c r="D540" s="36" t="s">
        <v>802</v>
      </c>
      <c r="E540" s="36" t="s">
        <v>803</v>
      </c>
      <c r="F540" s="38">
        <f t="shared" si="139"/>
        <v>38832</v>
      </c>
      <c r="G540" s="14" t="s">
        <v>225</v>
      </c>
      <c r="H540" s="47"/>
      <c r="I540" s="48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8"/>
      <c r="U540" s="48"/>
      <c r="V540" s="49"/>
      <c r="W540" s="49"/>
      <c r="X540" s="49"/>
      <c r="Y540" s="49"/>
      <c r="Z540" s="49"/>
      <c r="AA540" s="49"/>
      <c r="AB540" s="49"/>
      <c r="AC540" s="49"/>
      <c r="AD540" s="49"/>
      <c r="AE540" s="74"/>
      <c r="AF540" s="77"/>
      <c r="AG540" s="56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>
        <v>1000</v>
      </c>
      <c r="AT540" s="74">
        <v>400</v>
      </c>
      <c r="AU540" s="74">
        <v>0</v>
      </c>
      <c r="AV540" s="74">
        <v>0</v>
      </c>
      <c r="AW540" s="74">
        <v>200</v>
      </c>
      <c r="AX540" s="74">
        <v>600</v>
      </c>
      <c r="AY540" s="74">
        <v>800</v>
      </c>
      <c r="AZ540" s="74">
        <v>200</v>
      </c>
      <c r="BA540" s="74">
        <v>1000</v>
      </c>
      <c r="BB540" s="74">
        <v>700</v>
      </c>
      <c r="BC540" s="74">
        <f>1395+500</f>
        <v>1895</v>
      </c>
      <c r="BD540" s="74">
        <v>300</v>
      </c>
      <c r="BE540" s="74">
        <v>900</v>
      </c>
      <c r="BF540" s="74"/>
      <c r="BG540" s="74">
        <v>1300</v>
      </c>
      <c r="BH540" s="74">
        <v>500</v>
      </c>
      <c r="BI540" s="74">
        <v>0</v>
      </c>
      <c r="BJ540" s="74"/>
      <c r="BK540" s="74">
        <v>700</v>
      </c>
      <c r="BL540" s="74">
        <v>400</v>
      </c>
      <c r="BM540" s="74">
        <v>700</v>
      </c>
      <c r="BN540" s="74">
        <v>200</v>
      </c>
      <c r="BO540" s="74">
        <v>200</v>
      </c>
      <c r="BP540" s="74">
        <v>500</v>
      </c>
      <c r="BQ540" s="74">
        <v>700</v>
      </c>
      <c r="BR540" s="74">
        <v>900</v>
      </c>
      <c r="BS540" s="74">
        <v>400</v>
      </c>
      <c r="BT540" s="74">
        <v>600</v>
      </c>
      <c r="BU540" s="74">
        <v>500</v>
      </c>
      <c r="BV540" s="74">
        <v>200</v>
      </c>
      <c r="BW540" s="74">
        <v>0</v>
      </c>
      <c r="BX540" s="74">
        <v>1300</v>
      </c>
      <c r="BY540" s="74"/>
      <c r="BZ540" s="74"/>
      <c r="CA540" s="74">
        <v>600</v>
      </c>
      <c r="CB540" s="74">
        <v>800</v>
      </c>
      <c r="CC540" s="74">
        <v>400</v>
      </c>
      <c r="CD540" s="74">
        <v>800</v>
      </c>
      <c r="CE540" s="74">
        <v>500</v>
      </c>
      <c r="CF540" s="74">
        <v>796</v>
      </c>
      <c r="CG540" s="74"/>
      <c r="CH540" s="74">
        <v>0</v>
      </c>
      <c r="CI540" s="74">
        <v>600</v>
      </c>
      <c r="CJ540" s="74">
        <v>0</v>
      </c>
      <c r="CK540" s="74">
        <v>0</v>
      </c>
      <c r="CL540" s="74">
        <v>0</v>
      </c>
      <c r="CM540" s="74">
        <v>600</v>
      </c>
      <c r="CN540" s="74">
        <v>1600</v>
      </c>
      <c r="CO540" s="74">
        <v>100</v>
      </c>
      <c r="CP540" s="74">
        <v>600</v>
      </c>
      <c r="CQ540" s="74">
        <v>640</v>
      </c>
      <c r="CR540" s="74">
        <v>1200</v>
      </c>
      <c r="CS540" s="74">
        <v>0</v>
      </c>
      <c r="CT540" s="74">
        <v>1500</v>
      </c>
      <c r="CU540" s="74">
        <v>200</v>
      </c>
      <c r="CV540" s="74">
        <v>460</v>
      </c>
      <c r="CW540" s="74">
        <v>200</v>
      </c>
      <c r="CX540" s="74">
        <v>485</v>
      </c>
      <c r="CY540" s="74">
        <v>459</v>
      </c>
      <c r="CZ540" s="74">
        <v>1291</v>
      </c>
      <c r="DA540" s="74">
        <v>810</v>
      </c>
      <c r="DB540" s="74">
        <v>774</v>
      </c>
      <c r="DC540" s="51">
        <v>246</v>
      </c>
      <c r="DD540" s="51">
        <v>627</v>
      </c>
      <c r="DE540" s="51">
        <v>773</v>
      </c>
      <c r="DF540" s="52">
        <v>131</v>
      </c>
      <c r="DG540" s="52">
        <v>0</v>
      </c>
      <c r="DH540" s="52">
        <v>400</v>
      </c>
      <c r="DI540" s="52">
        <v>803</v>
      </c>
      <c r="DJ540" s="52">
        <v>1022</v>
      </c>
      <c r="DK540" s="52">
        <v>700</v>
      </c>
      <c r="DL540" s="52">
        <v>820</v>
      </c>
      <c r="DM540" s="52">
        <v>400</v>
      </c>
      <c r="DN540" s="52">
        <v>0</v>
      </c>
      <c r="DO540" s="52">
        <v>400</v>
      </c>
      <c r="DP540" s="52">
        <v>0</v>
      </c>
      <c r="DQ540" s="52">
        <v>0</v>
      </c>
      <c r="DR540" s="52">
        <v>0</v>
      </c>
      <c r="DS540" s="78">
        <v>0</v>
      </c>
      <c r="DT540" s="78">
        <v>0</v>
      </c>
      <c r="DU540" s="78">
        <v>0</v>
      </c>
      <c r="DV540" s="78">
        <v>0</v>
      </c>
      <c r="DW540" s="78">
        <v>0</v>
      </c>
      <c r="DX540" s="2"/>
      <c r="DY540" s="2"/>
      <c r="DZ540" s="46">
        <f t="shared" si="131"/>
        <v>0</v>
      </c>
      <c r="EA540" s="46">
        <f t="shared" si="132"/>
        <v>0</v>
      </c>
      <c r="EB540" s="46">
        <f t="shared" si="133"/>
        <v>0</v>
      </c>
      <c r="EC540" s="46">
        <f t="shared" si="134"/>
        <v>6795</v>
      </c>
      <c r="ED540" s="46">
        <f t="shared" si="135"/>
        <v>5200</v>
      </c>
      <c r="EE540" s="46">
        <f t="shared" si="136"/>
        <v>5700</v>
      </c>
      <c r="EF540" s="46">
        <f t="shared" si="137"/>
        <v>4496</v>
      </c>
      <c r="EG540" s="46">
        <f t="shared" si="138"/>
        <v>7444</v>
      </c>
      <c r="EH540" s="46">
        <f t="shared" si="130"/>
        <v>6877</v>
      </c>
      <c r="EI540" s="46">
        <f t="shared" si="140"/>
        <v>1620</v>
      </c>
    </row>
    <row r="541" spans="3:139">
      <c r="C541" s="36" t="s">
        <v>808</v>
      </c>
      <c r="D541" s="36" t="s">
        <v>802</v>
      </c>
      <c r="E541" s="36" t="s">
        <v>803</v>
      </c>
      <c r="F541" s="38">
        <f t="shared" si="139"/>
        <v>54566</v>
      </c>
      <c r="G541" s="14" t="s">
        <v>225</v>
      </c>
      <c r="H541" s="47"/>
      <c r="I541" s="48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8"/>
      <c r="U541" s="48"/>
      <c r="V541" s="49"/>
      <c r="W541" s="49"/>
      <c r="X541" s="49"/>
      <c r="Y541" s="49"/>
      <c r="Z541" s="49"/>
      <c r="AA541" s="49"/>
      <c r="AB541" s="49"/>
      <c r="AC541" s="49"/>
      <c r="AD541" s="49"/>
      <c r="AE541" s="74"/>
      <c r="AF541" s="77"/>
      <c r="AG541" s="56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>
        <v>0</v>
      </c>
      <c r="AT541" s="74">
        <v>2100</v>
      </c>
      <c r="AU541" s="74">
        <v>0</v>
      </c>
      <c r="AV541" s="74">
        <v>300</v>
      </c>
      <c r="AW541" s="74">
        <v>400</v>
      </c>
      <c r="AX541" s="74">
        <v>2300</v>
      </c>
      <c r="AY541" s="74">
        <v>2599</v>
      </c>
      <c r="AZ541" s="74">
        <v>5797</v>
      </c>
      <c r="BA541" s="74">
        <v>4900</v>
      </c>
      <c r="BB541" s="74">
        <v>2300</v>
      </c>
      <c r="BC541" s="74">
        <f>3800+200</f>
        <v>4000</v>
      </c>
      <c r="BD541" s="74">
        <v>3400</v>
      </c>
      <c r="BE541" s="74">
        <v>5800</v>
      </c>
      <c r="BF541" s="74">
        <v>5300</v>
      </c>
      <c r="BG541" s="74">
        <v>4000</v>
      </c>
      <c r="BH541" s="74"/>
      <c r="BI541" s="74">
        <v>1700</v>
      </c>
      <c r="BJ541" s="74">
        <v>4600</v>
      </c>
      <c r="BK541" s="74">
        <v>4800</v>
      </c>
      <c r="BL541" s="74">
        <v>270</v>
      </c>
      <c r="BM541" s="74"/>
      <c r="BN541" s="74">
        <v>0</v>
      </c>
      <c r="BO541" s="74"/>
      <c r="BP541" s="74">
        <v>0</v>
      </c>
      <c r="BQ541" s="74">
        <v>0</v>
      </c>
      <c r="BR541" s="74"/>
      <c r="BS541" s="74">
        <v>0</v>
      </c>
      <c r="BT541" s="74">
        <v>0</v>
      </c>
      <c r="BU541" s="74">
        <v>0</v>
      </c>
      <c r="BV541" s="74"/>
      <c r="BW541" s="74">
        <v>0</v>
      </c>
      <c r="BX541" s="74"/>
      <c r="BY541" s="74"/>
      <c r="BZ541" s="74"/>
      <c r="CA541" s="74">
        <v>0</v>
      </c>
      <c r="CB541" s="74">
        <v>0</v>
      </c>
      <c r="CC541" s="74">
        <v>0</v>
      </c>
      <c r="CD541" s="74">
        <v>0</v>
      </c>
      <c r="CE541" s="74">
        <v>0</v>
      </c>
      <c r="CF541" s="74">
        <v>0</v>
      </c>
      <c r="CG541" s="74"/>
      <c r="CH541" s="74">
        <v>0</v>
      </c>
      <c r="CI541" s="74">
        <v>0</v>
      </c>
      <c r="CJ541" s="74">
        <v>0</v>
      </c>
      <c r="CK541" s="74">
        <v>0</v>
      </c>
      <c r="CL541" s="74">
        <v>0</v>
      </c>
      <c r="CM541" s="74">
        <v>0</v>
      </c>
      <c r="CN541" s="74">
        <v>0</v>
      </c>
      <c r="CO541" s="74">
        <v>0</v>
      </c>
      <c r="CP541" s="74">
        <v>0</v>
      </c>
      <c r="CQ541" s="74">
        <v>0</v>
      </c>
      <c r="CR541" s="74">
        <v>0</v>
      </c>
      <c r="CS541" s="74">
        <v>0</v>
      </c>
      <c r="CT541" s="74">
        <v>0</v>
      </c>
      <c r="CU541" s="74">
        <v>0</v>
      </c>
      <c r="CV541" s="74"/>
      <c r="CW541" s="74">
        <v>0</v>
      </c>
      <c r="CX541" s="74">
        <v>0</v>
      </c>
      <c r="CY541" s="74">
        <v>0</v>
      </c>
      <c r="CZ541" s="74">
        <v>0</v>
      </c>
      <c r="DA541" s="74">
        <v>0</v>
      </c>
      <c r="DB541" s="74">
        <v>0</v>
      </c>
      <c r="DC541" s="51">
        <v>0</v>
      </c>
      <c r="DD541" s="51">
        <v>0</v>
      </c>
      <c r="DE541" s="51">
        <v>0</v>
      </c>
      <c r="DF541" s="52">
        <v>0</v>
      </c>
      <c r="DG541" s="52">
        <v>0</v>
      </c>
      <c r="DH541" s="52">
        <v>0</v>
      </c>
      <c r="DI541" s="52">
        <v>0</v>
      </c>
      <c r="DJ541" s="52">
        <v>0</v>
      </c>
      <c r="DK541" s="52">
        <v>0</v>
      </c>
      <c r="DL541" s="52">
        <v>0</v>
      </c>
      <c r="DM541" s="52">
        <v>0</v>
      </c>
      <c r="DN541" s="52">
        <v>0</v>
      </c>
      <c r="DO541" s="52">
        <v>0</v>
      </c>
      <c r="DP541" s="52">
        <v>0</v>
      </c>
      <c r="DQ541" s="52">
        <v>0</v>
      </c>
      <c r="DR541" s="52">
        <v>0</v>
      </c>
      <c r="DS541" s="78">
        <v>0</v>
      </c>
      <c r="DT541" s="78">
        <v>0</v>
      </c>
      <c r="DU541" s="78">
        <v>0</v>
      </c>
      <c r="DV541" s="78">
        <v>0</v>
      </c>
      <c r="DW541" s="78">
        <v>0</v>
      </c>
      <c r="DX541" s="2"/>
      <c r="DY541" s="2"/>
      <c r="DZ541" s="46">
        <f t="shared" si="131"/>
        <v>0</v>
      </c>
      <c r="EA541" s="46">
        <f t="shared" si="132"/>
        <v>0</v>
      </c>
      <c r="EB541" s="46">
        <f t="shared" si="133"/>
        <v>0</v>
      </c>
      <c r="EC541" s="46">
        <f t="shared" si="134"/>
        <v>24696</v>
      </c>
      <c r="ED541" s="46">
        <f t="shared" si="135"/>
        <v>29870</v>
      </c>
      <c r="EE541" s="46">
        <f t="shared" si="136"/>
        <v>0</v>
      </c>
      <c r="EF541" s="46">
        <f t="shared" si="137"/>
        <v>0</v>
      </c>
      <c r="EG541" s="46">
        <f t="shared" si="138"/>
        <v>0</v>
      </c>
      <c r="EH541" s="46">
        <f t="shared" si="130"/>
        <v>0</v>
      </c>
      <c r="EI541" s="46">
        <f t="shared" si="140"/>
        <v>0</v>
      </c>
    </row>
    <row r="542" spans="3:139">
      <c r="C542" s="36" t="s">
        <v>809</v>
      </c>
      <c r="D542" s="36" t="s">
        <v>802</v>
      </c>
      <c r="E542" s="36" t="s">
        <v>803</v>
      </c>
      <c r="F542" s="38">
        <f t="shared" si="139"/>
        <v>84289</v>
      </c>
      <c r="G542" s="14" t="s">
        <v>225</v>
      </c>
      <c r="H542" s="47"/>
      <c r="I542" s="48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8"/>
      <c r="U542" s="48"/>
      <c r="V542" s="49"/>
      <c r="W542" s="49"/>
      <c r="X542" s="49"/>
      <c r="Y542" s="49"/>
      <c r="Z542" s="49"/>
      <c r="AA542" s="49"/>
      <c r="AB542" s="49"/>
      <c r="AC542" s="49"/>
      <c r="AD542" s="49"/>
      <c r="AE542" s="74"/>
      <c r="AF542" s="77"/>
      <c r="AG542" s="56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>
        <v>0</v>
      </c>
      <c r="AT542" s="74"/>
      <c r="AU542" s="74">
        <v>0</v>
      </c>
      <c r="AV542" s="74">
        <v>0</v>
      </c>
      <c r="AW542" s="74">
        <v>600</v>
      </c>
      <c r="AX542" s="74">
        <v>2800</v>
      </c>
      <c r="AY542" s="74">
        <v>4300</v>
      </c>
      <c r="AZ542" s="74">
        <v>7393</v>
      </c>
      <c r="BA542" s="74">
        <v>4300</v>
      </c>
      <c r="BB542" s="74">
        <v>4199</v>
      </c>
      <c r="BC542" s="74">
        <f>6468+600</f>
        <v>7068</v>
      </c>
      <c r="BD542" s="74">
        <v>4800</v>
      </c>
      <c r="BE542" s="74">
        <v>4200</v>
      </c>
      <c r="BF542" s="74">
        <v>5200</v>
      </c>
      <c r="BG542" s="74">
        <v>11300</v>
      </c>
      <c r="BH542" s="74">
        <v>6600</v>
      </c>
      <c r="BI542" s="74">
        <v>9000</v>
      </c>
      <c r="BJ542" s="74">
        <v>2385</v>
      </c>
      <c r="BK542" s="74">
        <v>9400</v>
      </c>
      <c r="BL542" s="74">
        <v>748</v>
      </c>
      <c r="BM542" s="74"/>
      <c r="BN542" s="74">
        <v>0</v>
      </c>
      <c r="BO542" s="74"/>
      <c r="BP542" s="74">
        <v>0</v>
      </c>
      <c r="BQ542" s="74">
        <v>0</v>
      </c>
      <c r="BR542" s="74"/>
      <c r="BS542" s="74">
        <v>-4</v>
      </c>
      <c r="BT542" s="74">
        <v>0</v>
      </c>
      <c r="BU542" s="74">
        <v>0</v>
      </c>
      <c r="BV542" s="74"/>
      <c r="BW542" s="74">
        <v>0</v>
      </c>
      <c r="BX542" s="74"/>
      <c r="BY542" s="74"/>
      <c r="BZ542" s="74"/>
      <c r="CA542" s="74">
        <v>0</v>
      </c>
      <c r="CB542" s="74">
        <v>0</v>
      </c>
      <c r="CC542" s="74">
        <v>0</v>
      </c>
      <c r="CD542" s="74">
        <v>0</v>
      </c>
      <c r="CE542" s="74">
        <v>0</v>
      </c>
      <c r="CF542" s="74">
        <v>0</v>
      </c>
      <c r="CG542" s="74"/>
      <c r="CH542" s="74">
        <v>0</v>
      </c>
      <c r="CI542" s="74">
        <v>0</v>
      </c>
      <c r="CJ542" s="74">
        <v>0</v>
      </c>
      <c r="CK542" s="74">
        <v>0</v>
      </c>
      <c r="CL542" s="74">
        <v>0</v>
      </c>
      <c r="CM542" s="74">
        <v>0</v>
      </c>
      <c r="CN542" s="74">
        <v>0</v>
      </c>
      <c r="CO542" s="74">
        <v>0</v>
      </c>
      <c r="CP542" s="74">
        <v>0</v>
      </c>
      <c r="CQ542" s="74">
        <v>0</v>
      </c>
      <c r="CR542" s="74">
        <v>0</v>
      </c>
      <c r="CS542" s="74">
        <v>0</v>
      </c>
      <c r="CT542" s="74">
        <v>0</v>
      </c>
      <c r="CU542" s="74">
        <v>0</v>
      </c>
      <c r="CV542" s="74"/>
      <c r="CW542" s="74">
        <v>0</v>
      </c>
      <c r="CX542" s="74">
        <v>0</v>
      </c>
      <c r="CY542" s="74">
        <v>0</v>
      </c>
      <c r="CZ542" s="74">
        <v>0</v>
      </c>
      <c r="DA542" s="74">
        <v>0</v>
      </c>
      <c r="DB542" s="74">
        <v>0</v>
      </c>
      <c r="DC542" s="51">
        <v>0</v>
      </c>
      <c r="DD542" s="51">
        <v>0</v>
      </c>
      <c r="DE542" s="51">
        <v>0</v>
      </c>
      <c r="DF542" s="52">
        <v>0</v>
      </c>
      <c r="DG542" s="52">
        <v>0</v>
      </c>
      <c r="DH542" s="52">
        <v>0</v>
      </c>
      <c r="DI542" s="52">
        <v>0</v>
      </c>
      <c r="DJ542" s="52">
        <v>0</v>
      </c>
      <c r="DK542" s="52">
        <v>0</v>
      </c>
      <c r="DL542" s="52">
        <v>0</v>
      </c>
      <c r="DM542" s="52">
        <v>0</v>
      </c>
      <c r="DN542" s="52">
        <v>0</v>
      </c>
      <c r="DO542" s="52">
        <v>0</v>
      </c>
      <c r="DP542" s="52">
        <v>0</v>
      </c>
      <c r="DQ542" s="52">
        <v>0</v>
      </c>
      <c r="DR542" s="52">
        <v>0</v>
      </c>
      <c r="DS542" s="78">
        <v>0</v>
      </c>
      <c r="DT542" s="78">
        <v>0</v>
      </c>
      <c r="DU542" s="78">
        <v>0</v>
      </c>
      <c r="DV542" s="78">
        <v>0</v>
      </c>
      <c r="DW542" s="78">
        <v>0</v>
      </c>
      <c r="DX542" s="2"/>
      <c r="DY542" s="2"/>
      <c r="DZ542" s="46">
        <f t="shared" si="131"/>
        <v>0</v>
      </c>
      <c r="EA542" s="46">
        <f t="shared" si="132"/>
        <v>0</v>
      </c>
      <c r="EB542" s="46">
        <f t="shared" si="133"/>
        <v>0</v>
      </c>
      <c r="EC542" s="46">
        <f t="shared" si="134"/>
        <v>30660</v>
      </c>
      <c r="ED542" s="46">
        <f t="shared" si="135"/>
        <v>53633</v>
      </c>
      <c r="EE542" s="46">
        <f t="shared" si="136"/>
        <v>-4</v>
      </c>
      <c r="EF542" s="46">
        <f t="shared" si="137"/>
        <v>0</v>
      </c>
      <c r="EG542" s="46">
        <f t="shared" si="138"/>
        <v>0</v>
      </c>
      <c r="EH542" s="46">
        <f t="shared" si="130"/>
        <v>0</v>
      </c>
      <c r="EI542" s="46">
        <f t="shared" si="140"/>
        <v>0</v>
      </c>
    </row>
    <row r="543" spans="3:139">
      <c r="C543" s="36" t="s">
        <v>810</v>
      </c>
      <c r="D543" s="36" t="s">
        <v>802</v>
      </c>
      <c r="E543" s="36" t="s">
        <v>803</v>
      </c>
      <c r="F543" s="38">
        <f t="shared" si="139"/>
        <v>6515</v>
      </c>
      <c r="G543" s="14" t="s">
        <v>225</v>
      </c>
      <c r="H543" s="47"/>
      <c r="I543" s="48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8"/>
      <c r="U543" s="48"/>
      <c r="V543" s="49"/>
      <c r="W543" s="49"/>
      <c r="X543" s="49"/>
      <c r="Y543" s="49"/>
      <c r="Z543" s="49"/>
      <c r="AA543" s="49"/>
      <c r="AB543" s="49"/>
      <c r="AC543" s="49"/>
      <c r="AD543" s="49"/>
      <c r="AE543" s="74"/>
      <c r="AF543" s="77"/>
      <c r="AG543" s="56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>
        <v>200</v>
      </c>
      <c r="BA543" s="74">
        <v>200</v>
      </c>
      <c r="BB543" s="74">
        <v>0</v>
      </c>
      <c r="BC543" s="74">
        <v>300</v>
      </c>
      <c r="BD543" s="74">
        <v>0</v>
      </c>
      <c r="BE543" s="74">
        <v>100</v>
      </c>
      <c r="BF543" s="74">
        <v>200</v>
      </c>
      <c r="BG543" s="74">
        <v>300</v>
      </c>
      <c r="BH543" s="74"/>
      <c r="BI543" s="74">
        <v>0</v>
      </c>
      <c r="BJ543" s="74">
        <v>400</v>
      </c>
      <c r="BK543" s="74">
        <v>300</v>
      </c>
      <c r="BL543" s="74">
        <v>400</v>
      </c>
      <c r="BM543" s="74">
        <v>700</v>
      </c>
      <c r="BN543" s="74">
        <v>300</v>
      </c>
      <c r="BO543" s="74">
        <v>200</v>
      </c>
      <c r="BP543" s="74">
        <v>200</v>
      </c>
      <c r="BQ543" s="74">
        <v>400</v>
      </c>
      <c r="BR543" s="74">
        <v>500</v>
      </c>
      <c r="BS543" s="74">
        <v>395</v>
      </c>
      <c r="BT543" s="74">
        <v>200</v>
      </c>
      <c r="BU543" s="74">
        <v>0</v>
      </c>
      <c r="BV543" s="74">
        <v>200</v>
      </c>
      <c r="BW543" s="74">
        <v>200</v>
      </c>
      <c r="BX543" s="74">
        <v>100</v>
      </c>
      <c r="BY543" s="74">
        <v>300</v>
      </c>
      <c r="BZ543" s="74"/>
      <c r="CA543" s="74">
        <v>100</v>
      </c>
      <c r="CB543" s="74">
        <v>300</v>
      </c>
      <c r="CC543" s="74">
        <v>0</v>
      </c>
      <c r="CD543" s="74">
        <v>0</v>
      </c>
      <c r="CE543" s="74">
        <v>0</v>
      </c>
      <c r="CF543" s="74">
        <v>0</v>
      </c>
      <c r="CG543" s="74"/>
      <c r="CH543" s="74">
        <v>0</v>
      </c>
      <c r="CI543" s="74">
        <v>0</v>
      </c>
      <c r="CJ543" s="74">
        <v>0</v>
      </c>
      <c r="CK543" s="74">
        <v>0</v>
      </c>
      <c r="CL543" s="74">
        <v>0</v>
      </c>
      <c r="CM543" s="74">
        <v>0</v>
      </c>
      <c r="CN543" s="74">
        <v>0</v>
      </c>
      <c r="CO543" s="74">
        <v>0</v>
      </c>
      <c r="CP543" s="74">
        <v>0</v>
      </c>
      <c r="CQ543" s="74">
        <v>0</v>
      </c>
      <c r="CR543" s="74">
        <v>0</v>
      </c>
      <c r="CS543" s="74">
        <v>0</v>
      </c>
      <c r="CT543" s="74">
        <v>0</v>
      </c>
      <c r="CU543" s="74">
        <v>0</v>
      </c>
      <c r="CV543" s="74">
        <v>0</v>
      </c>
      <c r="CW543" s="74">
        <v>0</v>
      </c>
      <c r="CX543" s="74">
        <v>0</v>
      </c>
      <c r="CY543" s="74">
        <v>0</v>
      </c>
      <c r="CZ543" s="74">
        <v>0</v>
      </c>
      <c r="DA543" s="74">
        <v>0</v>
      </c>
      <c r="DB543" s="74">
        <v>0</v>
      </c>
      <c r="DC543" s="51">
        <v>0</v>
      </c>
      <c r="DD543" s="51">
        <v>20</v>
      </c>
      <c r="DE543" s="51">
        <v>0</v>
      </c>
      <c r="DF543" s="52">
        <v>0</v>
      </c>
      <c r="DG543" s="52">
        <v>0</v>
      </c>
      <c r="DH543" s="52">
        <v>0</v>
      </c>
      <c r="DI543" s="52">
        <v>0</v>
      </c>
      <c r="DJ543" s="52">
        <v>0</v>
      </c>
      <c r="DK543" s="52">
        <v>0</v>
      </c>
      <c r="DL543" s="52">
        <v>0</v>
      </c>
      <c r="DM543" s="52">
        <v>0</v>
      </c>
      <c r="DN543" s="52">
        <v>0</v>
      </c>
      <c r="DO543" s="52">
        <v>0</v>
      </c>
      <c r="DP543" s="52">
        <v>0</v>
      </c>
      <c r="DQ543" s="52">
        <v>0</v>
      </c>
      <c r="DR543" s="52">
        <v>0</v>
      </c>
      <c r="DS543" s="78">
        <v>0</v>
      </c>
      <c r="DT543" s="78">
        <v>0</v>
      </c>
      <c r="DU543" s="78">
        <v>0</v>
      </c>
      <c r="DV543" s="78">
        <v>0</v>
      </c>
      <c r="DW543" s="78">
        <v>0</v>
      </c>
      <c r="DX543" s="2"/>
      <c r="DY543" s="2"/>
      <c r="DZ543" s="46">
        <f t="shared" si="131"/>
        <v>0</v>
      </c>
      <c r="EA543" s="46">
        <f t="shared" si="132"/>
        <v>0</v>
      </c>
      <c r="EB543" s="46">
        <f t="shared" si="133"/>
        <v>0</v>
      </c>
      <c r="EC543" s="46">
        <f t="shared" si="134"/>
        <v>700</v>
      </c>
      <c r="ED543" s="46">
        <f t="shared" si="135"/>
        <v>2900</v>
      </c>
      <c r="EE543" s="46">
        <f t="shared" si="136"/>
        <v>2595</v>
      </c>
      <c r="EF543" s="46">
        <f t="shared" si="137"/>
        <v>300</v>
      </c>
      <c r="EG543" s="46">
        <f t="shared" si="138"/>
        <v>0</v>
      </c>
      <c r="EH543" s="46">
        <f t="shared" si="130"/>
        <v>20</v>
      </c>
      <c r="EI543" s="46">
        <f t="shared" si="140"/>
        <v>0</v>
      </c>
    </row>
    <row r="544" spans="3:139">
      <c r="C544" s="36"/>
      <c r="D544" s="36" t="s">
        <v>840</v>
      </c>
      <c r="E544" s="36" t="s">
        <v>812</v>
      </c>
      <c r="F544" s="38">
        <f t="shared" si="139"/>
        <v>683937</v>
      </c>
      <c r="G544" s="14" t="s">
        <v>225</v>
      </c>
      <c r="H544" s="47"/>
      <c r="I544" s="48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8"/>
      <c r="U544" s="48"/>
      <c r="V544" s="49"/>
      <c r="W544" s="49"/>
      <c r="X544" s="49"/>
      <c r="Y544" s="49"/>
      <c r="Z544" s="49"/>
      <c r="AA544" s="49"/>
      <c r="AB544" s="49"/>
      <c r="AC544" s="49"/>
      <c r="AD544" s="49"/>
      <c r="AE544" s="74"/>
      <c r="AF544" s="77"/>
      <c r="AG544" s="56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>
        <v>20</v>
      </c>
      <c r="BK544" s="74"/>
      <c r="BL544" s="74">
        <v>14300</v>
      </c>
      <c r="BM544" s="74">
        <v>15100</v>
      </c>
      <c r="BN544" s="74">
        <v>10400</v>
      </c>
      <c r="BO544" s="74">
        <v>7800</v>
      </c>
      <c r="BP544" s="74">
        <v>14800</v>
      </c>
      <c r="BQ544" s="74">
        <v>13500</v>
      </c>
      <c r="BR544" s="74">
        <v>17900</v>
      </c>
      <c r="BS544" s="74">
        <v>11334</v>
      </c>
      <c r="BT544" s="74">
        <v>10800</v>
      </c>
      <c r="BU544" s="74">
        <v>6800</v>
      </c>
      <c r="BV544" s="74">
        <v>5900</v>
      </c>
      <c r="BW544" s="74">
        <v>7300</v>
      </c>
      <c r="BX544" s="74">
        <v>6000</v>
      </c>
      <c r="BY544" s="74">
        <v>12600</v>
      </c>
      <c r="BZ544" s="74">
        <v>10800</v>
      </c>
      <c r="CA544" s="74">
        <v>7400</v>
      </c>
      <c r="CB544" s="74">
        <v>8600</v>
      </c>
      <c r="CC544" s="74">
        <v>14100</v>
      </c>
      <c r="CD544" s="74">
        <v>12500</v>
      </c>
      <c r="CE544" s="74">
        <v>8600</v>
      </c>
      <c r="CF544" s="74">
        <v>6730</v>
      </c>
      <c r="CG544" s="74">
        <v>12000</v>
      </c>
      <c r="CH544" s="74">
        <v>8600</v>
      </c>
      <c r="CI544" s="74">
        <v>10700</v>
      </c>
      <c r="CJ544" s="74">
        <v>10400</v>
      </c>
      <c r="CK544" s="74">
        <v>12600</v>
      </c>
      <c r="CL544" s="74">
        <v>11600</v>
      </c>
      <c r="CM544" s="74">
        <v>7700</v>
      </c>
      <c r="CN544" s="74">
        <v>17000</v>
      </c>
      <c r="CO544" s="74">
        <v>12100</v>
      </c>
      <c r="CP544" s="74">
        <v>12734</v>
      </c>
      <c r="CQ544" s="74">
        <v>12800</v>
      </c>
      <c r="CR544" s="74">
        <v>13400</v>
      </c>
      <c r="CS544" s="74">
        <v>15485</v>
      </c>
      <c r="CT544" s="74">
        <v>14600</v>
      </c>
      <c r="CU544" s="74">
        <v>9814</v>
      </c>
      <c r="CV544" s="74">
        <v>20987</v>
      </c>
      <c r="CW544" s="74">
        <v>16427</v>
      </c>
      <c r="CX544" s="74">
        <v>14040</v>
      </c>
      <c r="CY544" s="74">
        <v>10895</v>
      </c>
      <c r="CZ544" s="74">
        <v>10963</v>
      </c>
      <c r="DA544" s="74">
        <v>9723</v>
      </c>
      <c r="DB544" s="74">
        <v>11966</v>
      </c>
      <c r="DC544" s="51">
        <v>18809</v>
      </c>
      <c r="DD544" s="51">
        <v>14128</v>
      </c>
      <c r="DE544" s="51">
        <v>12767</v>
      </c>
      <c r="DF544" s="52">
        <v>11781</v>
      </c>
      <c r="DG544" s="52">
        <v>10142</v>
      </c>
      <c r="DH544" s="52">
        <v>10822</v>
      </c>
      <c r="DI544" s="52">
        <v>11433</v>
      </c>
      <c r="DJ544" s="52">
        <v>18291</v>
      </c>
      <c r="DK544" s="52">
        <v>17632</v>
      </c>
      <c r="DL544" s="52">
        <v>14963</v>
      </c>
      <c r="DM544" s="52">
        <v>19302</v>
      </c>
      <c r="DN544" s="52">
        <v>0</v>
      </c>
      <c r="DO544" s="52">
        <v>500</v>
      </c>
      <c r="DP544" s="52">
        <v>10818</v>
      </c>
      <c r="DQ544" s="52">
        <v>12731</v>
      </c>
      <c r="DR544" s="52">
        <v>14858</v>
      </c>
      <c r="DS544" s="78">
        <v>11683</v>
      </c>
      <c r="DT544" s="78">
        <v>11683</v>
      </c>
      <c r="DU544" s="78">
        <v>7010</v>
      </c>
      <c r="DV544" s="78">
        <v>5374</v>
      </c>
      <c r="DW544" s="78">
        <v>3388</v>
      </c>
      <c r="DX544" s="2"/>
      <c r="DY544" s="2"/>
      <c r="DZ544" s="46">
        <f t="shared" si="131"/>
        <v>0</v>
      </c>
      <c r="EA544" s="46">
        <f t="shared" si="132"/>
        <v>0</v>
      </c>
      <c r="EB544" s="46">
        <f t="shared" si="133"/>
        <v>0</v>
      </c>
      <c r="EC544" s="46">
        <f t="shared" si="134"/>
        <v>0</v>
      </c>
      <c r="ED544" s="46">
        <f t="shared" si="135"/>
        <v>47620</v>
      </c>
      <c r="EE544" s="46">
        <f t="shared" si="136"/>
        <v>125134</v>
      </c>
      <c r="EF544" s="46">
        <f t="shared" si="137"/>
        <v>124130</v>
      </c>
      <c r="EG544" s="46">
        <f t="shared" si="138"/>
        <v>170282</v>
      </c>
      <c r="EH544" s="46">
        <f t="shared" si="130"/>
        <v>140825</v>
      </c>
      <c r="EI544" s="46">
        <f t="shared" si="140"/>
        <v>34765</v>
      </c>
    </row>
    <row r="545" spans="3:139">
      <c r="C545" s="36" t="s">
        <v>813</v>
      </c>
      <c r="D545" s="36" t="s">
        <v>811</v>
      </c>
      <c r="E545" s="36" t="s">
        <v>812</v>
      </c>
      <c r="F545" s="38">
        <f t="shared" si="139"/>
        <v>336409</v>
      </c>
      <c r="G545" s="14" t="s">
        <v>225</v>
      </c>
      <c r="H545" s="47"/>
      <c r="I545" s="48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8"/>
      <c r="U545" s="48"/>
      <c r="V545" s="49"/>
      <c r="W545" s="49"/>
      <c r="X545" s="49"/>
      <c r="Y545" s="49"/>
      <c r="Z545" s="49"/>
      <c r="AA545" s="49"/>
      <c r="AB545" s="49"/>
      <c r="AC545" s="49"/>
      <c r="AD545" s="49"/>
      <c r="AE545" s="74"/>
      <c r="AF545" s="77"/>
      <c r="AG545" s="56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>
        <v>40</v>
      </c>
      <c r="BK545" s="74"/>
      <c r="BL545" s="74">
        <v>4900</v>
      </c>
      <c r="BM545" s="74">
        <v>6400</v>
      </c>
      <c r="BN545" s="74">
        <v>9800</v>
      </c>
      <c r="BO545" s="74">
        <v>7100</v>
      </c>
      <c r="BP545" s="74">
        <v>12500</v>
      </c>
      <c r="BQ545" s="74">
        <v>8500</v>
      </c>
      <c r="BR545" s="74">
        <v>15000</v>
      </c>
      <c r="BS545" s="74">
        <v>16981</v>
      </c>
      <c r="BT545" s="74">
        <v>7500</v>
      </c>
      <c r="BU545" s="74">
        <v>12700</v>
      </c>
      <c r="BV545" s="74">
        <v>7600</v>
      </c>
      <c r="BW545" s="74">
        <v>5900</v>
      </c>
      <c r="BX545" s="74">
        <v>800</v>
      </c>
      <c r="BY545" s="74">
        <v>14500</v>
      </c>
      <c r="BZ545" s="74">
        <v>14000</v>
      </c>
      <c r="CA545" s="74">
        <v>7000</v>
      </c>
      <c r="CB545" s="74">
        <v>10800</v>
      </c>
      <c r="CC545" s="74">
        <v>10200</v>
      </c>
      <c r="CD545" s="74">
        <v>9900</v>
      </c>
      <c r="CE545" s="74">
        <v>5700</v>
      </c>
      <c r="CF545" s="74">
        <v>7664</v>
      </c>
      <c r="CG545" s="74">
        <v>6700</v>
      </c>
      <c r="CH545" s="74">
        <v>8400</v>
      </c>
      <c r="CI545" s="74">
        <v>8000</v>
      </c>
      <c r="CJ545" s="74">
        <v>8100</v>
      </c>
      <c r="CK545" s="74">
        <v>7000</v>
      </c>
      <c r="CL545" s="74">
        <v>6400</v>
      </c>
      <c r="CM545" s="74">
        <v>6100</v>
      </c>
      <c r="CN545" s="74">
        <v>6300</v>
      </c>
      <c r="CO545" s="74">
        <v>8800</v>
      </c>
      <c r="CP545" s="74">
        <v>3900</v>
      </c>
      <c r="CQ545" s="74">
        <v>5000</v>
      </c>
      <c r="CR545" s="74">
        <v>4500</v>
      </c>
      <c r="CS545" s="74">
        <v>4900</v>
      </c>
      <c r="CT545" s="74">
        <v>4400</v>
      </c>
      <c r="CU545" s="74">
        <v>3797</v>
      </c>
      <c r="CV545" s="74">
        <v>3631</v>
      </c>
      <c r="CW545" s="74">
        <v>4500</v>
      </c>
      <c r="CX545" s="74">
        <v>7500</v>
      </c>
      <c r="CY545" s="74">
        <v>596</v>
      </c>
      <c r="CZ545" s="74">
        <v>2400</v>
      </c>
      <c r="DA545" s="74">
        <v>2210</v>
      </c>
      <c r="DB545" s="74">
        <v>1878</v>
      </c>
      <c r="DC545" s="51">
        <v>1626</v>
      </c>
      <c r="DD545" s="51">
        <v>3505</v>
      </c>
      <c r="DE545" s="51">
        <v>2818</v>
      </c>
      <c r="DF545" s="52">
        <v>2101</v>
      </c>
      <c r="DG545" s="52">
        <v>1900</v>
      </c>
      <c r="DH545" s="52">
        <v>594</v>
      </c>
      <c r="DI545" s="52">
        <v>3674</v>
      </c>
      <c r="DJ545" s="52">
        <v>4389</v>
      </c>
      <c r="DK545" s="52">
        <v>2500</v>
      </c>
      <c r="DL545" s="52">
        <v>684</v>
      </c>
      <c r="DM545" s="52">
        <v>421</v>
      </c>
      <c r="DN545" s="52">
        <v>1700</v>
      </c>
      <c r="DO545" s="52">
        <v>0</v>
      </c>
      <c r="DP545" s="52">
        <v>0</v>
      </c>
      <c r="DQ545" s="52">
        <v>0</v>
      </c>
      <c r="DR545" s="52">
        <v>0</v>
      </c>
      <c r="DS545" s="78">
        <v>0</v>
      </c>
      <c r="DT545" s="78">
        <v>0</v>
      </c>
      <c r="DU545" s="78">
        <v>0</v>
      </c>
      <c r="DV545" s="78">
        <v>0</v>
      </c>
      <c r="DW545" s="78">
        <v>0</v>
      </c>
      <c r="DX545" s="2"/>
      <c r="DY545" s="2"/>
      <c r="DZ545" s="46">
        <f t="shared" si="131"/>
        <v>0</v>
      </c>
      <c r="EA545" s="46">
        <f t="shared" si="132"/>
        <v>0</v>
      </c>
      <c r="EB545" s="46">
        <f t="shared" si="133"/>
        <v>0</v>
      </c>
      <c r="EC545" s="46">
        <f t="shared" si="134"/>
        <v>0</v>
      </c>
      <c r="ED545" s="46">
        <f t="shared" si="135"/>
        <v>28240</v>
      </c>
      <c r="EE545" s="46">
        <f t="shared" si="136"/>
        <v>122981</v>
      </c>
      <c r="EF545" s="46">
        <f t="shared" si="137"/>
        <v>94964</v>
      </c>
      <c r="EG545" s="46">
        <f t="shared" si="138"/>
        <v>57824</v>
      </c>
      <c r="EH545" s="46">
        <f t="shared" si="130"/>
        <v>27095</v>
      </c>
      <c r="EI545" s="46">
        <f t="shared" si="140"/>
        <v>2805</v>
      </c>
    </row>
    <row r="546" spans="3:139">
      <c r="C546" s="36" t="s">
        <v>814</v>
      </c>
      <c r="D546" s="36" t="s">
        <v>811</v>
      </c>
      <c r="E546" s="36" t="s">
        <v>812</v>
      </c>
      <c r="F546" s="38">
        <f t="shared" si="139"/>
        <v>115604</v>
      </c>
      <c r="G546" s="14" t="s">
        <v>225</v>
      </c>
      <c r="H546" s="47"/>
      <c r="I546" s="48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8"/>
      <c r="U546" s="48"/>
      <c r="V546" s="49"/>
      <c r="W546" s="49"/>
      <c r="X546" s="49"/>
      <c r="Y546" s="49"/>
      <c r="Z546" s="49"/>
      <c r="AA546" s="49"/>
      <c r="AB546" s="49"/>
      <c r="AC546" s="49"/>
      <c r="AD546" s="49"/>
      <c r="AE546" s="74"/>
      <c r="AF546" s="77"/>
      <c r="AG546" s="56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>
        <v>20</v>
      </c>
      <c r="BK546" s="74"/>
      <c r="BL546" s="74">
        <v>2800</v>
      </c>
      <c r="BM546" s="74">
        <v>10900</v>
      </c>
      <c r="BN546" s="74">
        <v>500</v>
      </c>
      <c r="BO546" s="74">
        <v>2500</v>
      </c>
      <c r="BP546" s="74">
        <v>4900</v>
      </c>
      <c r="BQ546" s="74">
        <v>6000</v>
      </c>
      <c r="BR546" s="74">
        <v>4800</v>
      </c>
      <c r="BS546" s="74">
        <v>7191</v>
      </c>
      <c r="BT546" s="74">
        <v>2000</v>
      </c>
      <c r="BU546" s="74">
        <v>5400</v>
      </c>
      <c r="BV546" s="74">
        <v>3900</v>
      </c>
      <c r="BW546" s="74">
        <v>5700</v>
      </c>
      <c r="BX546" s="74">
        <v>2000</v>
      </c>
      <c r="BY546" s="74">
        <v>2300</v>
      </c>
      <c r="BZ546" s="74">
        <v>4600</v>
      </c>
      <c r="CA546" s="74">
        <v>3000</v>
      </c>
      <c r="CB546" s="74">
        <v>1400</v>
      </c>
      <c r="CC546" s="74">
        <v>3400</v>
      </c>
      <c r="CD546" s="74">
        <v>3400</v>
      </c>
      <c r="CE546" s="74">
        <v>2300</v>
      </c>
      <c r="CF546" s="74">
        <v>393</v>
      </c>
      <c r="CG546" s="74">
        <v>1600</v>
      </c>
      <c r="CH546" s="74">
        <v>2400</v>
      </c>
      <c r="CI546" s="74">
        <v>1500</v>
      </c>
      <c r="CJ546" s="74">
        <v>1800</v>
      </c>
      <c r="CK546" s="74">
        <v>2300</v>
      </c>
      <c r="CL546" s="74">
        <v>3600</v>
      </c>
      <c r="CM546" s="74">
        <v>1700</v>
      </c>
      <c r="CN546" s="74">
        <v>2000</v>
      </c>
      <c r="CO546" s="74">
        <v>5500</v>
      </c>
      <c r="CP546" s="74">
        <v>3600</v>
      </c>
      <c r="CQ546" s="74">
        <v>5600</v>
      </c>
      <c r="CR546" s="74">
        <v>2200</v>
      </c>
      <c r="CS546" s="74">
        <v>2400</v>
      </c>
      <c r="CT546" s="74">
        <v>0</v>
      </c>
      <c r="CU546" s="74">
        <v>0</v>
      </c>
      <c r="CV546" s="74">
        <v>0</v>
      </c>
      <c r="CW546" s="74">
        <v>0</v>
      </c>
      <c r="CX546" s="74">
        <v>0</v>
      </c>
      <c r="CY546" s="74">
        <v>0</v>
      </c>
      <c r="CZ546" s="74">
        <v>0</v>
      </c>
      <c r="DA546" s="74">
        <v>0</v>
      </c>
      <c r="DB546" s="74">
        <v>0</v>
      </c>
      <c r="DC546" s="51">
        <v>0</v>
      </c>
      <c r="DD546" s="51">
        <v>0</v>
      </c>
      <c r="DE546" s="51">
        <v>0</v>
      </c>
      <c r="DF546" s="52">
        <v>0</v>
      </c>
      <c r="DG546" s="52">
        <v>0</v>
      </c>
      <c r="DH546" s="52">
        <v>0</v>
      </c>
      <c r="DI546" s="52">
        <v>0</v>
      </c>
      <c r="DJ546" s="52">
        <v>0</v>
      </c>
      <c r="DK546" s="52">
        <v>0</v>
      </c>
      <c r="DL546" s="52">
        <v>0</v>
      </c>
      <c r="DM546" s="52">
        <v>0</v>
      </c>
      <c r="DN546" s="52">
        <v>0</v>
      </c>
      <c r="DO546" s="52">
        <v>0</v>
      </c>
      <c r="DP546" s="52">
        <v>0</v>
      </c>
      <c r="DQ546" s="52">
        <v>0</v>
      </c>
      <c r="DR546" s="52">
        <v>0</v>
      </c>
      <c r="DS546" s="78">
        <v>0</v>
      </c>
      <c r="DT546" s="78">
        <v>0</v>
      </c>
      <c r="DU546" s="78">
        <v>0</v>
      </c>
      <c r="DV546" s="78">
        <v>0</v>
      </c>
      <c r="DW546" s="78">
        <v>0</v>
      </c>
      <c r="DX546" s="2"/>
      <c r="DY546" s="2"/>
      <c r="DZ546" s="46">
        <f t="shared" si="131"/>
        <v>0</v>
      </c>
      <c r="EA546" s="46">
        <f t="shared" si="132"/>
        <v>0</v>
      </c>
      <c r="EB546" s="46">
        <f t="shared" si="133"/>
        <v>0</v>
      </c>
      <c r="EC546" s="46">
        <f t="shared" si="134"/>
        <v>0</v>
      </c>
      <c r="ED546" s="46">
        <f t="shared" si="135"/>
        <v>16720</v>
      </c>
      <c r="EE546" s="46">
        <f t="shared" si="136"/>
        <v>51791</v>
      </c>
      <c r="EF546" s="46">
        <f t="shared" si="137"/>
        <v>25793</v>
      </c>
      <c r="EG546" s="46">
        <f t="shared" si="138"/>
        <v>21300</v>
      </c>
      <c r="EH546" s="46">
        <f t="shared" si="130"/>
        <v>0</v>
      </c>
      <c r="EI546" s="46">
        <f t="shared" si="140"/>
        <v>0</v>
      </c>
    </row>
    <row r="547" spans="3:139">
      <c r="C547" s="36" t="s">
        <v>815</v>
      </c>
      <c r="D547" s="36" t="s">
        <v>811</v>
      </c>
      <c r="E547" s="36" t="s">
        <v>812</v>
      </c>
      <c r="F547" s="38">
        <f t="shared" si="139"/>
        <v>134977</v>
      </c>
      <c r="G547" s="14" t="s">
        <v>225</v>
      </c>
      <c r="H547" s="47"/>
      <c r="I547" s="48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8"/>
      <c r="U547" s="48"/>
      <c r="V547" s="49"/>
      <c r="W547" s="49"/>
      <c r="X547" s="49"/>
      <c r="Y547" s="49"/>
      <c r="Z547" s="49"/>
      <c r="AA547" s="49"/>
      <c r="AB547" s="49"/>
      <c r="AC547" s="49"/>
      <c r="AD547" s="49"/>
      <c r="AE547" s="74"/>
      <c r="AF547" s="77"/>
      <c r="AG547" s="56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>
        <v>16</v>
      </c>
      <c r="BK547" s="74"/>
      <c r="BL547" s="74">
        <v>6600</v>
      </c>
      <c r="BM547" s="74">
        <v>8600</v>
      </c>
      <c r="BN547" s="74">
        <v>4600</v>
      </c>
      <c r="BO547" s="74">
        <v>1500</v>
      </c>
      <c r="BP547" s="74">
        <v>5900</v>
      </c>
      <c r="BQ547" s="74">
        <v>8400</v>
      </c>
      <c r="BR547" s="74">
        <v>5800</v>
      </c>
      <c r="BS547" s="74">
        <v>5278</v>
      </c>
      <c r="BT547" s="74">
        <v>9900</v>
      </c>
      <c r="BU547" s="74">
        <v>4700</v>
      </c>
      <c r="BV547" s="74">
        <v>3300</v>
      </c>
      <c r="BW547" s="74">
        <v>2200</v>
      </c>
      <c r="BX547" s="74">
        <v>2300</v>
      </c>
      <c r="BY547" s="74">
        <v>6100</v>
      </c>
      <c r="BZ547" s="74">
        <v>4400</v>
      </c>
      <c r="CA547" s="74">
        <v>6000</v>
      </c>
      <c r="CB547" s="74">
        <v>5500</v>
      </c>
      <c r="CC547" s="74">
        <v>3700</v>
      </c>
      <c r="CD547" s="74">
        <v>5800</v>
      </c>
      <c r="CE547" s="74">
        <v>4800</v>
      </c>
      <c r="CF547" s="74">
        <v>2683</v>
      </c>
      <c r="CG547" s="74">
        <v>3900</v>
      </c>
      <c r="CH547" s="74">
        <v>2700</v>
      </c>
      <c r="CI547" s="74">
        <v>7000</v>
      </c>
      <c r="CJ547" s="74">
        <v>3600</v>
      </c>
      <c r="CK547" s="74">
        <v>4500</v>
      </c>
      <c r="CL547" s="74">
        <v>1700</v>
      </c>
      <c r="CM547" s="74">
        <v>0</v>
      </c>
      <c r="CN547" s="74">
        <v>300</v>
      </c>
      <c r="CO547" s="74">
        <v>500</v>
      </c>
      <c r="CP547" s="74">
        <v>300</v>
      </c>
      <c r="CQ547" s="74">
        <v>600</v>
      </c>
      <c r="CR547" s="74">
        <v>900</v>
      </c>
      <c r="CS547" s="74">
        <v>900</v>
      </c>
      <c r="CT547" s="74">
        <v>0</v>
      </c>
      <c r="CU547" s="74">
        <v>0</v>
      </c>
      <c r="CV547" s="74">
        <v>0</v>
      </c>
      <c r="CW547" s="74">
        <v>0</v>
      </c>
      <c r="CX547" s="74">
        <v>0</v>
      </c>
      <c r="CY547" s="74">
        <v>0</v>
      </c>
      <c r="CZ547" s="74">
        <v>0</v>
      </c>
      <c r="DA547" s="74">
        <v>0</v>
      </c>
      <c r="DB547" s="74">
        <v>0</v>
      </c>
      <c r="DC547" s="51">
        <v>0</v>
      </c>
      <c r="DD547" s="51">
        <v>0</v>
      </c>
      <c r="DE547" s="51">
        <v>0</v>
      </c>
      <c r="DF547" s="52">
        <v>0</v>
      </c>
      <c r="DG547" s="52">
        <v>0</v>
      </c>
      <c r="DH547" s="52">
        <v>0</v>
      </c>
      <c r="DI547" s="52">
        <v>0</v>
      </c>
      <c r="DJ547" s="52">
        <v>0</v>
      </c>
      <c r="DK547" s="52">
        <v>0</v>
      </c>
      <c r="DL547" s="52">
        <v>0</v>
      </c>
      <c r="DM547" s="52">
        <v>0</v>
      </c>
      <c r="DN547" s="52">
        <v>0</v>
      </c>
      <c r="DO547" s="52">
        <v>0</v>
      </c>
      <c r="DP547" s="52">
        <v>0</v>
      </c>
      <c r="DQ547" s="52">
        <v>0</v>
      </c>
      <c r="DR547" s="52">
        <v>0</v>
      </c>
      <c r="DS547" s="78">
        <v>0</v>
      </c>
      <c r="DT547" s="78">
        <v>0</v>
      </c>
      <c r="DU547" s="78">
        <v>0</v>
      </c>
      <c r="DV547" s="78">
        <v>0</v>
      </c>
      <c r="DW547" s="78">
        <v>0</v>
      </c>
      <c r="DX547" s="2"/>
      <c r="DY547" s="2"/>
      <c r="DZ547" s="46">
        <f t="shared" si="131"/>
        <v>0</v>
      </c>
      <c r="EA547" s="46">
        <f t="shared" si="132"/>
        <v>0</v>
      </c>
      <c r="EB547" s="46">
        <f t="shared" si="133"/>
        <v>0</v>
      </c>
      <c r="EC547" s="46">
        <f t="shared" si="134"/>
        <v>0</v>
      </c>
      <c r="ED547" s="46">
        <f t="shared" si="135"/>
        <v>21316</v>
      </c>
      <c r="EE547" s="46">
        <f t="shared" si="136"/>
        <v>64278</v>
      </c>
      <c r="EF547" s="46">
        <f t="shared" si="137"/>
        <v>45883</v>
      </c>
      <c r="EG547" s="46">
        <f t="shared" si="138"/>
        <v>3500</v>
      </c>
      <c r="EH547" s="46">
        <f t="shared" si="130"/>
        <v>0</v>
      </c>
      <c r="EI547" s="46">
        <f t="shared" si="140"/>
        <v>0</v>
      </c>
    </row>
    <row r="548" spans="3:139">
      <c r="C548" s="36" t="s">
        <v>816</v>
      </c>
      <c r="D548" s="36" t="s">
        <v>841</v>
      </c>
      <c r="E548" s="36" t="s">
        <v>818</v>
      </c>
      <c r="F548" s="38">
        <f t="shared" si="139"/>
        <v>4766</v>
      </c>
      <c r="G548" s="14" t="s">
        <v>225</v>
      </c>
      <c r="H548" s="47"/>
      <c r="I548" s="48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8"/>
      <c r="U548" s="48"/>
      <c r="V548" s="49"/>
      <c r="W548" s="49"/>
      <c r="X548" s="49"/>
      <c r="Y548" s="49"/>
      <c r="Z548" s="49"/>
      <c r="AA548" s="49"/>
      <c r="AB548" s="49"/>
      <c r="AC548" s="49"/>
      <c r="AD548" s="49"/>
      <c r="AE548" s="74"/>
      <c r="AF548" s="77"/>
      <c r="AG548" s="56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  <c r="BY548" s="74"/>
      <c r="BZ548" s="74">
        <v>55</v>
      </c>
      <c r="CA548" s="74">
        <v>0</v>
      </c>
      <c r="CB548" s="74">
        <v>131</v>
      </c>
      <c r="CC548" s="74">
        <v>492</v>
      </c>
      <c r="CD548" s="74">
        <v>300</v>
      </c>
      <c r="CE548" s="74">
        <v>200</v>
      </c>
      <c r="CF548" s="74">
        <v>688</v>
      </c>
      <c r="CG548" s="74">
        <v>400</v>
      </c>
      <c r="CH548" s="74">
        <v>600</v>
      </c>
      <c r="CI548" s="74">
        <v>100</v>
      </c>
      <c r="CJ548" s="74">
        <v>800</v>
      </c>
      <c r="CK548" s="74">
        <v>800</v>
      </c>
      <c r="CL548" s="74">
        <v>0</v>
      </c>
      <c r="CM548" s="74">
        <v>0</v>
      </c>
      <c r="CN548" s="74">
        <v>0</v>
      </c>
      <c r="CO548" s="74">
        <v>0</v>
      </c>
      <c r="CP548" s="74">
        <v>0</v>
      </c>
      <c r="CQ548" s="74">
        <v>200</v>
      </c>
      <c r="CR548" s="74">
        <v>0</v>
      </c>
      <c r="CS548" s="74">
        <v>0</v>
      </c>
      <c r="CT548" s="74">
        <v>0</v>
      </c>
      <c r="CU548" s="74">
        <v>0</v>
      </c>
      <c r="CV548" s="74">
        <v>0</v>
      </c>
      <c r="CW548" s="74">
        <v>0</v>
      </c>
      <c r="CX548" s="74">
        <v>0</v>
      </c>
      <c r="CY548" s="74">
        <v>0</v>
      </c>
      <c r="CZ548" s="74">
        <v>0</v>
      </c>
      <c r="DA548" s="74">
        <v>0</v>
      </c>
      <c r="DB548" s="74">
        <v>0</v>
      </c>
      <c r="DC548" s="51">
        <v>0</v>
      </c>
      <c r="DD548" s="51">
        <v>0</v>
      </c>
      <c r="DE548" s="51">
        <v>0</v>
      </c>
      <c r="DF548" s="52">
        <v>0</v>
      </c>
      <c r="DG548" s="52">
        <v>0</v>
      </c>
      <c r="DH548" s="52">
        <v>0</v>
      </c>
      <c r="DI548" s="52">
        <v>0</v>
      </c>
      <c r="DJ548" s="52">
        <v>0</v>
      </c>
      <c r="DK548" s="52">
        <v>0</v>
      </c>
      <c r="DL548" s="52">
        <v>0</v>
      </c>
      <c r="DM548" s="52">
        <v>0</v>
      </c>
      <c r="DN548" s="52">
        <v>0</v>
      </c>
      <c r="DO548" s="52">
        <v>0</v>
      </c>
      <c r="DP548" s="52">
        <v>0</v>
      </c>
      <c r="DQ548" s="52">
        <v>0</v>
      </c>
      <c r="DR548" s="52">
        <v>0</v>
      </c>
      <c r="DS548" s="78">
        <v>0</v>
      </c>
      <c r="DT548" s="78">
        <v>0</v>
      </c>
      <c r="DU548" s="78">
        <v>0</v>
      </c>
      <c r="DV548" s="78">
        <v>0</v>
      </c>
      <c r="DW548" s="78">
        <v>0</v>
      </c>
      <c r="DX548" s="2"/>
      <c r="DY548" s="2"/>
      <c r="DZ548" s="46">
        <f t="shared" si="131"/>
        <v>0</v>
      </c>
      <c r="EA548" s="46">
        <f t="shared" si="132"/>
        <v>0</v>
      </c>
      <c r="EB548" s="46">
        <f t="shared" si="133"/>
        <v>0</v>
      </c>
      <c r="EC548" s="46">
        <f t="shared" si="134"/>
        <v>0</v>
      </c>
      <c r="ED548" s="46">
        <f t="shared" si="135"/>
        <v>0</v>
      </c>
      <c r="EE548" s="46">
        <f t="shared" si="136"/>
        <v>55</v>
      </c>
      <c r="EF548" s="46">
        <f t="shared" si="137"/>
        <v>4511</v>
      </c>
      <c r="EG548" s="46">
        <f t="shared" si="138"/>
        <v>200</v>
      </c>
      <c r="EH548" s="46">
        <f t="shared" si="130"/>
        <v>0</v>
      </c>
      <c r="EI548" s="46">
        <f t="shared" si="140"/>
        <v>0</v>
      </c>
    </row>
    <row r="549" spans="3:139">
      <c r="C549" s="36" t="s">
        <v>819</v>
      </c>
      <c r="D549" s="36" t="s">
        <v>817</v>
      </c>
      <c r="E549" s="36" t="s">
        <v>818</v>
      </c>
      <c r="F549" s="38">
        <f t="shared" si="139"/>
        <v>15903</v>
      </c>
      <c r="G549" s="14" t="s">
        <v>225</v>
      </c>
      <c r="H549" s="47"/>
      <c r="I549" s="48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8"/>
      <c r="U549" s="48"/>
      <c r="V549" s="49"/>
      <c r="W549" s="49"/>
      <c r="X549" s="49"/>
      <c r="Y549" s="49"/>
      <c r="Z549" s="49"/>
      <c r="AA549" s="49"/>
      <c r="AB549" s="49"/>
      <c r="AC549" s="49"/>
      <c r="AD549" s="49"/>
      <c r="AE549" s="74"/>
      <c r="AF549" s="77"/>
      <c r="AG549" s="56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74"/>
      <c r="BU549" s="74"/>
      <c r="BV549" s="74"/>
      <c r="BW549" s="74"/>
      <c r="BX549" s="74"/>
      <c r="BY549" s="74"/>
      <c r="BZ549" s="74"/>
      <c r="CA549" s="74"/>
      <c r="CB549" s="74"/>
      <c r="CC549" s="74"/>
      <c r="CD549" s="74"/>
      <c r="CE549" s="74"/>
      <c r="CF549" s="74"/>
      <c r="CG549" s="74"/>
      <c r="CH549" s="74">
        <v>2</v>
      </c>
      <c r="CI549" s="74">
        <v>20</v>
      </c>
      <c r="CJ549" s="74">
        <v>400</v>
      </c>
      <c r="CK549" s="74">
        <v>600</v>
      </c>
      <c r="CL549" s="74">
        <v>100</v>
      </c>
      <c r="CM549" s="74">
        <v>600</v>
      </c>
      <c r="CN549" s="74">
        <v>700</v>
      </c>
      <c r="CO549" s="74">
        <v>900</v>
      </c>
      <c r="CP549" s="74">
        <v>500</v>
      </c>
      <c r="CQ549" s="74">
        <v>1200</v>
      </c>
      <c r="CR549" s="74">
        <v>599</v>
      </c>
      <c r="CS549" s="74">
        <v>600</v>
      </c>
      <c r="CT549" s="74">
        <v>600</v>
      </c>
      <c r="CU549" s="74">
        <v>456</v>
      </c>
      <c r="CV549" s="74">
        <v>578</v>
      </c>
      <c r="CW549" s="74">
        <v>700</v>
      </c>
      <c r="CX549" s="74">
        <v>1300</v>
      </c>
      <c r="CY549" s="74">
        <v>0</v>
      </c>
      <c r="CZ549" s="74">
        <v>858</v>
      </c>
      <c r="DA549" s="74">
        <v>300</v>
      </c>
      <c r="DB549" s="74">
        <v>1154</v>
      </c>
      <c r="DC549" s="51">
        <v>1711</v>
      </c>
      <c r="DD549" s="51">
        <v>918</v>
      </c>
      <c r="DE549" s="51">
        <v>0</v>
      </c>
      <c r="DF549" s="52">
        <v>100</v>
      </c>
      <c r="DG549" s="52">
        <v>612</v>
      </c>
      <c r="DH549" s="52">
        <v>395</v>
      </c>
      <c r="DI549" s="52">
        <v>0</v>
      </c>
      <c r="DJ549" s="52">
        <v>0</v>
      </c>
      <c r="DK549" s="52">
        <v>0</v>
      </c>
      <c r="DL549" s="52">
        <v>0</v>
      </c>
      <c r="DM549" s="52">
        <v>0</v>
      </c>
      <c r="DN549" s="52">
        <v>0</v>
      </c>
      <c r="DO549" s="52">
        <v>0</v>
      </c>
      <c r="DP549" s="52">
        <v>0</v>
      </c>
      <c r="DQ549" s="52">
        <v>0</v>
      </c>
      <c r="DR549" s="52">
        <v>0</v>
      </c>
      <c r="DS549" s="78">
        <v>0</v>
      </c>
      <c r="DT549" s="78">
        <v>0</v>
      </c>
      <c r="DU549" s="78">
        <v>0</v>
      </c>
      <c r="DV549" s="78">
        <v>0</v>
      </c>
      <c r="DW549" s="78">
        <v>0</v>
      </c>
      <c r="DX549" s="2"/>
      <c r="DY549" s="2"/>
      <c r="DZ549" s="46">
        <f t="shared" si="131"/>
        <v>0</v>
      </c>
      <c r="EA549" s="46">
        <f t="shared" si="132"/>
        <v>0</v>
      </c>
      <c r="EB549" s="46">
        <f t="shared" si="133"/>
        <v>0</v>
      </c>
      <c r="EC549" s="46">
        <f t="shared" si="134"/>
        <v>0</v>
      </c>
      <c r="ED549" s="46">
        <f t="shared" si="135"/>
        <v>0</v>
      </c>
      <c r="EE549" s="46">
        <f t="shared" si="136"/>
        <v>0</v>
      </c>
      <c r="EF549" s="46">
        <f t="shared" si="137"/>
        <v>1722</v>
      </c>
      <c r="EG549" s="46">
        <f t="shared" si="138"/>
        <v>8133</v>
      </c>
      <c r="EH549" s="46">
        <f t="shared" si="130"/>
        <v>6048</v>
      </c>
      <c r="EI549" s="46">
        <f t="shared" si="140"/>
        <v>0</v>
      </c>
    </row>
    <row r="550" spans="3:139">
      <c r="C550" s="36" t="s">
        <v>820</v>
      </c>
      <c r="D550" s="36" t="s">
        <v>817</v>
      </c>
      <c r="E550" s="36" t="s">
        <v>818</v>
      </c>
      <c r="F550" s="38">
        <f t="shared" si="139"/>
        <v>30090</v>
      </c>
      <c r="G550" s="14" t="s">
        <v>225</v>
      </c>
      <c r="H550" s="47"/>
      <c r="I550" s="48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8"/>
      <c r="U550" s="48"/>
      <c r="V550" s="49"/>
      <c r="W550" s="49"/>
      <c r="X550" s="49"/>
      <c r="Y550" s="49"/>
      <c r="Z550" s="49"/>
      <c r="AA550" s="49"/>
      <c r="AB550" s="49"/>
      <c r="AC550" s="49"/>
      <c r="AD550" s="49"/>
      <c r="AE550" s="74"/>
      <c r="AF550" s="77"/>
      <c r="AG550" s="56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74"/>
      <c r="BU550" s="74"/>
      <c r="BV550" s="74"/>
      <c r="BW550" s="74"/>
      <c r="BX550" s="74"/>
      <c r="BY550" s="74"/>
      <c r="BZ550" s="74"/>
      <c r="CA550" s="74"/>
      <c r="CB550" s="74"/>
      <c r="CC550" s="74"/>
      <c r="CD550" s="74"/>
      <c r="CE550" s="74"/>
      <c r="CF550" s="74"/>
      <c r="CG550" s="74"/>
      <c r="CH550" s="74"/>
      <c r="CI550" s="74"/>
      <c r="CJ550" s="74"/>
      <c r="CK550" s="74"/>
      <c r="CL550" s="74">
        <v>4000</v>
      </c>
      <c r="CM550" s="74">
        <v>4000</v>
      </c>
      <c r="CN550" s="74">
        <v>9500</v>
      </c>
      <c r="CO550" s="74">
        <v>2500</v>
      </c>
      <c r="CP550" s="74">
        <v>1400</v>
      </c>
      <c r="CQ550" s="74">
        <v>3290</v>
      </c>
      <c r="CR550" s="74">
        <v>4700</v>
      </c>
      <c r="CS550" s="74">
        <v>200</v>
      </c>
      <c r="CT550" s="74">
        <v>0</v>
      </c>
      <c r="CU550" s="74">
        <v>0</v>
      </c>
      <c r="CV550" s="74">
        <v>0</v>
      </c>
      <c r="CW550" s="74">
        <v>0</v>
      </c>
      <c r="CX550" s="74">
        <v>0</v>
      </c>
      <c r="CY550" s="74">
        <v>0</v>
      </c>
      <c r="CZ550" s="74">
        <v>0</v>
      </c>
      <c r="DA550" s="74">
        <v>0</v>
      </c>
      <c r="DB550" s="74">
        <v>500</v>
      </c>
      <c r="DC550" s="51">
        <v>0</v>
      </c>
      <c r="DD550" s="51">
        <v>0</v>
      </c>
      <c r="DE550" s="51">
        <v>0</v>
      </c>
      <c r="DF550" s="52">
        <v>0</v>
      </c>
      <c r="DG550" s="52">
        <v>0</v>
      </c>
      <c r="DH550" s="52">
        <v>0</v>
      </c>
      <c r="DI550" s="52">
        <v>0</v>
      </c>
      <c r="DJ550" s="52">
        <v>0</v>
      </c>
      <c r="DK550" s="52">
        <v>0</v>
      </c>
      <c r="DL550" s="52">
        <v>0</v>
      </c>
      <c r="DM550" s="52">
        <v>0</v>
      </c>
      <c r="DN550" s="52">
        <v>0</v>
      </c>
      <c r="DO550" s="52">
        <v>0</v>
      </c>
      <c r="DP550" s="52">
        <v>0</v>
      </c>
      <c r="DQ550" s="52">
        <v>0</v>
      </c>
      <c r="DR550" s="52">
        <v>0</v>
      </c>
      <c r="DS550" s="78">
        <v>0</v>
      </c>
      <c r="DT550" s="78">
        <v>0</v>
      </c>
      <c r="DU550" s="78">
        <v>0</v>
      </c>
      <c r="DV550" s="78">
        <v>0</v>
      </c>
      <c r="DW550" s="78">
        <v>0</v>
      </c>
      <c r="DX550" s="2"/>
      <c r="DY550" s="2"/>
      <c r="DZ550" s="46">
        <f t="shared" si="131"/>
        <v>0</v>
      </c>
      <c r="EA550" s="46">
        <f t="shared" si="132"/>
        <v>0</v>
      </c>
      <c r="EB550" s="46">
        <f t="shared" si="133"/>
        <v>0</v>
      </c>
      <c r="EC550" s="46">
        <f t="shared" si="134"/>
        <v>0</v>
      </c>
      <c r="ED550" s="46">
        <f t="shared" si="135"/>
        <v>0</v>
      </c>
      <c r="EE550" s="46">
        <f t="shared" si="136"/>
        <v>0</v>
      </c>
      <c r="EF550" s="46">
        <f t="shared" si="137"/>
        <v>8000</v>
      </c>
      <c r="EG550" s="46">
        <f t="shared" si="138"/>
        <v>21590</v>
      </c>
      <c r="EH550" s="46">
        <f t="shared" si="130"/>
        <v>500</v>
      </c>
      <c r="EI550" s="46">
        <f t="shared" si="140"/>
        <v>0</v>
      </c>
    </row>
  </sheetData>
  <phoneticPr fontId="3" type="noConversion"/>
  <conditionalFormatting sqref="C66">
    <cfRule type="duplicateValues" dxfId="15" priority="51"/>
  </conditionalFormatting>
  <conditionalFormatting sqref="C68">
    <cfRule type="duplicateValues" dxfId="14" priority="50"/>
  </conditionalFormatting>
  <conditionalFormatting sqref="C69:C74">
    <cfRule type="duplicateValues" dxfId="13" priority="49"/>
  </conditionalFormatting>
  <conditionalFormatting sqref="C111:C119">
    <cfRule type="duplicateValues" dxfId="12" priority="58"/>
  </conditionalFormatting>
  <conditionalFormatting sqref="C150:C203">
    <cfRule type="duplicateValues" dxfId="11" priority="68"/>
  </conditionalFormatting>
  <conditionalFormatting sqref="C315:C320 C322:C326">
    <cfRule type="duplicateValues" dxfId="10" priority="59"/>
  </conditionalFormatting>
  <conditionalFormatting sqref="C321">
    <cfRule type="duplicateValues" dxfId="9" priority="57"/>
  </conditionalFormatting>
  <conditionalFormatting sqref="C327:C333">
    <cfRule type="duplicateValues" dxfId="8" priority="60"/>
  </conditionalFormatting>
  <conditionalFormatting sqref="C337">
    <cfRule type="duplicateValues" dxfId="7" priority="52"/>
  </conditionalFormatting>
  <conditionalFormatting sqref="C338 C334:C336">
    <cfRule type="duplicateValues" dxfId="6" priority="54"/>
  </conditionalFormatting>
  <conditionalFormatting sqref="C339:C482">
    <cfRule type="duplicateValues" dxfId="5" priority="65"/>
  </conditionalFormatting>
  <conditionalFormatting sqref="C483:C485 C492:C536">
    <cfRule type="duplicateValues" dxfId="4" priority="66"/>
  </conditionalFormatting>
  <conditionalFormatting sqref="C486:C489">
    <cfRule type="duplicateValues" dxfId="3" priority="56"/>
  </conditionalFormatting>
  <conditionalFormatting sqref="C490">
    <cfRule type="duplicateValues" dxfId="2" priority="55"/>
  </conditionalFormatting>
  <conditionalFormatting sqref="C491">
    <cfRule type="duplicateValues" dxfId="1" priority="53"/>
  </conditionalFormatting>
  <conditionalFormatting sqref="C537:C550 C67 C75:C110 C204:C314 C9:C65 C120:C149">
    <cfRule type="duplicateValues" dxfId="0" priority="69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양산수량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</dc:creator>
  <cp:lastModifiedBy>yahir leon perez</cp:lastModifiedBy>
  <dcterms:created xsi:type="dcterms:W3CDTF">2026-08-31T20:41:59Z</dcterms:created>
  <dcterms:modified xsi:type="dcterms:W3CDTF">2026-09-01T16:11:05Z</dcterms:modified>
</cp:coreProperties>
</file>